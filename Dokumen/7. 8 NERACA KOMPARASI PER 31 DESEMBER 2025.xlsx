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DOKUMEN KSU CAHAYA DHAMMA PHALA 2025\BUKU  LAPORAN  PERTANGGUNGJAWABAN  TAHUN BUKU 2025\RISALAH  KSU CAHAYA DHAMMA PHALA PER 31 DES 2025\"/>
    </mc:Choice>
  </mc:AlternateContent>
  <xr:revisionPtr revIDLastSave="0" documentId="13_ncr:1_{788308BE-AD59-4291-97E5-C1D7981991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1" l="1"/>
  <c r="J19" i="1"/>
  <c r="J9" i="1"/>
  <c r="L34" i="1" l="1"/>
  <c r="K34" i="1"/>
  <c r="F34" i="1"/>
  <c r="E34" i="1"/>
  <c r="D34" i="1"/>
  <c r="K30" i="1"/>
  <c r="K29" i="1"/>
  <c r="K20" i="1"/>
  <c r="K19" i="1"/>
  <c r="K16" i="1"/>
  <c r="K9" i="1"/>
  <c r="J34" i="1" l="1"/>
</calcChain>
</file>

<file path=xl/sharedStrings.xml><?xml version="1.0" encoding="utf-8"?>
<sst xmlns="http://schemas.openxmlformats.org/spreadsheetml/2006/main" count="73" uniqueCount="62">
  <si>
    <t>LAPORAN  KEUANGAN KSU  "CAHAYA  DHAMMA  PHALA"</t>
  </si>
  <si>
    <t>Per : 31   Desember     2025</t>
  </si>
  <si>
    <t>DEBET</t>
  </si>
  <si>
    <t>KREDIT</t>
  </si>
  <si>
    <t>No.</t>
  </si>
  <si>
    <t xml:space="preserve">Nomor </t>
  </si>
  <si>
    <t>Nama Perkiraan</t>
  </si>
  <si>
    <t>31-12-2025</t>
  </si>
  <si>
    <t>31-12-2024</t>
  </si>
  <si>
    <t>31-12-2023</t>
  </si>
  <si>
    <t>Ur.</t>
  </si>
  <si>
    <t>Perk.</t>
  </si>
  <si>
    <t>I</t>
  </si>
  <si>
    <t>AKTIVA  LANCAR</t>
  </si>
  <si>
    <t>II</t>
  </si>
  <si>
    <t>PASSIVA  LANCAR</t>
  </si>
  <si>
    <t>Kas</t>
  </si>
  <si>
    <t>Simpanan Manasuka</t>
  </si>
  <si>
    <t>Simp. Di Bank</t>
  </si>
  <si>
    <t>Tab. Anggota dari Pinjaman</t>
  </si>
  <si>
    <t>Pinjaman yang diberikan</t>
  </si>
  <si>
    <t>Simpanan Wajib Kredit</t>
  </si>
  <si>
    <t>Dana Sosial</t>
  </si>
  <si>
    <t>Dana Pendidikan</t>
  </si>
  <si>
    <t>Rumah Produksi</t>
  </si>
  <si>
    <t>III</t>
  </si>
  <si>
    <t>KEWAJIBAN</t>
  </si>
  <si>
    <t>Freezer</t>
  </si>
  <si>
    <t>Penyisihan Biaya RAT</t>
  </si>
  <si>
    <t>Dastang</t>
  </si>
  <si>
    <t>Penyisihan Jasa SM</t>
  </si>
  <si>
    <t>Vacuum Frying</t>
  </si>
  <si>
    <t>Penyisihan Lain-lain</t>
  </si>
  <si>
    <t>Dana Kesejahteraan Anggota</t>
  </si>
  <si>
    <t>Gerabah</t>
  </si>
  <si>
    <t>Dana-dana  Untuk Anggota</t>
  </si>
  <si>
    <t>Printer</t>
  </si>
  <si>
    <t>Dana-dana Untuk Pengurus/</t>
  </si>
  <si>
    <t>Pengawas/Karyawan</t>
  </si>
  <si>
    <t xml:space="preserve"> </t>
  </si>
  <si>
    <t>IV</t>
  </si>
  <si>
    <t>MODAL SENDIRI</t>
  </si>
  <si>
    <t>Modal Tetap</t>
  </si>
  <si>
    <t>Simpanan Pokok</t>
  </si>
  <si>
    <t>Simpanan Wajib</t>
  </si>
  <si>
    <t>Dana Pembangunan</t>
  </si>
  <si>
    <t>Dana Cadangan Resiko Kredit</t>
  </si>
  <si>
    <t>Dana Cadangan</t>
  </si>
  <si>
    <t>Modal Penyertaan</t>
  </si>
  <si>
    <t>Sisa Hasil Usaha</t>
  </si>
  <si>
    <t>JUMLAH</t>
  </si>
  <si>
    <t>Ketua</t>
  </si>
  <si>
    <t>Wakil Ketua</t>
  </si>
  <si>
    <t>Sekretaris</t>
  </si>
  <si>
    <t>Bendahara</t>
  </si>
  <si>
    <t>Waridi</t>
  </si>
  <si>
    <t>Juliyah</t>
  </si>
  <si>
    <t>Dwi Vijjayanti</t>
  </si>
  <si>
    <t>Oruwasaton</t>
  </si>
  <si>
    <t>Slamet Sutir</t>
  </si>
  <si>
    <t xml:space="preserve">Tabung Gas </t>
  </si>
  <si>
    <t>Pembantu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</si>
</sst>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7"/>
      <name val="Times New Roman"/>
      <family val="1"/>
    </font>
    <font>
      <sz val="9"/>
      <color theme="1"/>
      <name val="Times New Roman"/>
      <family val="1"/>
    </font>
    <font>
      <b/>
      <sz val="8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3" fontId="10" fillId="0" borderId="5" xfId="0" applyNumberFormat="1" applyFont="1" applyBorder="1"/>
    <xf numFmtId="165" fontId="5" fillId="0" borderId="0" xfId="1" applyNumberFormat="1" applyFont="1" applyAlignment="1">
      <alignment horizontal="right"/>
    </xf>
    <xf numFmtId="165" fontId="5" fillId="0" borderId="5" xfId="1" applyNumberFormat="1" applyFont="1" applyFill="1" applyBorder="1" applyAlignment="1"/>
    <xf numFmtId="3" fontId="5" fillId="0" borderId="0" xfId="0" applyNumberFormat="1" applyFont="1"/>
    <xf numFmtId="165" fontId="5" fillId="0" borderId="6" xfId="1" applyNumberFormat="1" applyFont="1" applyBorder="1" applyAlignment="1">
      <alignment horizontal="right"/>
    </xf>
    <xf numFmtId="165" fontId="5" fillId="0" borderId="0" xfId="1" applyNumberFormat="1" applyFont="1" applyAlignment="1"/>
    <xf numFmtId="3" fontId="5" fillId="0" borderId="5" xfId="0" applyNumberFormat="1" applyFont="1" applyBorder="1"/>
    <xf numFmtId="0" fontId="5" fillId="0" borderId="10" xfId="0" applyFont="1" applyBorder="1"/>
    <xf numFmtId="165" fontId="5" fillId="0" borderId="0" xfId="0" applyNumberFormat="1" applyFont="1"/>
    <xf numFmtId="0" fontId="10" fillId="0" borderId="7" xfId="0" applyFont="1" applyBorder="1"/>
    <xf numFmtId="3" fontId="10" fillId="0" borderId="7" xfId="0" applyNumberFormat="1" applyFont="1" applyBorder="1"/>
    <xf numFmtId="0" fontId="10" fillId="0" borderId="8" xfId="0" applyFont="1" applyBorder="1"/>
    <xf numFmtId="3" fontId="10" fillId="0" borderId="8" xfId="0" applyNumberFormat="1" applyFont="1" applyBorder="1"/>
    <xf numFmtId="0" fontId="10" fillId="0" borderId="9" xfId="0" applyFont="1" applyBorder="1"/>
    <xf numFmtId="3" fontId="10" fillId="0" borderId="9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www.wps.cn/officeDocument/2023/relationships/customStorage" Target="customStorage/customStorage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598170</xdr:colOff>
      <xdr:row>36</xdr:row>
      <xdr:rowOff>129540</xdr:rowOff>
    </xdr:from>
    <xdr:to>
      <xdr:col>5</xdr:col>
      <xdr:colOff>1270</xdr:colOff>
      <xdr:row>40</xdr:row>
      <xdr:rowOff>161290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9390" y="5987415"/>
          <a:ext cx="955675" cy="679450"/>
        </a:xfrm>
        <a:prstGeom prst="rect">
          <a:avLst/>
        </a:prstGeom>
      </xdr:spPr>
    </xdr:pic>
    <xdr:clientData/>
  </xdr:twoCellAnchor>
  <xdr:twoCellAnchor>
    <xdr:from>
      <xdr:col>7</xdr:col>
      <xdr:colOff>358775</xdr:colOff>
      <xdr:row>37</xdr:row>
      <xdr:rowOff>77470</xdr:rowOff>
    </xdr:from>
    <xdr:to>
      <xdr:col>8</xdr:col>
      <xdr:colOff>874395</xdr:colOff>
      <xdr:row>41</xdr:row>
      <xdr:rowOff>8255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 l="7055" t="10257" r="8648" b="8696"/>
        <a:stretch>
          <a:fillRect/>
        </a:stretch>
      </xdr:blipFill>
      <xdr:spPr>
        <a:xfrm>
          <a:off x="5153025" y="6097270"/>
          <a:ext cx="963295" cy="578485"/>
        </a:xfrm>
        <a:prstGeom prst="rect">
          <a:avLst/>
        </a:prstGeom>
      </xdr:spPr>
    </xdr:pic>
    <xdr:clientData/>
  </xdr:twoCellAnchor>
  <xdr:twoCellAnchor>
    <xdr:from>
      <xdr:col>8</xdr:col>
      <xdr:colOff>1534160</xdr:colOff>
      <xdr:row>37</xdr:row>
      <xdr:rowOff>55880</xdr:rowOff>
    </xdr:from>
    <xdr:to>
      <xdr:col>9</xdr:col>
      <xdr:colOff>866140</xdr:colOff>
      <xdr:row>40</xdr:row>
      <xdr:rowOff>146685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rcRect l="7876" t="9155" r="10759"/>
        <a:stretch>
          <a:fillRect/>
        </a:stretch>
      </xdr:blipFill>
      <xdr:spPr>
        <a:xfrm>
          <a:off x="6776085" y="6075680"/>
          <a:ext cx="941705" cy="576580"/>
        </a:xfrm>
        <a:prstGeom prst="rect">
          <a:avLst/>
        </a:prstGeom>
      </xdr:spPr>
    </xdr:pic>
    <xdr:clientData/>
  </xdr:twoCellAnchor>
  <xdr:twoCellAnchor>
    <xdr:from>
      <xdr:col>9</xdr:col>
      <xdr:colOff>1000761</xdr:colOff>
      <xdr:row>37</xdr:row>
      <xdr:rowOff>45720</xdr:rowOff>
    </xdr:from>
    <xdr:to>
      <xdr:col>10</xdr:col>
      <xdr:colOff>687917</xdr:colOff>
      <xdr:row>41</xdr:row>
      <xdr:rowOff>4445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rcRect l="10346" r="24429"/>
        <a:stretch>
          <a:fillRect/>
        </a:stretch>
      </xdr:blipFill>
      <xdr:spPr>
        <a:xfrm>
          <a:off x="7848178" y="5951220"/>
          <a:ext cx="766656" cy="593725"/>
        </a:xfrm>
        <a:prstGeom prst="rect">
          <a:avLst/>
        </a:prstGeom>
      </xdr:spPr>
    </xdr:pic>
    <xdr:clientData/>
  </xdr:twoCellAnchor>
  <xdr:oneCellAnchor>
    <xdr:from>
      <xdr:col>2</xdr:col>
      <xdr:colOff>529168</xdr:colOff>
      <xdr:row>34</xdr:row>
      <xdr:rowOff>105833</xdr:rowOff>
    </xdr:from>
    <xdr:ext cx="1572564" cy="1524000"/>
    <xdr:pic>
      <xdr:nvPicPr>
        <xdr:cNvPr id="14" name="image1.jpeg">
          <a:extLst>
            <a:ext uri="{FF2B5EF4-FFF2-40B4-BE49-F238E27FC236}">
              <a16:creationId xmlns:a16="http://schemas.microsoft.com/office/drawing/2014/main" id="{EF8B8A2A-4559-4370-A22C-858CF30A7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835" y="5143500"/>
          <a:ext cx="1572564" cy="1524000"/>
        </a:xfrm>
        <a:prstGeom prst="rect">
          <a:avLst/>
        </a:prstGeom>
      </xdr:spPr>
    </xdr:pic>
    <xdr:clientData/>
  </xdr:oneCellAnchor>
  <xdr:twoCellAnchor editAs="oneCell">
    <xdr:from>
      <xdr:col>1</xdr:col>
      <xdr:colOff>412750</xdr:colOff>
      <xdr:row>36</xdr:row>
      <xdr:rowOff>95250</xdr:rowOff>
    </xdr:from>
    <xdr:to>
      <xdr:col>2</xdr:col>
      <xdr:colOff>578908</xdr:colOff>
      <xdr:row>41</xdr:row>
      <xdr:rowOff>1482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BB52C35-6D54-4924-8F2F-DF29362BB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8500" y="5429250"/>
          <a:ext cx="600075" cy="647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%20KSU%20CAHAYA%20DHAMMA%20PHALA%202025/BUKU%20BESAR%20%20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%20KSU%20CAHAYA%20DHAMMA%20PHALA%202024/BUKU%20BESAR%20%20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S - 1111"/>
      <sheetName val="Sim. Bank-1112"/>
      <sheetName val="PYDB -1113"/>
      <sheetName val="R. Produksi 1121"/>
      <sheetName val="Freezer 1122"/>
      <sheetName val="Dastang 1123"/>
      <sheetName val="Vacuum Fryin 1124"/>
      <sheetName val="Tabung Gas 1125"/>
      <sheetName val="Gerabah1126"/>
      <sheetName val="Printer 1121"/>
      <sheetName val="SMS-2111"/>
      <sheetName val="TADP-2112"/>
      <sheetName val="SWK-2113"/>
      <sheetName val="DANSOS-2114"/>
      <sheetName val="Dana Pend-2115"/>
      <sheetName val="Peny. Biaya RAT-2116"/>
      <sheetName val="Peny. Jasa SM-2117"/>
      <sheetName val="Peny. LL-2118"/>
      <sheetName val="Dakesra-2119"/>
      <sheetName val="DDUA-2120"/>
      <sheetName val="DDPPK-2121"/>
      <sheetName val="MT-3111"/>
      <sheetName val="SP-3112"/>
      <sheetName val="SW-3113"/>
      <sheetName val="Dana Pemb. 3114"/>
      <sheetName val="DCRK-3115"/>
      <sheetName val="Cad-3116"/>
      <sheetName val="Mod. Penyert.-3117"/>
      <sheetName val="SHU"/>
      <sheetName val="PPh"/>
      <sheetName val="Japinup-4111"/>
      <sheetName val="Adminpin-4112"/>
      <sheetName val="4113"/>
      <sheetName val="5111"/>
      <sheetName val="5112"/>
      <sheetName val="5113"/>
      <sheetName val="5114"/>
      <sheetName val="5115"/>
      <sheetName val="5116"/>
      <sheetName val="5117"/>
      <sheetName val="5118"/>
      <sheetName val="5119"/>
      <sheetName val="Sheet13"/>
      <sheetName val="jasa bkk pgt"/>
      <sheetName val="Sheet15"/>
      <sheetName val="Sheet16"/>
      <sheetName val="Sheet17"/>
      <sheetName val="Sheet8"/>
      <sheetName val="Sheet9"/>
      <sheetName val="Sheet10"/>
      <sheetName val="Sheet11"/>
      <sheetName val="Sheet12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14"/>
      <sheetName val="Sheet33"/>
      <sheetName val="Sheet34"/>
      <sheetName val="Sheet35"/>
      <sheetName val="Sheet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6">
          <cell r="F16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6">
          <cell r="F16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16">
          <cell r="F16">
            <v>5000000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S - 1111"/>
      <sheetName val="Sim. Bank-1112"/>
      <sheetName val="PYDB -1113"/>
      <sheetName val="R. Produksi 1121"/>
      <sheetName val="Freezer 1122"/>
      <sheetName val="Dastang 1123"/>
      <sheetName val="Vacuum Fryin 1124"/>
      <sheetName val="Tabung Gas 1125"/>
      <sheetName val="Gerabah1126"/>
      <sheetName val="Printer 1121"/>
      <sheetName val="SMS-2111"/>
      <sheetName val="TADP-2112"/>
      <sheetName val="SWK-2113"/>
      <sheetName val="DANSOS-2114"/>
      <sheetName val="Dana Pend-2115"/>
      <sheetName val="Peny. Biaya RAT-2116"/>
      <sheetName val="Peny. Jasa SM-2117"/>
      <sheetName val="Peny. LL-2118"/>
      <sheetName val="Dakesra-2119"/>
      <sheetName val="DDUA-2120"/>
      <sheetName val="DDPPK-2121"/>
      <sheetName val="MT-3111"/>
      <sheetName val="SP-3112"/>
      <sheetName val="SW-3113"/>
      <sheetName val="Dana Pemb. 3114"/>
      <sheetName val="DCRK-3115"/>
      <sheetName val="Cad-3116"/>
      <sheetName val="Mod. Penyert.-3117"/>
      <sheetName val="SHU"/>
      <sheetName val="PPh"/>
      <sheetName val="Japinup-4111"/>
      <sheetName val="Adminpin-4112"/>
      <sheetName val="4113"/>
      <sheetName val="5111"/>
      <sheetName val="5112"/>
      <sheetName val="5113"/>
      <sheetName val="5114"/>
      <sheetName val="5115"/>
      <sheetName val="5116"/>
      <sheetName val="5117"/>
      <sheetName val="5118"/>
      <sheetName val="5119"/>
      <sheetName val="Sheet13"/>
      <sheetName val="jasa bkk pgt"/>
      <sheetName val="Sheet15"/>
      <sheetName val="Sheet16"/>
      <sheetName val="Sheet17"/>
      <sheetName val="Sheet8"/>
      <sheetName val="Sheet9"/>
      <sheetName val="Sheet10"/>
      <sheetName val="Sheet11"/>
      <sheetName val="Sheet12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14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6">
          <cell r="F16">
            <v>0</v>
          </cell>
        </row>
      </sheetData>
      <sheetData sheetId="12"/>
      <sheetData sheetId="13"/>
      <sheetData sheetId="14"/>
      <sheetData sheetId="15"/>
      <sheetData sheetId="16">
        <row r="17">
          <cell r="F17">
            <v>1202642</v>
          </cell>
        </row>
      </sheetData>
      <sheetData sheetId="17"/>
      <sheetData sheetId="18"/>
      <sheetData sheetId="19">
        <row r="16">
          <cell r="F16">
            <v>0</v>
          </cell>
        </row>
      </sheetData>
      <sheetData sheetId="20">
        <row r="16">
          <cell r="F16">
            <v>2474918</v>
          </cell>
        </row>
      </sheetData>
      <sheetData sheetId="21"/>
      <sheetData sheetId="22"/>
      <sheetData sheetId="23"/>
      <sheetData sheetId="24"/>
      <sheetData sheetId="25"/>
      <sheetData sheetId="26">
        <row r="17">
          <cell r="F17">
            <v>21082541</v>
          </cell>
        </row>
      </sheetData>
      <sheetData sheetId="27">
        <row r="16">
          <cell r="F16">
            <v>5000000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A24" zoomScale="90" zoomScaleNormal="90" workbookViewId="0">
      <selection activeCell="N23" sqref="N23"/>
    </sheetView>
  </sheetViews>
  <sheetFormatPr defaultColWidth="9" defaultRowHeight="12" customHeight="1"/>
  <cols>
    <col min="1" max="1" width="4.28515625" style="1" customWidth="1"/>
    <col min="2" max="2" width="6.5703125" style="1" customWidth="1"/>
    <col min="3" max="3" width="21.28515625" style="1" customWidth="1"/>
    <col min="4" max="4" width="12" style="1" customWidth="1"/>
    <col min="5" max="5" width="12.140625" style="1" customWidth="1"/>
    <col min="6" max="6" width="13.28515625" style="1" customWidth="1"/>
    <col min="7" max="7" width="5.140625" style="1" customWidth="1"/>
    <col min="8" max="8" width="6.7109375" style="1" customWidth="1"/>
    <col min="9" max="9" width="24.140625" style="1" customWidth="1"/>
    <col min="10" max="10" width="16.140625" style="1" customWidth="1"/>
    <col min="11" max="11" width="12.140625" style="1" customWidth="1"/>
    <col min="12" max="12" width="13.140625" style="1" customWidth="1"/>
    <col min="13" max="13" width="10.28515625" style="1" customWidth="1"/>
    <col min="14" max="233" width="9.140625" style="1"/>
    <col min="234" max="234" width="4.85546875" style="1" customWidth="1"/>
    <col min="235" max="235" width="7.85546875" style="1" customWidth="1"/>
    <col min="236" max="236" width="20.85546875" style="1" customWidth="1"/>
    <col min="237" max="237" width="13.28515625" style="1" customWidth="1"/>
    <col min="238" max="238" width="4.85546875" style="1" customWidth="1"/>
    <col min="239" max="239" width="7.5703125" style="1" customWidth="1"/>
    <col min="240" max="240" width="20.140625" style="1" customWidth="1"/>
    <col min="241" max="241" width="13.42578125" style="1" customWidth="1"/>
    <col min="242" max="242" width="1.85546875" style="1" customWidth="1"/>
    <col min="243" max="489" width="9.140625" style="1"/>
    <col min="490" max="490" width="4.85546875" style="1" customWidth="1"/>
    <col min="491" max="491" width="7.85546875" style="1" customWidth="1"/>
    <col min="492" max="492" width="20.85546875" style="1" customWidth="1"/>
    <col min="493" max="493" width="13.28515625" style="1" customWidth="1"/>
    <col min="494" max="494" width="4.85546875" style="1" customWidth="1"/>
    <col min="495" max="495" width="7.5703125" style="1" customWidth="1"/>
    <col min="496" max="496" width="20.140625" style="1" customWidth="1"/>
    <col min="497" max="497" width="13.42578125" style="1" customWidth="1"/>
    <col min="498" max="498" width="1.85546875" style="1" customWidth="1"/>
    <col min="499" max="745" width="9.140625" style="1"/>
    <col min="746" max="746" width="4.85546875" style="1" customWidth="1"/>
    <col min="747" max="747" width="7.85546875" style="1" customWidth="1"/>
    <col min="748" max="748" width="20.85546875" style="1" customWidth="1"/>
    <col min="749" max="749" width="13.28515625" style="1" customWidth="1"/>
    <col min="750" max="750" width="4.85546875" style="1" customWidth="1"/>
    <col min="751" max="751" width="7.5703125" style="1" customWidth="1"/>
    <col min="752" max="752" width="20.140625" style="1" customWidth="1"/>
    <col min="753" max="753" width="13.42578125" style="1" customWidth="1"/>
    <col min="754" max="754" width="1.85546875" style="1" customWidth="1"/>
    <col min="755" max="1001" width="9.140625" style="1"/>
    <col min="1002" max="1002" width="4.85546875" style="1" customWidth="1"/>
    <col min="1003" max="1003" width="7.85546875" style="1" customWidth="1"/>
    <col min="1004" max="1004" width="20.85546875" style="1" customWidth="1"/>
    <col min="1005" max="1005" width="13.28515625" style="1" customWidth="1"/>
    <col min="1006" max="1006" width="4.85546875" style="1" customWidth="1"/>
    <col min="1007" max="1007" width="7.5703125" style="1" customWidth="1"/>
    <col min="1008" max="1008" width="20.140625" style="1" customWidth="1"/>
    <col min="1009" max="1009" width="13.42578125" style="1" customWidth="1"/>
    <col min="1010" max="1010" width="1.85546875" style="1" customWidth="1"/>
    <col min="1011" max="1257" width="9.140625" style="1"/>
    <col min="1258" max="1258" width="4.85546875" style="1" customWidth="1"/>
    <col min="1259" max="1259" width="7.85546875" style="1" customWidth="1"/>
    <col min="1260" max="1260" width="20.85546875" style="1" customWidth="1"/>
    <col min="1261" max="1261" width="13.28515625" style="1" customWidth="1"/>
    <col min="1262" max="1262" width="4.85546875" style="1" customWidth="1"/>
    <col min="1263" max="1263" width="7.5703125" style="1" customWidth="1"/>
    <col min="1264" max="1264" width="20.140625" style="1" customWidth="1"/>
    <col min="1265" max="1265" width="13.42578125" style="1" customWidth="1"/>
    <col min="1266" max="1266" width="1.85546875" style="1" customWidth="1"/>
    <col min="1267" max="1513" width="9.140625" style="1"/>
    <col min="1514" max="1514" width="4.85546875" style="1" customWidth="1"/>
    <col min="1515" max="1515" width="7.85546875" style="1" customWidth="1"/>
    <col min="1516" max="1516" width="20.85546875" style="1" customWidth="1"/>
    <col min="1517" max="1517" width="13.28515625" style="1" customWidth="1"/>
    <col min="1518" max="1518" width="4.85546875" style="1" customWidth="1"/>
    <col min="1519" max="1519" width="7.5703125" style="1" customWidth="1"/>
    <col min="1520" max="1520" width="20.140625" style="1" customWidth="1"/>
    <col min="1521" max="1521" width="13.42578125" style="1" customWidth="1"/>
    <col min="1522" max="1522" width="1.85546875" style="1" customWidth="1"/>
    <col min="1523" max="1769" width="9.140625" style="1"/>
    <col min="1770" max="1770" width="4.85546875" style="1" customWidth="1"/>
    <col min="1771" max="1771" width="7.85546875" style="1" customWidth="1"/>
    <col min="1772" max="1772" width="20.85546875" style="1" customWidth="1"/>
    <col min="1773" max="1773" width="13.28515625" style="1" customWidth="1"/>
    <col min="1774" max="1774" width="4.85546875" style="1" customWidth="1"/>
    <col min="1775" max="1775" width="7.5703125" style="1" customWidth="1"/>
    <col min="1776" max="1776" width="20.140625" style="1" customWidth="1"/>
    <col min="1777" max="1777" width="13.42578125" style="1" customWidth="1"/>
    <col min="1778" max="1778" width="1.85546875" style="1" customWidth="1"/>
    <col min="1779" max="2025" width="9.140625" style="1"/>
    <col min="2026" max="2026" width="4.85546875" style="1" customWidth="1"/>
    <col min="2027" max="2027" width="7.85546875" style="1" customWidth="1"/>
    <col min="2028" max="2028" width="20.85546875" style="1" customWidth="1"/>
    <col min="2029" max="2029" width="13.28515625" style="1" customWidth="1"/>
    <col min="2030" max="2030" width="4.85546875" style="1" customWidth="1"/>
    <col min="2031" max="2031" width="7.5703125" style="1" customWidth="1"/>
    <col min="2032" max="2032" width="20.140625" style="1" customWidth="1"/>
    <col min="2033" max="2033" width="13.42578125" style="1" customWidth="1"/>
    <col min="2034" max="2034" width="1.85546875" style="1" customWidth="1"/>
    <col min="2035" max="2281" width="9.140625" style="1"/>
    <col min="2282" max="2282" width="4.85546875" style="1" customWidth="1"/>
    <col min="2283" max="2283" width="7.85546875" style="1" customWidth="1"/>
    <col min="2284" max="2284" width="20.85546875" style="1" customWidth="1"/>
    <col min="2285" max="2285" width="13.28515625" style="1" customWidth="1"/>
    <col min="2286" max="2286" width="4.85546875" style="1" customWidth="1"/>
    <col min="2287" max="2287" width="7.5703125" style="1" customWidth="1"/>
    <col min="2288" max="2288" width="20.140625" style="1" customWidth="1"/>
    <col min="2289" max="2289" width="13.42578125" style="1" customWidth="1"/>
    <col min="2290" max="2290" width="1.85546875" style="1" customWidth="1"/>
    <col min="2291" max="2537" width="9.140625" style="1"/>
    <col min="2538" max="2538" width="4.85546875" style="1" customWidth="1"/>
    <col min="2539" max="2539" width="7.85546875" style="1" customWidth="1"/>
    <col min="2540" max="2540" width="20.85546875" style="1" customWidth="1"/>
    <col min="2541" max="2541" width="13.28515625" style="1" customWidth="1"/>
    <col min="2542" max="2542" width="4.85546875" style="1" customWidth="1"/>
    <col min="2543" max="2543" width="7.5703125" style="1" customWidth="1"/>
    <col min="2544" max="2544" width="20.140625" style="1" customWidth="1"/>
    <col min="2545" max="2545" width="13.42578125" style="1" customWidth="1"/>
    <col min="2546" max="2546" width="1.85546875" style="1" customWidth="1"/>
    <col min="2547" max="2793" width="9.140625" style="1"/>
    <col min="2794" max="2794" width="4.85546875" style="1" customWidth="1"/>
    <col min="2795" max="2795" width="7.85546875" style="1" customWidth="1"/>
    <col min="2796" max="2796" width="20.85546875" style="1" customWidth="1"/>
    <col min="2797" max="2797" width="13.28515625" style="1" customWidth="1"/>
    <col min="2798" max="2798" width="4.85546875" style="1" customWidth="1"/>
    <col min="2799" max="2799" width="7.5703125" style="1" customWidth="1"/>
    <col min="2800" max="2800" width="20.140625" style="1" customWidth="1"/>
    <col min="2801" max="2801" width="13.42578125" style="1" customWidth="1"/>
    <col min="2802" max="2802" width="1.85546875" style="1" customWidth="1"/>
    <col min="2803" max="3049" width="9.140625" style="1"/>
    <col min="3050" max="3050" width="4.85546875" style="1" customWidth="1"/>
    <col min="3051" max="3051" width="7.85546875" style="1" customWidth="1"/>
    <col min="3052" max="3052" width="20.85546875" style="1" customWidth="1"/>
    <col min="3053" max="3053" width="13.28515625" style="1" customWidth="1"/>
    <col min="3054" max="3054" width="4.85546875" style="1" customWidth="1"/>
    <col min="3055" max="3055" width="7.5703125" style="1" customWidth="1"/>
    <col min="3056" max="3056" width="20.140625" style="1" customWidth="1"/>
    <col min="3057" max="3057" width="13.42578125" style="1" customWidth="1"/>
    <col min="3058" max="3058" width="1.85546875" style="1" customWidth="1"/>
    <col min="3059" max="3305" width="9.140625" style="1"/>
    <col min="3306" max="3306" width="4.85546875" style="1" customWidth="1"/>
    <col min="3307" max="3307" width="7.85546875" style="1" customWidth="1"/>
    <col min="3308" max="3308" width="20.85546875" style="1" customWidth="1"/>
    <col min="3309" max="3309" width="13.28515625" style="1" customWidth="1"/>
    <col min="3310" max="3310" width="4.85546875" style="1" customWidth="1"/>
    <col min="3311" max="3311" width="7.5703125" style="1" customWidth="1"/>
    <col min="3312" max="3312" width="20.140625" style="1" customWidth="1"/>
    <col min="3313" max="3313" width="13.42578125" style="1" customWidth="1"/>
    <col min="3314" max="3314" width="1.85546875" style="1" customWidth="1"/>
    <col min="3315" max="3561" width="9.140625" style="1"/>
    <col min="3562" max="3562" width="4.85546875" style="1" customWidth="1"/>
    <col min="3563" max="3563" width="7.85546875" style="1" customWidth="1"/>
    <col min="3564" max="3564" width="20.85546875" style="1" customWidth="1"/>
    <col min="3565" max="3565" width="13.28515625" style="1" customWidth="1"/>
    <col min="3566" max="3566" width="4.85546875" style="1" customWidth="1"/>
    <col min="3567" max="3567" width="7.5703125" style="1" customWidth="1"/>
    <col min="3568" max="3568" width="20.140625" style="1" customWidth="1"/>
    <col min="3569" max="3569" width="13.42578125" style="1" customWidth="1"/>
    <col min="3570" max="3570" width="1.85546875" style="1" customWidth="1"/>
    <col min="3571" max="3817" width="9.140625" style="1"/>
    <col min="3818" max="3818" width="4.85546875" style="1" customWidth="1"/>
    <col min="3819" max="3819" width="7.85546875" style="1" customWidth="1"/>
    <col min="3820" max="3820" width="20.85546875" style="1" customWidth="1"/>
    <col min="3821" max="3821" width="13.28515625" style="1" customWidth="1"/>
    <col min="3822" max="3822" width="4.85546875" style="1" customWidth="1"/>
    <col min="3823" max="3823" width="7.5703125" style="1" customWidth="1"/>
    <col min="3824" max="3824" width="20.140625" style="1" customWidth="1"/>
    <col min="3825" max="3825" width="13.42578125" style="1" customWidth="1"/>
    <col min="3826" max="3826" width="1.85546875" style="1" customWidth="1"/>
    <col min="3827" max="4073" width="9.140625" style="1"/>
    <col min="4074" max="4074" width="4.85546875" style="1" customWidth="1"/>
    <col min="4075" max="4075" width="7.85546875" style="1" customWidth="1"/>
    <col min="4076" max="4076" width="20.85546875" style="1" customWidth="1"/>
    <col min="4077" max="4077" width="13.28515625" style="1" customWidth="1"/>
    <col min="4078" max="4078" width="4.85546875" style="1" customWidth="1"/>
    <col min="4079" max="4079" width="7.5703125" style="1" customWidth="1"/>
    <col min="4080" max="4080" width="20.140625" style="1" customWidth="1"/>
    <col min="4081" max="4081" width="13.42578125" style="1" customWidth="1"/>
    <col min="4082" max="4082" width="1.85546875" style="1" customWidth="1"/>
    <col min="4083" max="4329" width="9.140625" style="1"/>
    <col min="4330" max="4330" width="4.85546875" style="1" customWidth="1"/>
    <col min="4331" max="4331" width="7.85546875" style="1" customWidth="1"/>
    <col min="4332" max="4332" width="20.85546875" style="1" customWidth="1"/>
    <col min="4333" max="4333" width="13.28515625" style="1" customWidth="1"/>
    <col min="4334" max="4334" width="4.85546875" style="1" customWidth="1"/>
    <col min="4335" max="4335" width="7.5703125" style="1" customWidth="1"/>
    <col min="4336" max="4336" width="20.140625" style="1" customWidth="1"/>
    <col min="4337" max="4337" width="13.42578125" style="1" customWidth="1"/>
    <col min="4338" max="4338" width="1.85546875" style="1" customWidth="1"/>
    <col min="4339" max="4585" width="9.140625" style="1"/>
    <col min="4586" max="4586" width="4.85546875" style="1" customWidth="1"/>
    <col min="4587" max="4587" width="7.85546875" style="1" customWidth="1"/>
    <col min="4588" max="4588" width="20.85546875" style="1" customWidth="1"/>
    <col min="4589" max="4589" width="13.28515625" style="1" customWidth="1"/>
    <col min="4590" max="4590" width="4.85546875" style="1" customWidth="1"/>
    <col min="4591" max="4591" width="7.5703125" style="1" customWidth="1"/>
    <col min="4592" max="4592" width="20.140625" style="1" customWidth="1"/>
    <col min="4593" max="4593" width="13.42578125" style="1" customWidth="1"/>
    <col min="4594" max="4594" width="1.85546875" style="1" customWidth="1"/>
    <col min="4595" max="4841" width="9.140625" style="1"/>
    <col min="4842" max="4842" width="4.85546875" style="1" customWidth="1"/>
    <col min="4843" max="4843" width="7.85546875" style="1" customWidth="1"/>
    <col min="4844" max="4844" width="20.85546875" style="1" customWidth="1"/>
    <col min="4845" max="4845" width="13.28515625" style="1" customWidth="1"/>
    <col min="4846" max="4846" width="4.85546875" style="1" customWidth="1"/>
    <col min="4847" max="4847" width="7.5703125" style="1" customWidth="1"/>
    <col min="4848" max="4848" width="20.140625" style="1" customWidth="1"/>
    <col min="4849" max="4849" width="13.42578125" style="1" customWidth="1"/>
    <col min="4850" max="4850" width="1.85546875" style="1" customWidth="1"/>
    <col min="4851" max="5097" width="9.140625" style="1"/>
    <col min="5098" max="5098" width="4.85546875" style="1" customWidth="1"/>
    <col min="5099" max="5099" width="7.85546875" style="1" customWidth="1"/>
    <col min="5100" max="5100" width="20.85546875" style="1" customWidth="1"/>
    <col min="5101" max="5101" width="13.28515625" style="1" customWidth="1"/>
    <col min="5102" max="5102" width="4.85546875" style="1" customWidth="1"/>
    <col min="5103" max="5103" width="7.5703125" style="1" customWidth="1"/>
    <col min="5104" max="5104" width="20.140625" style="1" customWidth="1"/>
    <col min="5105" max="5105" width="13.42578125" style="1" customWidth="1"/>
    <col min="5106" max="5106" width="1.85546875" style="1" customWidth="1"/>
    <col min="5107" max="5353" width="9.140625" style="1"/>
    <col min="5354" max="5354" width="4.85546875" style="1" customWidth="1"/>
    <col min="5355" max="5355" width="7.85546875" style="1" customWidth="1"/>
    <col min="5356" max="5356" width="20.85546875" style="1" customWidth="1"/>
    <col min="5357" max="5357" width="13.28515625" style="1" customWidth="1"/>
    <col min="5358" max="5358" width="4.85546875" style="1" customWidth="1"/>
    <col min="5359" max="5359" width="7.5703125" style="1" customWidth="1"/>
    <col min="5360" max="5360" width="20.140625" style="1" customWidth="1"/>
    <col min="5361" max="5361" width="13.42578125" style="1" customWidth="1"/>
    <col min="5362" max="5362" width="1.85546875" style="1" customWidth="1"/>
    <col min="5363" max="5609" width="9.140625" style="1"/>
    <col min="5610" max="5610" width="4.85546875" style="1" customWidth="1"/>
    <col min="5611" max="5611" width="7.85546875" style="1" customWidth="1"/>
    <col min="5612" max="5612" width="20.85546875" style="1" customWidth="1"/>
    <col min="5613" max="5613" width="13.28515625" style="1" customWidth="1"/>
    <col min="5614" max="5614" width="4.85546875" style="1" customWidth="1"/>
    <col min="5615" max="5615" width="7.5703125" style="1" customWidth="1"/>
    <col min="5616" max="5616" width="20.140625" style="1" customWidth="1"/>
    <col min="5617" max="5617" width="13.42578125" style="1" customWidth="1"/>
    <col min="5618" max="5618" width="1.85546875" style="1" customWidth="1"/>
    <col min="5619" max="5865" width="9.140625" style="1"/>
    <col min="5866" max="5866" width="4.85546875" style="1" customWidth="1"/>
    <col min="5867" max="5867" width="7.85546875" style="1" customWidth="1"/>
    <col min="5868" max="5868" width="20.85546875" style="1" customWidth="1"/>
    <col min="5869" max="5869" width="13.28515625" style="1" customWidth="1"/>
    <col min="5870" max="5870" width="4.85546875" style="1" customWidth="1"/>
    <col min="5871" max="5871" width="7.5703125" style="1" customWidth="1"/>
    <col min="5872" max="5872" width="20.140625" style="1" customWidth="1"/>
    <col min="5873" max="5873" width="13.42578125" style="1" customWidth="1"/>
    <col min="5874" max="5874" width="1.85546875" style="1" customWidth="1"/>
    <col min="5875" max="6121" width="9.140625" style="1"/>
    <col min="6122" max="6122" width="4.85546875" style="1" customWidth="1"/>
    <col min="6123" max="6123" width="7.85546875" style="1" customWidth="1"/>
    <col min="6124" max="6124" width="20.85546875" style="1" customWidth="1"/>
    <col min="6125" max="6125" width="13.28515625" style="1" customWidth="1"/>
    <col min="6126" max="6126" width="4.85546875" style="1" customWidth="1"/>
    <col min="6127" max="6127" width="7.5703125" style="1" customWidth="1"/>
    <col min="6128" max="6128" width="20.140625" style="1" customWidth="1"/>
    <col min="6129" max="6129" width="13.42578125" style="1" customWidth="1"/>
    <col min="6130" max="6130" width="1.85546875" style="1" customWidth="1"/>
    <col min="6131" max="6377" width="9.140625" style="1"/>
    <col min="6378" max="6378" width="4.85546875" style="1" customWidth="1"/>
    <col min="6379" max="6379" width="7.85546875" style="1" customWidth="1"/>
    <col min="6380" max="6380" width="20.85546875" style="1" customWidth="1"/>
    <col min="6381" max="6381" width="13.28515625" style="1" customWidth="1"/>
    <col min="6382" max="6382" width="4.85546875" style="1" customWidth="1"/>
    <col min="6383" max="6383" width="7.5703125" style="1" customWidth="1"/>
    <col min="6384" max="6384" width="20.140625" style="1" customWidth="1"/>
    <col min="6385" max="6385" width="13.42578125" style="1" customWidth="1"/>
    <col min="6386" max="6386" width="1.85546875" style="1" customWidth="1"/>
    <col min="6387" max="6633" width="9.140625" style="1"/>
    <col min="6634" max="6634" width="4.85546875" style="1" customWidth="1"/>
    <col min="6635" max="6635" width="7.85546875" style="1" customWidth="1"/>
    <col min="6636" max="6636" width="20.85546875" style="1" customWidth="1"/>
    <col min="6637" max="6637" width="13.28515625" style="1" customWidth="1"/>
    <col min="6638" max="6638" width="4.85546875" style="1" customWidth="1"/>
    <col min="6639" max="6639" width="7.5703125" style="1" customWidth="1"/>
    <col min="6640" max="6640" width="20.140625" style="1" customWidth="1"/>
    <col min="6641" max="6641" width="13.42578125" style="1" customWidth="1"/>
    <col min="6642" max="6642" width="1.85546875" style="1" customWidth="1"/>
    <col min="6643" max="6889" width="9.140625" style="1"/>
    <col min="6890" max="6890" width="4.85546875" style="1" customWidth="1"/>
    <col min="6891" max="6891" width="7.85546875" style="1" customWidth="1"/>
    <col min="6892" max="6892" width="20.85546875" style="1" customWidth="1"/>
    <col min="6893" max="6893" width="13.28515625" style="1" customWidth="1"/>
    <col min="6894" max="6894" width="4.85546875" style="1" customWidth="1"/>
    <col min="6895" max="6895" width="7.5703125" style="1" customWidth="1"/>
    <col min="6896" max="6896" width="20.140625" style="1" customWidth="1"/>
    <col min="6897" max="6897" width="13.42578125" style="1" customWidth="1"/>
    <col min="6898" max="6898" width="1.85546875" style="1" customWidth="1"/>
    <col min="6899" max="7145" width="9.140625" style="1"/>
    <col min="7146" max="7146" width="4.85546875" style="1" customWidth="1"/>
    <col min="7147" max="7147" width="7.85546875" style="1" customWidth="1"/>
    <col min="7148" max="7148" width="20.85546875" style="1" customWidth="1"/>
    <col min="7149" max="7149" width="13.28515625" style="1" customWidth="1"/>
    <col min="7150" max="7150" width="4.85546875" style="1" customWidth="1"/>
    <col min="7151" max="7151" width="7.5703125" style="1" customWidth="1"/>
    <col min="7152" max="7152" width="20.140625" style="1" customWidth="1"/>
    <col min="7153" max="7153" width="13.42578125" style="1" customWidth="1"/>
    <col min="7154" max="7154" width="1.85546875" style="1" customWidth="1"/>
    <col min="7155" max="7401" width="9.140625" style="1"/>
    <col min="7402" max="7402" width="4.85546875" style="1" customWidth="1"/>
    <col min="7403" max="7403" width="7.85546875" style="1" customWidth="1"/>
    <col min="7404" max="7404" width="20.85546875" style="1" customWidth="1"/>
    <col min="7405" max="7405" width="13.28515625" style="1" customWidth="1"/>
    <col min="7406" max="7406" width="4.85546875" style="1" customWidth="1"/>
    <col min="7407" max="7407" width="7.5703125" style="1" customWidth="1"/>
    <col min="7408" max="7408" width="20.140625" style="1" customWidth="1"/>
    <col min="7409" max="7409" width="13.42578125" style="1" customWidth="1"/>
    <col min="7410" max="7410" width="1.85546875" style="1" customWidth="1"/>
    <col min="7411" max="7657" width="9.140625" style="1"/>
    <col min="7658" max="7658" width="4.85546875" style="1" customWidth="1"/>
    <col min="7659" max="7659" width="7.85546875" style="1" customWidth="1"/>
    <col min="7660" max="7660" width="20.85546875" style="1" customWidth="1"/>
    <col min="7661" max="7661" width="13.28515625" style="1" customWidth="1"/>
    <col min="7662" max="7662" width="4.85546875" style="1" customWidth="1"/>
    <col min="7663" max="7663" width="7.5703125" style="1" customWidth="1"/>
    <col min="7664" max="7664" width="20.140625" style="1" customWidth="1"/>
    <col min="7665" max="7665" width="13.42578125" style="1" customWidth="1"/>
    <col min="7666" max="7666" width="1.85546875" style="1" customWidth="1"/>
    <col min="7667" max="7913" width="9.140625" style="1"/>
    <col min="7914" max="7914" width="4.85546875" style="1" customWidth="1"/>
    <col min="7915" max="7915" width="7.85546875" style="1" customWidth="1"/>
    <col min="7916" max="7916" width="20.85546875" style="1" customWidth="1"/>
    <col min="7917" max="7917" width="13.28515625" style="1" customWidth="1"/>
    <col min="7918" max="7918" width="4.85546875" style="1" customWidth="1"/>
    <col min="7919" max="7919" width="7.5703125" style="1" customWidth="1"/>
    <col min="7920" max="7920" width="20.140625" style="1" customWidth="1"/>
    <col min="7921" max="7921" width="13.42578125" style="1" customWidth="1"/>
    <col min="7922" max="7922" width="1.85546875" style="1" customWidth="1"/>
    <col min="7923" max="8169" width="9.140625" style="1"/>
    <col min="8170" max="8170" width="4.85546875" style="1" customWidth="1"/>
    <col min="8171" max="8171" width="7.85546875" style="1" customWidth="1"/>
    <col min="8172" max="8172" width="20.85546875" style="1" customWidth="1"/>
    <col min="8173" max="8173" width="13.28515625" style="1" customWidth="1"/>
    <col min="8174" max="8174" width="4.85546875" style="1" customWidth="1"/>
    <col min="8175" max="8175" width="7.5703125" style="1" customWidth="1"/>
    <col min="8176" max="8176" width="20.140625" style="1" customWidth="1"/>
    <col min="8177" max="8177" width="13.42578125" style="1" customWidth="1"/>
    <col min="8178" max="8178" width="1.85546875" style="1" customWidth="1"/>
    <col min="8179" max="8425" width="9.140625" style="1"/>
    <col min="8426" max="8426" width="4.85546875" style="1" customWidth="1"/>
    <col min="8427" max="8427" width="7.85546875" style="1" customWidth="1"/>
    <col min="8428" max="8428" width="20.85546875" style="1" customWidth="1"/>
    <col min="8429" max="8429" width="13.28515625" style="1" customWidth="1"/>
    <col min="8430" max="8430" width="4.85546875" style="1" customWidth="1"/>
    <col min="8431" max="8431" width="7.5703125" style="1" customWidth="1"/>
    <col min="8432" max="8432" width="20.140625" style="1" customWidth="1"/>
    <col min="8433" max="8433" width="13.42578125" style="1" customWidth="1"/>
    <col min="8434" max="8434" width="1.85546875" style="1" customWidth="1"/>
    <col min="8435" max="8681" width="9.140625" style="1"/>
    <col min="8682" max="8682" width="4.85546875" style="1" customWidth="1"/>
    <col min="8683" max="8683" width="7.85546875" style="1" customWidth="1"/>
    <col min="8684" max="8684" width="20.85546875" style="1" customWidth="1"/>
    <col min="8685" max="8685" width="13.28515625" style="1" customWidth="1"/>
    <col min="8686" max="8686" width="4.85546875" style="1" customWidth="1"/>
    <col min="8687" max="8687" width="7.5703125" style="1" customWidth="1"/>
    <col min="8688" max="8688" width="20.140625" style="1" customWidth="1"/>
    <col min="8689" max="8689" width="13.42578125" style="1" customWidth="1"/>
    <col min="8690" max="8690" width="1.85546875" style="1" customWidth="1"/>
    <col min="8691" max="8937" width="9.140625" style="1"/>
    <col min="8938" max="8938" width="4.85546875" style="1" customWidth="1"/>
    <col min="8939" max="8939" width="7.85546875" style="1" customWidth="1"/>
    <col min="8940" max="8940" width="20.85546875" style="1" customWidth="1"/>
    <col min="8941" max="8941" width="13.28515625" style="1" customWidth="1"/>
    <col min="8942" max="8942" width="4.85546875" style="1" customWidth="1"/>
    <col min="8943" max="8943" width="7.5703125" style="1" customWidth="1"/>
    <col min="8944" max="8944" width="20.140625" style="1" customWidth="1"/>
    <col min="8945" max="8945" width="13.42578125" style="1" customWidth="1"/>
    <col min="8946" max="8946" width="1.85546875" style="1" customWidth="1"/>
    <col min="8947" max="9193" width="9.140625" style="1"/>
    <col min="9194" max="9194" width="4.85546875" style="1" customWidth="1"/>
    <col min="9195" max="9195" width="7.85546875" style="1" customWidth="1"/>
    <col min="9196" max="9196" width="20.85546875" style="1" customWidth="1"/>
    <col min="9197" max="9197" width="13.28515625" style="1" customWidth="1"/>
    <col min="9198" max="9198" width="4.85546875" style="1" customWidth="1"/>
    <col min="9199" max="9199" width="7.5703125" style="1" customWidth="1"/>
    <col min="9200" max="9200" width="20.140625" style="1" customWidth="1"/>
    <col min="9201" max="9201" width="13.42578125" style="1" customWidth="1"/>
    <col min="9202" max="9202" width="1.85546875" style="1" customWidth="1"/>
    <col min="9203" max="9449" width="9.140625" style="1"/>
    <col min="9450" max="9450" width="4.85546875" style="1" customWidth="1"/>
    <col min="9451" max="9451" width="7.85546875" style="1" customWidth="1"/>
    <col min="9452" max="9452" width="20.85546875" style="1" customWidth="1"/>
    <col min="9453" max="9453" width="13.28515625" style="1" customWidth="1"/>
    <col min="9454" max="9454" width="4.85546875" style="1" customWidth="1"/>
    <col min="9455" max="9455" width="7.5703125" style="1" customWidth="1"/>
    <col min="9456" max="9456" width="20.140625" style="1" customWidth="1"/>
    <col min="9457" max="9457" width="13.42578125" style="1" customWidth="1"/>
    <col min="9458" max="9458" width="1.85546875" style="1" customWidth="1"/>
    <col min="9459" max="9705" width="9.140625" style="1"/>
    <col min="9706" max="9706" width="4.85546875" style="1" customWidth="1"/>
    <col min="9707" max="9707" width="7.85546875" style="1" customWidth="1"/>
    <col min="9708" max="9708" width="20.85546875" style="1" customWidth="1"/>
    <col min="9709" max="9709" width="13.28515625" style="1" customWidth="1"/>
    <col min="9710" max="9710" width="4.85546875" style="1" customWidth="1"/>
    <col min="9711" max="9711" width="7.5703125" style="1" customWidth="1"/>
    <col min="9712" max="9712" width="20.140625" style="1" customWidth="1"/>
    <col min="9713" max="9713" width="13.42578125" style="1" customWidth="1"/>
    <col min="9714" max="9714" width="1.85546875" style="1" customWidth="1"/>
    <col min="9715" max="9961" width="9.140625" style="1"/>
    <col min="9962" max="9962" width="4.85546875" style="1" customWidth="1"/>
    <col min="9963" max="9963" width="7.85546875" style="1" customWidth="1"/>
    <col min="9964" max="9964" width="20.85546875" style="1" customWidth="1"/>
    <col min="9965" max="9965" width="13.28515625" style="1" customWidth="1"/>
    <col min="9966" max="9966" width="4.85546875" style="1" customWidth="1"/>
    <col min="9967" max="9967" width="7.5703125" style="1" customWidth="1"/>
    <col min="9968" max="9968" width="20.140625" style="1" customWidth="1"/>
    <col min="9969" max="9969" width="13.42578125" style="1" customWidth="1"/>
    <col min="9970" max="9970" width="1.85546875" style="1" customWidth="1"/>
    <col min="9971" max="10217" width="9.140625" style="1"/>
    <col min="10218" max="10218" width="4.85546875" style="1" customWidth="1"/>
    <col min="10219" max="10219" width="7.85546875" style="1" customWidth="1"/>
    <col min="10220" max="10220" width="20.85546875" style="1" customWidth="1"/>
    <col min="10221" max="10221" width="13.28515625" style="1" customWidth="1"/>
    <col min="10222" max="10222" width="4.85546875" style="1" customWidth="1"/>
    <col min="10223" max="10223" width="7.5703125" style="1" customWidth="1"/>
    <col min="10224" max="10224" width="20.140625" style="1" customWidth="1"/>
    <col min="10225" max="10225" width="13.42578125" style="1" customWidth="1"/>
    <col min="10226" max="10226" width="1.85546875" style="1" customWidth="1"/>
    <col min="10227" max="10473" width="9.140625" style="1"/>
    <col min="10474" max="10474" width="4.85546875" style="1" customWidth="1"/>
    <col min="10475" max="10475" width="7.85546875" style="1" customWidth="1"/>
    <col min="10476" max="10476" width="20.85546875" style="1" customWidth="1"/>
    <col min="10477" max="10477" width="13.28515625" style="1" customWidth="1"/>
    <col min="10478" max="10478" width="4.85546875" style="1" customWidth="1"/>
    <col min="10479" max="10479" width="7.5703125" style="1" customWidth="1"/>
    <col min="10480" max="10480" width="20.140625" style="1" customWidth="1"/>
    <col min="10481" max="10481" width="13.42578125" style="1" customWidth="1"/>
    <col min="10482" max="10482" width="1.85546875" style="1" customWidth="1"/>
    <col min="10483" max="10729" width="9.140625" style="1"/>
    <col min="10730" max="10730" width="4.85546875" style="1" customWidth="1"/>
    <col min="10731" max="10731" width="7.85546875" style="1" customWidth="1"/>
    <col min="10732" max="10732" width="20.85546875" style="1" customWidth="1"/>
    <col min="10733" max="10733" width="13.28515625" style="1" customWidth="1"/>
    <col min="10734" max="10734" width="4.85546875" style="1" customWidth="1"/>
    <col min="10735" max="10735" width="7.5703125" style="1" customWidth="1"/>
    <col min="10736" max="10736" width="20.140625" style="1" customWidth="1"/>
    <col min="10737" max="10737" width="13.42578125" style="1" customWidth="1"/>
    <col min="10738" max="10738" width="1.85546875" style="1" customWidth="1"/>
    <col min="10739" max="10985" width="9.140625" style="1"/>
    <col min="10986" max="10986" width="4.85546875" style="1" customWidth="1"/>
    <col min="10987" max="10987" width="7.85546875" style="1" customWidth="1"/>
    <col min="10988" max="10988" width="20.85546875" style="1" customWidth="1"/>
    <col min="10989" max="10989" width="13.28515625" style="1" customWidth="1"/>
    <col min="10990" max="10990" width="4.85546875" style="1" customWidth="1"/>
    <col min="10991" max="10991" width="7.5703125" style="1" customWidth="1"/>
    <col min="10992" max="10992" width="20.140625" style="1" customWidth="1"/>
    <col min="10993" max="10993" width="13.42578125" style="1" customWidth="1"/>
    <col min="10994" max="10994" width="1.85546875" style="1" customWidth="1"/>
    <col min="10995" max="11241" width="9.140625" style="1"/>
    <col min="11242" max="11242" width="4.85546875" style="1" customWidth="1"/>
    <col min="11243" max="11243" width="7.85546875" style="1" customWidth="1"/>
    <col min="11244" max="11244" width="20.85546875" style="1" customWidth="1"/>
    <col min="11245" max="11245" width="13.28515625" style="1" customWidth="1"/>
    <col min="11246" max="11246" width="4.85546875" style="1" customWidth="1"/>
    <col min="11247" max="11247" width="7.5703125" style="1" customWidth="1"/>
    <col min="11248" max="11248" width="20.140625" style="1" customWidth="1"/>
    <col min="11249" max="11249" width="13.42578125" style="1" customWidth="1"/>
    <col min="11250" max="11250" width="1.85546875" style="1" customWidth="1"/>
    <col min="11251" max="11497" width="9.140625" style="1"/>
    <col min="11498" max="11498" width="4.85546875" style="1" customWidth="1"/>
    <col min="11499" max="11499" width="7.85546875" style="1" customWidth="1"/>
    <col min="11500" max="11500" width="20.85546875" style="1" customWidth="1"/>
    <col min="11501" max="11501" width="13.28515625" style="1" customWidth="1"/>
    <col min="11502" max="11502" width="4.85546875" style="1" customWidth="1"/>
    <col min="11503" max="11503" width="7.5703125" style="1" customWidth="1"/>
    <col min="11504" max="11504" width="20.140625" style="1" customWidth="1"/>
    <col min="11505" max="11505" width="13.42578125" style="1" customWidth="1"/>
    <col min="11506" max="11506" width="1.85546875" style="1" customWidth="1"/>
    <col min="11507" max="11753" width="9.140625" style="1"/>
    <col min="11754" max="11754" width="4.85546875" style="1" customWidth="1"/>
    <col min="11755" max="11755" width="7.85546875" style="1" customWidth="1"/>
    <col min="11756" max="11756" width="20.85546875" style="1" customWidth="1"/>
    <col min="11757" max="11757" width="13.28515625" style="1" customWidth="1"/>
    <col min="11758" max="11758" width="4.85546875" style="1" customWidth="1"/>
    <col min="11759" max="11759" width="7.5703125" style="1" customWidth="1"/>
    <col min="11760" max="11760" width="20.140625" style="1" customWidth="1"/>
    <col min="11761" max="11761" width="13.42578125" style="1" customWidth="1"/>
    <col min="11762" max="11762" width="1.85546875" style="1" customWidth="1"/>
    <col min="11763" max="12009" width="9.140625" style="1"/>
    <col min="12010" max="12010" width="4.85546875" style="1" customWidth="1"/>
    <col min="12011" max="12011" width="7.85546875" style="1" customWidth="1"/>
    <col min="12012" max="12012" width="20.85546875" style="1" customWidth="1"/>
    <col min="12013" max="12013" width="13.28515625" style="1" customWidth="1"/>
    <col min="12014" max="12014" width="4.85546875" style="1" customWidth="1"/>
    <col min="12015" max="12015" width="7.5703125" style="1" customWidth="1"/>
    <col min="12016" max="12016" width="20.140625" style="1" customWidth="1"/>
    <col min="12017" max="12017" width="13.42578125" style="1" customWidth="1"/>
    <col min="12018" max="12018" width="1.85546875" style="1" customWidth="1"/>
    <col min="12019" max="12265" width="9.140625" style="1"/>
    <col min="12266" max="12266" width="4.85546875" style="1" customWidth="1"/>
    <col min="12267" max="12267" width="7.85546875" style="1" customWidth="1"/>
    <col min="12268" max="12268" width="20.85546875" style="1" customWidth="1"/>
    <col min="12269" max="12269" width="13.28515625" style="1" customWidth="1"/>
    <col min="12270" max="12270" width="4.85546875" style="1" customWidth="1"/>
    <col min="12271" max="12271" width="7.5703125" style="1" customWidth="1"/>
    <col min="12272" max="12272" width="20.140625" style="1" customWidth="1"/>
    <col min="12273" max="12273" width="13.42578125" style="1" customWidth="1"/>
    <col min="12274" max="12274" width="1.85546875" style="1" customWidth="1"/>
    <col min="12275" max="12521" width="9.140625" style="1"/>
    <col min="12522" max="12522" width="4.85546875" style="1" customWidth="1"/>
    <col min="12523" max="12523" width="7.85546875" style="1" customWidth="1"/>
    <col min="12524" max="12524" width="20.85546875" style="1" customWidth="1"/>
    <col min="12525" max="12525" width="13.28515625" style="1" customWidth="1"/>
    <col min="12526" max="12526" width="4.85546875" style="1" customWidth="1"/>
    <col min="12527" max="12527" width="7.5703125" style="1" customWidth="1"/>
    <col min="12528" max="12528" width="20.140625" style="1" customWidth="1"/>
    <col min="12529" max="12529" width="13.42578125" style="1" customWidth="1"/>
    <col min="12530" max="12530" width="1.85546875" style="1" customWidth="1"/>
    <col min="12531" max="12777" width="9.140625" style="1"/>
    <col min="12778" max="12778" width="4.85546875" style="1" customWidth="1"/>
    <col min="12779" max="12779" width="7.85546875" style="1" customWidth="1"/>
    <col min="12780" max="12780" width="20.85546875" style="1" customWidth="1"/>
    <col min="12781" max="12781" width="13.28515625" style="1" customWidth="1"/>
    <col min="12782" max="12782" width="4.85546875" style="1" customWidth="1"/>
    <col min="12783" max="12783" width="7.5703125" style="1" customWidth="1"/>
    <col min="12784" max="12784" width="20.140625" style="1" customWidth="1"/>
    <col min="12785" max="12785" width="13.42578125" style="1" customWidth="1"/>
    <col min="12786" max="12786" width="1.85546875" style="1" customWidth="1"/>
    <col min="12787" max="13033" width="9.140625" style="1"/>
    <col min="13034" max="13034" width="4.85546875" style="1" customWidth="1"/>
    <col min="13035" max="13035" width="7.85546875" style="1" customWidth="1"/>
    <col min="13036" max="13036" width="20.85546875" style="1" customWidth="1"/>
    <col min="13037" max="13037" width="13.28515625" style="1" customWidth="1"/>
    <col min="13038" max="13038" width="4.85546875" style="1" customWidth="1"/>
    <col min="13039" max="13039" width="7.5703125" style="1" customWidth="1"/>
    <col min="13040" max="13040" width="20.140625" style="1" customWidth="1"/>
    <col min="13041" max="13041" width="13.42578125" style="1" customWidth="1"/>
    <col min="13042" max="13042" width="1.85546875" style="1" customWidth="1"/>
    <col min="13043" max="13289" width="9.140625" style="1"/>
    <col min="13290" max="13290" width="4.85546875" style="1" customWidth="1"/>
    <col min="13291" max="13291" width="7.85546875" style="1" customWidth="1"/>
    <col min="13292" max="13292" width="20.85546875" style="1" customWidth="1"/>
    <col min="13293" max="13293" width="13.28515625" style="1" customWidth="1"/>
    <col min="13294" max="13294" width="4.85546875" style="1" customWidth="1"/>
    <col min="13295" max="13295" width="7.5703125" style="1" customWidth="1"/>
    <col min="13296" max="13296" width="20.140625" style="1" customWidth="1"/>
    <col min="13297" max="13297" width="13.42578125" style="1" customWidth="1"/>
    <col min="13298" max="13298" width="1.85546875" style="1" customWidth="1"/>
    <col min="13299" max="13545" width="9.140625" style="1"/>
    <col min="13546" max="13546" width="4.85546875" style="1" customWidth="1"/>
    <col min="13547" max="13547" width="7.85546875" style="1" customWidth="1"/>
    <col min="13548" max="13548" width="20.85546875" style="1" customWidth="1"/>
    <col min="13549" max="13549" width="13.28515625" style="1" customWidth="1"/>
    <col min="13550" max="13550" width="4.85546875" style="1" customWidth="1"/>
    <col min="13551" max="13551" width="7.5703125" style="1" customWidth="1"/>
    <col min="13552" max="13552" width="20.140625" style="1" customWidth="1"/>
    <col min="13553" max="13553" width="13.42578125" style="1" customWidth="1"/>
    <col min="13554" max="13554" width="1.85546875" style="1" customWidth="1"/>
    <col min="13555" max="13801" width="9.140625" style="1"/>
    <col min="13802" max="13802" width="4.85546875" style="1" customWidth="1"/>
    <col min="13803" max="13803" width="7.85546875" style="1" customWidth="1"/>
    <col min="13804" max="13804" width="20.85546875" style="1" customWidth="1"/>
    <col min="13805" max="13805" width="13.28515625" style="1" customWidth="1"/>
    <col min="13806" max="13806" width="4.85546875" style="1" customWidth="1"/>
    <col min="13807" max="13807" width="7.5703125" style="1" customWidth="1"/>
    <col min="13808" max="13808" width="20.140625" style="1" customWidth="1"/>
    <col min="13809" max="13809" width="13.42578125" style="1" customWidth="1"/>
    <col min="13810" max="13810" width="1.85546875" style="1" customWidth="1"/>
    <col min="13811" max="14057" width="9.140625" style="1"/>
    <col min="14058" max="14058" width="4.85546875" style="1" customWidth="1"/>
    <col min="14059" max="14059" width="7.85546875" style="1" customWidth="1"/>
    <col min="14060" max="14060" width="20.85546875" style="1" customWidth="1"/>
    <col min="14061" max="14061" width="13.28515625" style="1" customWidth="1"/>
    <col min="14062" max="14062" width="4.85546875" style="1" customWidth="1"/>
    <col min="14063" max="14063" width="7.5703125" style="1" customWidth="1"/>
    <col min="14064" max="14064" width="20.140625" style="1" customWidth="1"/>
    <col min="14065" max="14065" width="13.42578125" style="1" customWidth="1"/>
    <col min="14066" max="14066" width="1.85546875" style="1" customWidth="1"/>
    <col min="14067" max="14313" width="9.140625" style="1"/>
    <col min="14314" max="14314" width="4.85546875" style="1" customWidth="1"/>
    <col min="14315" max="14315" width="7.85546875" style="1" customWidth="1"/>
    <col min="14316" max="14316" width="20.85546875" style="1" customWidth="1"/>
    <col min="14317" max="14317" width="13.28515625" style="1" customWidth="1"/>
    <col min="14318" max="14318" width="4.85546875" style="1" customWidth="1"/>
    <col min="14319" max="14319" width="7.5703125" style="1" customWidth="1"/>
    <col min="14320" max="14320" width="20.140625" style="1" customWidth="1"/>
    <col min="14321" max="14321" width="13.42578125" style="1" customWidth="1"/>
    <col min="14322" max="14322" width="1.85546875" style="1" customWidth="1"/>
    <col min="14323" max="14569" width="9.140625" style="1"/>
    <col min="14570" max="14570" width="4.85546875" style="1" customWidth="1"/>
    <col min="14571" max="14571" width="7.85546875" style="1" customWidth="1"/>
    <col min="14572" max="14572" width="20.85546875" style="1" customWidth="1"/>
    <col min="14573" max="14573" width="13.28515625" style="1" customWidth="1"/>
    <col min="14574" max="14574" width="4.85546875" style="1" customWidth="1"/>
    <col min="14575" max="14575" width="7.5703125" style="1" customWidth="1"/>
    <col min="14576" max="14576" width="20.140625" style="1" customWidth="1"/>
    <col min="14577" max="14577" width="13.42578125" style="1" customWidth="1"/>
    <col min="14578" max="14578" width="1.85546875" style="1" customWidth="1"/>
    <col min="14579" max="14825" width="9.140625" style="1"/>
    <col min="14826" max="14826" width="4.85546875" style="1" customWidth="1"/>
    <col min="14827" max="14827" width="7.85546875" style="1" customWidth="1"/>
    <col min="14828" max="14828" width="20.85546875" style="1" customWidth="1"/>
    <col min="14829" max="14829" width="13.28515625" style="1" customWidth="1"/>
    <col min="14830" max="14830" width="4.85546875" style="1" customWidth="1"/>
    <col min="14831" max="14831" width="7.5703125" style="1" customWidth="1"/>
    <col min="14832" max="14832" width="20.140625" style="1" customWidth="1"/>
    <col min="14833" max="14833" width="13.42578125" style="1" customWidth="1"/>
    <col min="14834" max="14834" width="1.85546875" style="1" customWidth="1"/>
    <col min="14835" max="15081" width="9.140625" style="1"/>
    <col min="15082" max="15082" width="4.85546875" style="1" customWidth="1"/>
    <col min="15083" max="15083" width="7.85546875" style="1" customWidth="1"/>
    <col min="15084" max="15084" width="20.85546875" style="1" customWidth="1"/>
    <col min="15085" max="15085" width="13.28515625" style="1" customWidth="1"/>
    <col min="15086" max="15086" width="4.85546875" style="1" customWidth="1"/>
    <col min="15087" max="15087" width="7.5703125" style="1" customWidth="1"/>
    <col min="15088" max="15088" width="20.140625" style="1" customWidth="1"/>
    <col min="15089" max="15089" width="13.42578125" style="1" customWidth="1"/>
    <col min="15090" max="15090" width="1.85546875" style="1" customWidth="1"/>
    <col min="15091" max="15337" width="9.140625" style="1"/>
    <col min="15338" max="15338" width="4.85546875" style="1" customWidth="1"/>
    <col min="15339" max="15339" width="7.85546875" style="1" customWidth="1"/>
    <col min="15340" max="15340" width="20.85546875" style="1" customWidth="1"/>
    <col min="15341" max="15341" width="13.28515625" style="1" customWidth="1"/>
    <col min="15342" max="15342" width="4.85546875" style="1" customWidth="1"/>
    <col min="15343" max="15343" width="7.5703125" style="1" customWidth="1"/>
    <col min="15344" max="15344" width="20.140625" style="1" customWidth="1"/>
    <col min="15345" max="15345" width="13.42578125" style="1" customWidth="1"/>
    <col min="15346" max="15346" width="1.85546875" style="1" customWidth="1"/>
    <col min="15347" max="15593" width="9.140625" style="1"/>
    <col min="15594" max="15594" width="4.85546875" style="1" customWidth="1"/>
    <col min="15595" max="15595" width="7.85546875" style="1" customWidth="1"/>
    <col min="15596" max="15596" width="20.85546875" style="1" customWidth="1"/>
    <col min="15597" max="15597" width="13.28515625" style="1" customWidth="1"/>
    <col min="15598" max="15598" width="4.85546875" style="1" customWidth="1"/>
    <col min="15599" max="15599" width="7.5703125" style="1" customWidth="1"/>
    <col min="15600" max="15600" width="20.140625" style="1" customWidth="1"/>
    <col min="15601" max="15601" width="13.42578125" style="1" customWidth="1"/>
    <col min="15602" max="15602" width="1.85546875" style="1" customWidth="1"/>
    <col min="15603" max="15849" width="9.140625" style="1"/>
    <col min="15850" max="15850" width="4.85546875" style="1" customWidth="1"/>
    <col min="15851" max="15851" width="7.85546875" style="1" customWidth="1"/>
    <col min="15852" max="15852" width="20.85546875" style="1" customWidth="1"/>
    <col min="15853" max="15853" width="13.28515625" style="1" customWidth="1"/>
    <col min="15854" max="15854" width="4.85546875" style="1" customWidth="1"/>
    <col min="15855" max="15855" width="7.5703125" style="1" customWidth="1"/>
    <col min="15856" max="15856" width="20.140625" style="1" customWidth="1"/>
    <col min="15857" max="15857" width="13.42578125" style="1" customWidth="1"/>
    <col min="15858" max="15858" width="1.85546875" style="1" customWidth="1"/>
    <col min="15859" max="16105" width="9.140625" style="1"/>
    <col min="16106" max="16106" width="4.85546875" style="1" customWidth="1"/>
    <col min="16107" max="16107" width="7.85546875" style="1" customWidth="1"/>
    <col min="16108" max="16108" width="20.85546875" style="1" customWidth="1"/>
    <col min="16109" max="16109" width="13.28515625" style="1" customWidth="1"/>
    <col min="16110" max="16110" width="4.85546875" style="1" customWidth="1"/>
    <col min="16111" max="16111" width="7.5703125" style="1" customWidth="1"/>
    <col min="16112" max="16112" width="20.140625" style="1" customWidth="1"/>
    <col min="16113" max="16113" width="13.42578125" style="1" customWidth="1"/>
    <col min="16114" max="16114" width="1.85546875" style="1" customWidth="1"/>
    <col min="16115" max="16368" width="9.140625" style="1"/>
    <col min="16369" max="16384" width="9" style="1"/>
  </cols>
  <sheetData>
    <row r="1" spans="1:12" ht="12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2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2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5" t="s">
        <v>3</v>
      </c>
    </row>
    <row r="4" spans="1:12" ht="12" customHeight="1">
      <c r="A4" s="13" t="s">
        <v>4</v>
      </c>
      <c r="B4" s="13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3" t="s">
        <v>4</v>
      </c>
      <c r="H4" s="13" t="s">
        <v>5</v>
      </c>
      <c r="I4" s="14" t="s">
        <v>6</v>
      </c>
      <c r="J4" s="14" t="s">
        <v>7</v>
      </c>
      <c r="K4" s="14" t="s">
        <v>8</v>
      </c>
      <c r="L4" s="14" t="s">
        <v>9</v>
      </c>
    </row>
    <row r="5" spans="1:12" ht="12" customHeight="1">
      <c r="A5" s="15" t="s">
        <v>10</v>
      </c>
      <c r="B5" s="15" t="s">
        <v>11</v>
      </c>
      <c r="C5" s="16"/>
      <c r="D5" s="16"/>
      <c r="E5" s="16"/>
      <c r="F5" s="16"/>
      <c r="G5" s="15" t="s">
        <v>10</v>
      </c>
      <c r="H5" s="15" t="s">
        <v>11</v>
      </c>
      <c r="I5" s="16"/>
      <c r="J5" s="16"/>
      <c r="K5" s="16"/>
      <c r="L5" s="16"/>
    </row>
    <row r="6" spans="1:12" ht="12" customHeight="1">
      <c r="A6" s="17" t="s">
        <v>12</v>
      </c>
      <c r="B6" s="17"/>
      <c r="C6" s="18" t="s">
        <v>13</v>
      </c>
      <c r="D6" s="18"/>
      <c r="E6" s="18"/>
      <c r="F6" s="18"/>
      <c r="G6" s="17" t="s">
        <v>14</v>
      </c>
      <c r="H6" s="17"/>
      <c r="I6" s="18" t="s">
        <v>15</v>
      </c>
      <c r="J6" s="18"/>
      <c r="K6" s="18"/>
      <c r="L6" s="18"/>
    </row>
    <row r="7" spans="1:12" ht="12" customHeight="1">
      <c r="A7" s="19"/>
      <c r="B7" s="19"/>
      <c r="C7" s="20"/>
      <c r="D7" s="20"/>
      <c r="E7" s="20"/>
      <c r="F7" s="20"/>
      <c r="G7" s="19"/>
      <c r="H7" s="19"/>
      <c r="I7" s="20"/>
      <c r="J7" s="20"/>
      <c r="K7" s="20"/>
      <c r="L7" s="20"/>
    </row>
    <row r="8" spans="1:12" ht="12" customHeight="1">
      <c r="A8" s="20"/>
      <c r="B8" s="19">
        <v>1111</v>
      </c>
      <c r="C8" s="20" t="s">
        <v>16</v>
      </c>
      <c r="D8" s="21">
        <v>177544618</v>
      </c>
      <c r="E8" s="21">
        <v>94693839</v>
      </c>
      <c r="F8" s="22">
        <v>96990477</v>
      </c>
      <c r="G8" s="20"/>
      <c r="H8" s="19">
        <v>2111</v>
      </c>
      <c r="I8" s="20" t="s">
        <v>17</v>
      </c>
      <c r="J8" s="23">
        <v>361297246</v>
      </c>
      <c r="K8" s="21">
        <v>388423985</v>
      </c>
      <c r="L8" s="21">
        <v>359812985</v>
      </c>
    </row>
    <row r="9" spans="1:12" ht="12" customHeight="1">
      <c r="A9" s="20"/>
      <c r="B9" s="19">
        <v>1112</v>
      </c>
      <c r="C9" s="20" t="s">
        <v>18</v>
      </c>
      <c r="D9" s="24">
        <v>258709183</v>
      </c>
      <c r="E9" s="24">
        <v>223185255</v>
      </c>
      <c r="F9" s="25">
        <v>263175923</v>
      </c>
      <c r="G9" s="20"/>
      <c r="H9" s="19">
        <v>2112</v>
      </c>
      <c r="I9" s="20" t="s">
        <v>19</v>
      </c>
      <c r="J9" s="21">
        <f>'[1]TADP-2112'!$F$16</f>
        <v>0</v>
      </c>
      <c r="K9" s="21">
        <f>'[2]TADP-2112'!$F$16</f>
        <v>0</v>
      </c>
      <c r="L9" s="21">
        <v>1275000</v>
      </c>
    </row>
    <row r="10" spans="1:12" ht="12" customHeight="1">
      <c r="A10" s="20"/>
      <c r="B10" s="19">
        <v>1113</v>
      </c>
      <c r="C10" s="20" t="s">
        <v>20</v>
      </c>
      <c r="D10" s="21">
        <v>456870000</v>
      </c>
      <c r="E10" s="21">
        <v>570190000</v>
      </c>
      <c r="F10" s="21">
        <v>484420000</v>
      </c>
      <c r="G10" s="20"/>
      <c r="H10" s="19">
        <v>2113</v>
      </c>
      <c r="I10" s="20" t="s">
        <v>21</v>
      </c>
      <c r="J10" s="21">
        <v>8611000</v>
      </c>
      <c r="K10" s="21">
        <v>9587700</v>
      </c>
      <c r="L10" s="21">
        <v>11237050</v>
      </c>
    </row>
    <row r="11" spans="1:12" ht="12" customHeight="1">
      <c r="A11" s="20"/>
      <c r="B11" s="19"/>
      <c r="C11" s="20"/>
      <c r="D11" s="21"/>
      <c r="E11" s="21"/>
      <c r="F11" s="21"/>
      <c r="G11" s="20"/>
      <c r="H11" s="19">
        <v>2114</v>
      </c>
      <c r="I11" s="20" t="s">
        <v>22</v>
      </c>
      <c r="J11" s="21">
        <v>10159927</v>
      </c>
      <c r="K11" s="21">
        <v>11377176</v>
      </c>
      <c r="L11" s="21">
        <v>11510326</v>
      </c>
    </row>
    <row r="12" spans="1:12" ht="12" customHeight="1">
      <c r="A12" s="20"/>
      <c r="B12" s="19"/>
      <c r="C12" s="20"/>
      <c r="D12" s="21"/>
      <c r="E12" s="21"/>
      <c r="F12" s="21"/>
      <c r="G12" s="20"/>
      <c r="H12" s="19">
        <v>2115</v>
      </c>
      <c r="I12" s="20" t="s">
        <v>23</v>
      </c>
      <c r="J12" s="21">
        <v>7642726</v>
      </c>
      <c r="K12" s="21">
        <v>9265478</v>
      </c>
      <c r="L12" s="21">
        <v>6718629</v>
      </c>
    </row>
    <row r="13" spans="1:12" ht="12" customHeight="1">
      <c r="A13" s="20"/>
      <c r="B13" s="19"/>
      <c r="C13" s="20"/>
      <c r="D13" s="21"/>
      <c r="E13" s="21"/>
      <c r="F13" s="21"/>
      <c r="G13" s="20"/>
      <c r="H13" s="19"/>
      <c r="I13" s="20"/>
      <c r="J13" s="21"/>
      <c r="K13" s="21"/>
      <c r="L13" s="21"/>
    </row>
    <row r="14" spans="1:12" ht="12" customHeight="1">
      <c r="A14" s="20" t="s">
        <v>14</v>
      </c>
      <c r="B14" s="19">
        <v>1121</v>
      </c>
      <c r="C14" s="20" t="s">
        <v>24</v>
      </c>
      <c r="D14" s="21">
        <v>16564680</v>
      </c>
      <c r="E14" s="21">
        <v>16564680</v>
      </c>
      <c r="F14" s="21">
        <v>16564680</v>
      </c>
      <c r="G14" s="19" t="s">
        <v>25</v>
      </c>
      <c r="H14" s="19"/>
      <c r="I14" s="20" t="s">
        <v>26</v>
      </c>
      <c r="J14" s="21"/>
      <c r="K14" s="21"/>
      <c r="L14" s="21"/>
    </row>
    <row r="15" spans="1:12" ht="12" customHeight="1">
      <c r="A15" s="20"/>
      <c r="B15" s="19">
        <v>1122</v>
      </c>
      <c r="C15" s="20" t="s">
        <v>27</v>
      </c>
      <c r="D15" s="21">
        <v>2950000</v>
      </c>
      <c r="E15" s="21">
        <v>2950000</v>
      </c>
      <c r="F15" s="21">
        <v>2950000</v>
      </c>
      <c r="G15" s="20"/>
      <c r="H15" s="19">
        <v>2116</v>
      </c>
      <c r="I15" s="20" t="s">
        <v>28</v>
      </c>
      <c r="J15" s="21">
        <v>15982090</v>
      </c>
      <c r="K15" s="21">
        <v>11834300</v>
      </c>
      <c r="L15" s="21">
        <v>40959800</v>
      </c>
    </row>
    <row r="16" spans="1:12" ht="12" customHeight="1">
      <c r="A16" s="20"/>
      <c r="B16" s="19">
        <v>1123</v>
      </c>
      <c r="C16" s="20" t="s">
        <v>29</v>
      </c>
      <c r="D16" s="21">
        <v>4350000</v>
      </c>
      <c r="E16" s="21">
        <v>4350000</v>
      </c>
      <c r="F16" s="21">
        <v>4350000</v>
      </c>
      <c r="G16" s="20"/>
      <c r="H16" s="19">
        <v>2117</v>
      </c>
      <c r="I16" s="20" t="s">
        <v>30</v>
      </c>
      <c r="J16" s="21">
        <v>13302642</v>
      </c>
      <c r="K16" s="21">
        <f>'[2]Peny. Jasa SM-2117'!$F$17</f>
        <v>1202642</v>
      </c>
      <c r="L16" s="21">
        <v>21580719</v>
      </c>
    </row>
    <row r="17" spans="1:14" ht="12" customHeight="1">
      <c r="A17" s="20"/>
      <c r="B17" s="19">
        <v>1124</v>
      </c>
      <c r="C17" s="20" t="s">
        <v>31</v>
      </c>
      <c r="D17" s="21">
        <v>25485000</v>
      </c>
      <c r="E17" s="21">
        <v>25485000</v>
      </c>
      <c r="F17" s="21">
        <v>25485000</v>
      </c>
      <c r="G17" s="20"/>
      <c r="H17" s="19">
        <v>2118</v>
      </c>
      <c r="I17" s="20" t="s">
        <v>32</v>
      </c>
      <c r="J17" s="26">
        <v>38006448</v>
      </c>
      <c r="K17" s="27">
        <v>54464158</v>
      </c>
      <c r="L17" s="28">
        <v>33619440</v>
      </c>
    </row>
    <row r="18" spans="1:14" ht="12" customHeight="1">
      <c r="A18" s="20"/>
      <c r="B18" s="19">
        <v>1125</v>
      </c>
      <c r="C18" s="20" t="s">
        <v>60</v>
      </c>
      <c r="D18" s="21">
        <v>1860800</v>
      </c>
      <c r="E18" s="21">
        <v>1860800</v>
      </c>
      <c r="F18" s="21">
        <v>310800</v>
      </c>
      <c r="G18" s="20"/>
      <c r="H18" s="19">
        <v>2119</v>
      </c>
      <c r="I18" s="20" t="s">
        <v>33</v>
      </c>
      <c r="J18" s="21">
        <v>27221445</v>
      </c>
      <c r="K18" s="21">
        <v>29938945</v>
      </c>
      <c r="L18" s="21">
        <v>34902695</v>
      </c>
    </row>
    <row r="19" spans="1:14" ht="12" customHeight="1">
      <c r="A19" s="20"/>
      <c r="B19" s="19">
        <v>1126</v>
      </c>
      <c r="C19" s="20" t="s">
        <v>34</v>
      </c>
      <c r="D19" s="21">
        <v>465000</v>
      </c>
      <c r="E19" s="21">
        <v>465000</v>
      </c>
      <c r="F19" s="21"/>
      <c r="G19" s="20"/>
      <c r="H19" s="19">
        <v>2120</v>
      </c>
      <c r="I19" s="20" t="s">
        <v>35</v>
      </c>
      <c r="J19" s="21">
        <f>'[1]DDUA-2120'!$F$16</f>
        <v>0</v>
      </c>
      <c r="K19" s="21">
        <f>'[2]DDUA-2120'!$F$16</f>
        <v>0</v>
      </c>
      <c r="L19" s="21">
        <v>0</v>
      </c>
    </row>
    <row r="20" spans="1:14" ht="12" customHeight="1">
      <c r="A20" s="20"/>
      <c r="B20" s="19">
        <v>1131</v>
      </c>
      <c r="C20" s="20" t="s">
        <v>36</v>
      </c>
      <c r="D20" s="21">
        <v>4000000</v>
      </c>
      <c r="E20" s="21">
        <v>4000000</v>
      </c>
      <c r="F20" s="21"/>
      <c r="G20" s="20"/>
      <c r="H20" s="19">
        <v>2121</v>
      </c>
      <c r="I20" s="20" t="s">
        <v>37</v>
      </c>
      <c r="J20" s="21">
        <v>0</v>
      </c>
      <c r="K20" s="21">
        <f>'[2]DDPPK-2121'!$F$16</f>
        <v>2474918</v>
      </c>
      <c r="L20" s="21">
        <v>18</v>
      </c>
    </row>
    <row r="21" spans="1:14" ht="12" customHeight="1">
      <c r="A21" s="20"/>
      <c r="B21" s="19"/>
      <c r="C21" s="20"/>
      <c r="D21" s="21"/>
      <c r="E21" s="21"/>
      <c r="F21" s="21"/>
      <c r="G21" s="20"/>
      <c r="H21" s="19"/>
      <c r="I21" s="20" t="s">
        <v>38</v>
      </c>
      <c r="J21" s="21"/>
      <c r="K21" s="21"/>
      <c r="L21" s="21"/>
    </row>
    <row r="22" spans="1:14" ht="12" customHeight="1">
      <c r="A22" s="20"/>
      <c r="B22" s="19"/>
      <c r="C22" s="20"/>
      <c r="D22" s="21"/>
      <c r="E22" s="21"/>
      <c r="F22" s="21"/>
      <c r="G22" s="20"/>
      <c r="H22" s="19"/>
      <c r="I22" s="20"/>
      <c r="J22" s="21"/>
      <c r="K22" s="21"/>
      <c r="L22" s="21"/>
      <c r="N22" s="1" t="s">
        <v>39</v>
      </c>
    </row>
    <row r="23" spans="1:14" ht="12" customHeight="1">
      <c r="A23" s="20"/>
      <c r="B23" s="20"/>
      <c r="C23" s="20"/>
      <c r="D23" s="21"/>
      <c r="E23" s="21"/>
      <c r="F23" s="21"/>
      <c r="G23" s="19" t="s">
        <v>40</v>
      </c>
      <c r="H23" s="19"/>
      <c r="I23" s="20" t="s">
        <v>41</v>
      </c>
      <c r="J23" s="21"/>
      <c r="K23" s="21"/>
      <c r="L23" s="21"/>
    </row>
    <row r="24" spans="1:14" ht="12" customHeight="1">
      <c r="A24" s="20"/>
      <c r="B24" s="20"/>
      <c r="C24" s="20"/>
      <c r="D24" s="21"/>
      <c r="E24" s="21"/>
      <c r="F24" s="21"/>
      <c r="G24" s="19"/>
      <c r="H24" s="19">
        <v>3111</v>
      </c>
      <c r="I24" s="20" t="s">
        <v>42</v>
      </c>
      <c r="J24" s="21">
        <v>55675480</v>
      </c>
      <c r="K24" s="29">
        <v>55675480</v>
      </c>
      <c r="L24" s="21">
        <v>49660480</v>
      </c>
    </row>
    <row r="25" spans="1:14" ht="12" customHeight="1">
      <c r="A25" s="20"/>
      <c r="B25" s="20"/>
      <c r="C25" s="20"/>
      <c r="D25" s="21"/>
      <c r="E25" s="21"/>
      <c r="F25" s="21"/>
      <c r="G25" s="20"/>
      <c r="H25" s="19">
        <v>3112</v>
      </c>
      <c r="I25" s="20" t="s">
        <v>43</v>
      </c>
      <c r="J25" s="21">
        <v>16400000</v>
      </c>
      <c r="K25" s="21">
        <v>15800000</v>
      </c>
      <c r="L25" s="21">
        <v>15000000</v>
      </c>
    </row>
    <row r="26" spans="1:14" ht="12" customHeight="1">
      <c r="A26" s="20"/>
      <c r="B26" s="20"/>
      <c r="C26" s="20"/>
      <c r="D26" s="21"/>
      <c r="E26" s="21"/>
      <c r="F26" s="21"/>
      <c r="G26" s="20"/>
      <c r="H26" s="19">
        <v>3113</v>
      </c>
      <c r="I26" s="20" t="s">
        <v>44</v>
      </c>
      <c r="J26" s="21">
        <v>310554000</v>
      </c>
      <c r="K26" s="21">
        <v>280581000</v>
      </c>
      <c r="L26" s="21">
        <v>245781000</v>
      </c>
    </row>
    <row r="27" spans="1:14" ht="12" customHeight="1">
      <c r="A27" s="20"/>
      <c r="B27" s="20"/>
      <c r="C27" s="20"/>
      <c r="D27" s="21"/>
      <c r="E27" s="21"/>
      <c r="F27" s="21"/>
      <c r="G27" s="20"/>
      <c r="H27" s="19">
        <v>3114</v>
      </c>
      <c r="I27" s="20" t="s">
        <v>45</v>
      </c>
      <c r="J27" s="21">
        <v>6590824</v>
      </c>
      <c r="K27" s="21">
        <v>4712376</v>
      </c>
      <c r="L27" s="21">
        <v>1477996</v>
      </c>
    </row>
    <row r="28" spans="1:14" ht="12" customHeight="1">
      <c r="A28" s="20"/>
      <c r="B28" s="20"/>
      <c r="C28" s="20"/>
      <c r="D28" s="21"/>
      <c r="E28" s="21"/>
      <c r="F28" s="21"/>
      <c r="G28" s="20"/>
      <c r="H28" s="19">
        <v>3115</v>
      </c>
      <c r="I28" s="20" t="s">
        <v>46</v>
      </c>
      <c r="J28" s="21">
        <v>14936661</v>
      </c>
      <c r="K28" s="21">
        <v>12783911</v>
      </c>
      <c r="L28" s="21">
        <v>10404486</v>
      </c>
    </row>
    <row r="29" spans="1:14" ht="12" customHeight="1">
      <c r="A29" s="20"/>
      <c r="B29" s="20"/>
      <c r="C29" s="20"/>
      <c r="D29" s="21"/>
      <c r="E29" s="21"/>
      <c r="F29" s="21"/>
      <c r="G29" s="20"/>
      <c r="H29" s="19">
        <v>3116</v>
      </c>
      <c r="I29" s="20" t="s">
        <v>47</v>
      </c>
      <c r="J29" s="21">
        <v>25513535</v>
      </c>
      <c r="K29" s="21">
        <f>'[2]Cad-3116'!$F$17</f>
        <v>21082541</v>
      </c>
      <c r="L29" s="21">
        <v>16807768</v>
      </c>
    </row>
    <row r="30" spans="1:14" ht="12" customHeight="1">
      <c r="A30" s="20"/>
      <c r="B30" s="20"/>
      <c r="C30" s="20"/>
      <c r="D30" s="21"/>
      <c r="E30" s="21"/>
      <c r="F30" s="21"/>
      <c r="G30" s="20"/>
      <c r="H30" s="19">
        <v>3117</v>
      </c>
      <c r="I30" s="20" t="s">
        <v>48</v>
      </c>
      <c r="J30" s="21">
        <f>'[1]Mod. Penyert.-3117'!$F$16</f>
        <v>5000000</v>
      </c>
      <c r="K30" s="21">
        <f>'[2]Mod. Penyert.-3117'!$F$16</f>
        <v>5000000</v>
      </c>
      <c r="L30" s="21">
        <v>5000000</v>
      </c>
    </row>
    <row r="31" spans="1:14" ht="12" customHeight="1">
      <c r="A31" s="20"/>
      <c r="B31" s="20"/>
      <c r="C31" s="20"/>
      <c r="D31" s="21"/>
      <c r="E31" s="21"/>
      <c r="F31" s="21"/>
      <c r="G31" s="20"/>
      <c r="H31" s="19">
        <v>3118</v>
      </c>
      <c r="I31" s="20" t="s">
        <v>49</v>
      </c>
      <c r="J31" s="24">
        <v>31905257</v>
      </c>
      <c r="K31" s="21">
        <v>29539964</v>
      </c>
      <c r="L31" s="23">
        <v>28498488</v>
      </c>
    </row>
    <row r="32" spans="1:14" ht="12" customHeight="1">
      <c r="A32" s="30"/>
      <c r="B32" s="30"/>
      <c r="C32" s="30"/>
      <c r="D32" s="31"/>
      <c r="E32" s="31"/>
      <c r="F32" s="31"/>
      <c r="G32" s="30"/>
      <c r="H32" s="30"/>
      <c r="I32" s="30"/>
      <c r="J32" s="31"/>
      <c r="K32" s="31"/>
      <c r="L32" s="31"/>
    </row>
    <row r="33" spans="1:12" ht="12" customHeight="1">
      <c r="A33" s="32"/>
      <c r="B33" s="32"/>
      <c r="C33" s="32"/>
      <c r="D33" s="33"/>
      <c r="E33" s="33"/>
      <c r="F33" s="33"/>
      <c r="G33" s="32"/>
      <c r="H33" s="32"/>
      <c r="I33" s="32"/>
      <c r="J33" s="33"/>
      <c r="K33" s="33"/>
      <c r="L33" s="33"/>
    </row>
    <row r="34" spans="1:12" ht="12" customHeight="1">
      <c r="A34" s="34"/>
      <c r="B34" s="34"/>
      <c r="C34" s="34" t="s">
        <v>50</v>
      </c>
      <c r="D34" s="35">
        <f t="shared" ref="D34:F34" si="0">SUM(D8:D33)</f>
        <v>948799281</v>
      </c>
      <c r="E34" s="35">
        <f t="shared" si="0"/>
        <v>943744574</v>
      </c>
      <c r="F34" s="35">
        <f t="shared" si="0"/>
        <v>894246880</v>
      </c>
      <c r="G34" s="34"/>
      <c r="H34" s="34"/>
      <c r="I34" s="34" t="s">
        <v>50</v>
      </c>
      <c r="J34" s="35">
        <f t="shared" ref="J34:L34" si="1">SUM(J8:J33)</f>
        <v>948799281</v>
      </c>
      <c r="K34" s="35">
        <f t="shared" si="1"/>
        <v>943744574</v>
      </c>
      <c r="L34" s="35">
        <f t="shared" si="1"/>
        <v>894246880</v>
      </c>
    </row>
    <row r="35" spans="1:12" ht="12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ht="12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ht="12" customHeight="1">
      <c r="A37" s="6"/>
      <c r="B37" s="6"/>
      <c r="C37" s="10" t="s">
        <v>51</v>
      </c>
      <c r="D37" s="10"/>
      <c r="E37" s="10" t="s">
        <v>52</v>
      </c>
      <c r="F37" s="10"/>
      <c r="G37" s="10"/>
      <c r="H37" s="10"/>
      <c r="I37" s="10" t="s">
        <v>53</v>
      </c>
      <c r="J37" s="10" t="s">
        <v>54</v>
      </c>
      <c r="K37" s="10" t="s">
        <v>61</v>
      </c>
      <c r="L37" s="6"/>
    </row>
    <row r="38" spans="1:12" ht="12" customHeight="1">
      <c r="A38" s="6"/>
      <c r="B38" s="6"/>
      <c r="C38" s="10"/>
      <c r="D38" s="10"/>
      <c r="E38" s="10"/>
      <c r="F38" s="10"/>
      <c r="G38" s="10"/>
      <c r="H38" s="10"/>
      <c r="I38" s="10"/>
      <c r="J38" s="10"/>
      <c r="K38" s="10"/>
      <c r="L38" s="6"/>
    </row>
    <row r="39" spans="1:12" ht="12" customHeight="1">
      <c r="A39" s="6"/>
      <c r="B39" s="6"/>
      <c r="C39" s="10"/>
      <c r="D39" s="10"/>
      <c r="E39" s="10"/>
      <c r="F39" s="10"/>
      <c r="G39" s="10"/>
      <c r="H39" s="10"/>
      <c r="I39" s="10"/>
      <c r="J39" s="10"/>
      <c r="K39" s="10"/>
      <c r="L39" s="6"/>
    </row>
    <row r="40" spans="1:12" ht="12" customHeight="1">
      <c r="A40" s="6"/>
      <c r="B40" s="6"/>
      <c r="C40" s="10"/>
      <c r="D40" s="10"/>
      <c r="E40" s="10"/>
      <c r="F40" s="10"/>
      <c r="G40" s="10"/>
      <c r="H40" s="10"/>
      <c r="I40" s="10"/>
      <c r="J40" s="10"/>
      <c r="K40" s="10"/>
      <c r="L40" s="6"/>
    </row>
    <row r="41" spans="1:12" ht="12" customHeight="1">
      <c r="A41" s="6"/>
      <c r="B41" s="6"/>
      <c r="C41" s="10"/>
      <c r="D41" s="10"/>
      <c r="E41" s="10"/>
      <c r="F41" s="10"/>
      <c r="G41" s="10"/>
      <c r="H41" s="10"/>
      <c r="I41" s="10"/>
      <c r="J41" s="10"/>
      <c r="K41" s="10"/>
      <c r="L41" s="6"/>
    </row>
    <row r="42" spans="1:12" ht="12" customHeight="1">
      <c r="A42" s="6"/>
      <c r="B42" s="6"/>
      <c r="C42" s="10" t="s">
        <v>55</v>
      </c>
      <c r="D42" s="10"/>
      <c r="E42" s="10" t="s">
        <v>56</v>
      </c>
      <c r="F42" s="10"/>
      <c r="G42" s="10"/>
      <c r="H42" s="10"/>
      <c r="I42" s="10" t="s">
        <v>57</v>
      </c>
      <c r="J42" s="10" t="s">
        <v>58</v>
      </c>
      <c r="K42" s="10" t="s">
        <v>59</v>
      </c>
      <c r="L42" s="6"/>
    </row>
    <row r="43" spans="1:12" ht="12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ht="12" customHeight="1">
      <c r="H44" s="2">
        <v>8</v>
      </c>
    </row>
    <row r="45" spans="1:12" ht="12" customHeight="1">
      <c r="L45" s="1" t="s">
        <v>39</v>
      </c>
    </row>
    <row r="48" spans="1:12" ht="12" customHeight="1">
      <c r="C48" s="11"/>
    </row>
    <row r="49" spans="3:8" ht="12" customHeight="1">
      <c r="C49" s="12"/>
    </row>
    <row r="50" spans="3:8" ht="12" customHeight="1">
      <c r="C50" s="12"/>
      <c r="E50" s="8"/>
      <c r="F50" s="8"/>
      <c r="G50" s="8"/>
      <c r="H50" s="8"/>
    </row>
    <row r="51" spans="3:8" ht="12" customHeight="1">
      <c r="C51" s="12"/>
      <c r="E51" s="8"/>
      <c r="F51" s="8"/>
      <c r="G51" s="8"/>
      <c r="H51" s="8"/>
    </row>
    <row r="52" spans="3:8" ht="12" customHeight="1">
      <c r="C52" s="12"/>
    </row>
    <row r="53" spans="3:8" ht="12" customHeight="1">
      <c r="C53" s="12"/>
    </row>
    <row r="54" spans="3:8" ht="12" customHeight="1">
      <c r="C54" s="12"/>
      <c r="E54" s="9"/>
      <c r="F54" s="9"/>
      <c r="G54" s="9"/>
      <c r="H54" s="9"/>
    </row>
    <row r="55" spans="3:8" ht="12" customHeight="1">
      <c r="E55" s="8"/>
      <c r="F55" s="8"/>
      <c r="G55" s="8"/>
      <c r="H55" s="8"/>
    </row>
  </sheetData>
  <mergeCells count="14">
    <mergeCell ref="E55:H55"/>
    <mergeCell ref="C4:C5"/>
    <mergeCell ref="D4:D5"/>
    <mergeCell ref="E4:E5"/>
    <mergeCell ref="F4:F5"/>
    <mergeCell ref="A1:L1"/>
    <mergeCell ref="A2:L2"/>
    <mergeCell ref="E50:H50"/>
    <mergeCell ref="E51:H51"/>
    <mergeCell ref="E54:H54"/>
    <mergeCell ref="I4:I5"/>
    <mergeCell ref="J4:J5"/>
    <mergeCell ref="K4:K5"/>
    <mergeCell ref="L4:L5"/>
  </mergeCells>
  <pageMargins left="0.69930555555555596" right="0.45" top="0.5" bottom="0.25" header="0.3" footer="0.3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P2420L</dc:creator>
  <cp:lastModifiedBy>ASUS</cp:lastModifiedBy>
  <cp:lastPrinted>2026-02-09T13:05:34Z</cp:lastPrinted>
  <dcterms:created xsi:type="dcterms:W3CDTF">2019-03-29T12:56:00Z</dcterms:created>
  <dcterms:modified xsi:type="dcterms:W3CDTF">2026-02-09T17:23:10Z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8C7C0E79997E44C2864E4F88C833D404_12</vt:lpwstr>
  </property>
  <property fmtid="{D5CDD505-2E9C-101B-9397-08002B2CF9AE}" pid="3" name="KSOProductBuildVer">
    <vt:lpwstr>1033-12.9.0.21549</vt:lpwstr>
  </property>
</Properties>
</file>