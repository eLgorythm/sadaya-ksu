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OKUMEN KSU CAHAYA DHAMMA PHALA 2025\BUKU  LAPORAN  PERTANGGUNGJAWABAN  TAHUN BUKU 2025\RISALAH  KSU CAHAYA DHAMMA PHALA PER 31 DES 2025\"/>
    </mc:Choice>
  </mc:AlternateContent>
  <xr:revisionPtr revIDLastSave="0" documentId="13_ncr:1_{6AD89AFE-2A65-4D0C-B8DB-E956B52304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17" i="1"/>
  <c r="J36" i="1" s="1"/>
  <c r="J38" i="1" s="1"/>
</calcChain>
</file>

<file path=xl/sharedStrings.xml><?xml version="1.0" encoding="utf-8"?>
<sst xmlns="http://schemas.openxmlformats.org/spreadsheetml/2006/main" count="71" uniqueCount="49">
  <si>
    <t>KOPERASI  SERBA  USAHA  CAHAYA  DHAMMA  PHALA</t>
  </si>
  <si>
    <t>Badan Hukum No. 2/BH/XIV.1/II/2016 Tanggal 5 Februari  2016</t>
  </si>
  <si>
    <t xml:space="preserve">Alamat: Dukuh Windusari, Desa Sokaraja, Kec. Pagentan, </t>
  </si>
  <si>
    <t>Kab. Banjarnegara, Prov. Jawa Tengah,  Pos 53455</t>
  </si>
  <si>
    <t>PERHITUNGAN  RUGI  LABA</t>
  </si>
  <si>
    <t>A</t>
  </si>
  <si>
    <t>PENGHASILAN</t>
  </si>
  <si>
    <t>Jasa pinjaman untuk penghasilan</t>
  </si>
  <si>
    <t>Rp</t>
  </si>
  <si>
    <t>Administrasi dari pinjaman</t>
  </si>
  <si>
    <t>Jasa Bank</t>
  </si>
  <si>
    <t>Pendapatan Kotor</t>
  </si>
  <si>
    <t>B</t>
  </si>
  <si>
    <t>KEWAJIBAN</t>
  </si>
  <si>
    <t>Rapat Pengurus Rutin</t>
  </si>
  <si>
    <t>Rapat Pengawas</t>
  </si>
  <si>
    <t>Rapat Gabungan</t>
  </si>
  <si>
    <t>Lembur Pengurus</t>
  </si>
  <si>
    <t>Sarana Administrasi</t>
  </si>
  <si>
    <t>Pembinaan</t>
  </si>
  <si>
    <t>Transport Pengurus/Pengawas</t>
  </si>
  <si>
    <t>Jasa Simpanan Manasuka</t>
  </si>
  <si>
    <t xml:space="preserve">Jumlah </t>
  </si>
  <si>
    <t>C</t>
  </si>
  <si>
    <t>Sisa Hasil Usaha Sebelum Pajak</t>
  </si>
  <si>
    <t>Pengurus KSU "Cahaya Dhamma Phala"</t>
  </si>
  <si>
    <t>Ketua</t>
  </si>
  <si>
    <t>Wakil Ketua</t>
  </si>
  <si>
    <t>Sekretaris</t>
  </si>
  <si>
    <t>Bendahara</t>
  </si>
  <si>
    <t>Waridi</t>
  </si>
  <si>
    <t>Juliyah</t>
  </si>
  <si>
    <t>Dwi Vijjayanti</t>
  </si>
  <si>
    <t>Oruwasaton</t>
  </si>
  <si>
    <t>Slamet Sutir</t>
  </si>
  <si>
    <t>D.</t>
  </si>
  <si>
    <t>RENCANA  ANGGARAN  PEN</t>
  </si>
  <si>
    <t>Per 31 Desember     2025</t>
  </si>
  <si>
    <t>Pendapatan Usaha Kopi</t>
  </si>
  <si>
    <t>Pendapatan Keripik Kentang</t>
  </si>
  <si>
    <t>Pendapatan Keripik Salak</t>
  </si>
  <si>
    <t>Administrasi Risalah RAT</t>
  </si>
  <si>
    <t>Konsumsi RAT</t>
  </si>
  <si>
    <t>Uang Sidang RAT</t>
  </si>
  <si>
    <t>Akomodasi RAT</t>
  </si>
  <si>
    <t>PPh Pasal 21 = 10% X  35.450.285,-</t>
  </si>
  <si>
    <t xml:space="preserve">Sisa Hasil Usaha </t>
  </si>
  <si>
    <t>Windusari,  31  Desember    2025</t>
  </si>
  <si>
    <t>Pembantu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</si>
</sst>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0" xfId="0" applyNumberFormat="1" applyFont="1"/>
    <xf numFmtId="0" fontId="5" fillId="0" borderId="0" xfId="0" applyFont="1" applyAlignment="1">
      <alignment horizontal="left"/>
    </xf>
    <xf numFmtId="3" fontId="1" fillId="0" borderId="0" xfId="0" applyNumberFormat="1" applyFont="1"/>
    <xf numFmtId="3" fontId="5" fillId="0" borderId="2" xfId="0" applyNumberFormat="1" applyFont="1" applyBorder="1"/>
    <xf numFmtId="0" fontId="1" fillId="0" borderId="0" xfId="0" applyFont="1"/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2</xdr:col>
      <xdr:colOff>19049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5" y="66675"/>
          <a:ext cx="570865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352425</xdr:colOff>
      <xdr:row>43</xdr:row>
      <xdr:rowOff>123825</xdr:rowOff>
    </xdr:from>
    <xdr:to>
      <xdr:col>2</xdr:col>
      <xdr:colOff>466725</xdr:colOff>
      <xdr:row>47</xdr:row>
      <xdr:rowOff>8890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7229475"/>
          <a:ext cx="600075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542925</xdr:colOff>
      <xdr:row>43</xdr:row>
      <xdr:rowOff>85725</xdr:rowOff>
    </xdr:from>
    <xdr:to>
      <xdr:col>4</xdr:col>
      <xdr:colOff>3810</xdr:colOff>
      <xdr:row>47</xdr:row>
      <xdr:rowOff>3175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95400" y="7191375"/>
          <a:ext cx="661035" cy="679450"/>
        </a:xfrm>
        <a:prstGeom prst="rect">
          <a:avLst/>
        </a:prstGeom>
      </xdr:spPr>
    </xdr:pic>
    <xdr:clientData/>
  </xdr:twoCellAnchor>
  <xdr:twoCellAnchor>
    <xdr:from>
      <xdr:col>4</xdr:col>
      <xdr:colOff>552450</xdr:colOff>
      <xdr:row>43</xdr:row>
      <xdr:rowOff>114300</xdr:rowOff>
    </xdr:from>
    <xdr:to>
      <xdr:col>6</xdr:col>
      <xdr:colOff>154305</xdr:colOff>
      <xdr:row>46</xdr:row>
      <xdr:rowOff>159385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055" t="10257" r="8648" b="8696"/>
        <a:stretch>
          <a:fillRect/>
        </a:stretch>
      </xdr:blipFill>
      <xdr:spPr>
        <a:xfrm>
          <a:off x="2505075" y="7219950"/>
          <a:ext cx="802005" cy="61658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43</xdr:row>
      <xdr:rowOff>28575</xdr:rowOff>
    </xdr:from>
    <xdr:to>
      <xdr:col>8</xdr:col>
      <xdr:colOff>227330</xdr:colOff>
      <xdr:row>46</xdr:row>
      <xdr:rowOff>175895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l="7876" t="9155" r="10759"/>
        <a:stretch>
          <a:fillRect/>
        </a:stretch>
      </xdr:blipFill>
      <xdr:spPr>
        <a:xfrm>
          <a:off x="3429000" y="7134225"/>
          <a:ext cx="789305" cy="718820"/>
        </a:xfrm>
        <a:prstGeom prst="rect">
          <a:avLst/>
        </a:prstGeom>
      </xdr:spPr>
    </xdr:pic>
    <xdr:clientData/>
  </xdr:twoCellAnchor>
  <xdr:twoCellAnchor>
    <xdr:from>
      <xdr:col>8</xdr:col>
      <xdr:colOff>504825</xdr:colOff>
      <xdr:row>43</xdr:row>
      <xdr:rowOff>47625</xdr:rowOff>
    </xdr:from>
    <xdr:to>
      <xdr:col>9</xdr:col>
      <xdr:colOff>691515</xdr:colOff>
      <xdr:row>46</xdr:row>
      <xdr:rowOff>186690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rcRect l="10346" r="24429"/>
        <a:stretch>
          <a:fillRect/>
        </a:stretch>
      </xdr:blipFill>
      <xdr:spPr>
        <a:xfrm>
          <a:off x="4495800" y="7153275"/>
          <a:ext cx="748665" cy="710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33" workbookViewId="0">
      <selection activeCell="Q10" sqref="Q10"/>
    </sheetView>
  </sheetViews>
  <sheetFormatPr defaultColWidth="9" defaultRowHeight="15"/>
  <cols>
    <col min="1" max="1" width="4" customWidth="1"/>
    <col min="2" max="2" width="7.28515625" customWidth="1"/>
    <col min="7" max="7" width="3.5703125" customWidth="1"/>
    <col min="8" max="8" width="9.85546875" bestFit="1" customWidth="1"/>
    <col min="9" max="9" width="5.140625" customWidth="1"/>
    <col min="10" max="10" width="12.7109375" customWidth="1"/>
    <col min="11" max="11" width="2.140625" customWidth="1"/>
  </cols>
  <sheetData>
    <row r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7" t="s">
        <v>4</v>
      </c>
      <c r="B7" s="7"/>
      <c r="C7" s="7"/>
      <c r="D7" s="7"/>
      <c r="E7" s="7"/>
      <c r="F7" s="7"/>
      <c r="G7" s="7"/>
      <c r="H7" s="7"/>
      <c r="I7" s="7"/>
      <c r="J7" s="7"/>
    </row>
    <row r="8" spans="1:10">
      <c r="A8" s="7" t="s">
        <v>37</v>
      </c>
      <c r="B8" s="7"/>
      <c r="C8" s="7"/>
      <c r="D8" s="7"/>
      <c r="E8" s="7"/>
      <c r="F8" s="7"/>
      <c r="G8" s="7"/>
      <c r="H8" s="7"/>
      <c r="I8" s="7"/>
      <c r="J8" s="7"/>
    </row>
    <row r="9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>
      <c r="A10" s="8" t="s">
        <v>5</v>
      </c>
      <c r="B10" s="9">
        <v>4100</v>
      </c>
      <c r="C10" s="10" t="s">
        <v>6</v>
      </c>
      <c r="D10" s="8"/>
      <c r="E10" s="8"/>
      <c r="F10" s="8"/>
      <c r="G10" s="8"/>
      <c r="H10" s="8"/>
      <c r="I10" s="8"/>
      <c r="J10" s="8"/>
    </row>
    <row r="11" spans="1:10">
      <c r="A11" s="8"/>
      <c r="B11" s="9">
        <v>4111</v>
      </c>
      <c r="C11" s="10" t="s">
        <v>7</v>
      </c>
      <c r="D11" s="8"/>
      <c r="E11" s="8"/>
      <c r="F11" s="8"/>
      <c r="G11" s="8"/>
      <c r="H11" s="8"/>
      <c r="I11" s="11" t="s">
        <v>8</v>
      </c>
      <c r="J11" s="12">
        <v>47360500</v>
      </c>
    </row>
    <row r="12" spans="1:10">
      <c r="A12" s="8"/>
      <c r="B12" s="9">
        <v>4112</v>
      </c>
      <c r="C12" s="13" t="s">
        <v>9</v>
      </c>
      <c r="D12" s="8"/>
      <c r="E12" s="8"/>
      <c r="F12" s="8"/>
      <c r="G12" s="8"/>
      <c r="H12" s="8"/>
      <c r="I12" s="11" t="s">
        <v>8</v>
      </c>
      <c r="J12" s="14">
        <v>12090000</v>
      </c>
    </row>
    <row r="13" spans="1:10">
      <c r="A13" s="8"/>
      <c r="B13" s="9">
        <v>4113</v>
      </c>
      <c r="C13" s="13" t="s">
        <v>10</v>
      </c>
      <c r="D13" s="8"/>
      <c r="E13" s="8"/>
      <c r="F13" s="8"/>
      <c r="G13" s="8"/>
      <c r="H13" s="8"/>
      <c r="I13" s="11" t="s">
        <v>8</v>
      </c>
      <c r="J13" s="12">
        <v>14703785</v>
      </c>
    </row>
    <row r="14" spans="1:10">
      <c r="A14" s="8"/>
      <c r="B14" s="9">
        <v>4114</v>
      </c>
      <c r="C14" s="13" t="s">
        <v>38</v>
      </c>
      <c r="D14" s="8"/>
      <c r="E14" s="8"/>
      <c r="F14" s="8"/>
      <c r="G14" s="8"/>
      <c r="H14" s="8"/>
      <c r="I14" s="11" t="s">
        <v>8</v>
      </c>
      <c r="J14" s="12">
        <v>390000</v>
      </c>
    </row>
    <row r="15" spans="1:10">
      <c r="A15" s="8"/>
      <c r="B15" s="9">
        <v>4115</v>
      </c>
      <c r="C15" s="13" t="s">
        <v>39</v>
      </c>
      <c r="D15" s="8"/>
      <c r="E15" s="8"/>
      <c r="F15" s="8"/>
      <c r="G15" s="8"/>
      <c r="H15" s="8"/>
      <c r="I15" s="11" t="s">
        <v>8</v>
      </c>
      <c r="J15" s="12">
        <v>3370000</v>
      </c>
    </row>
    <row r="16" spans="1:10">
      <c r="A16" s="8"/>
      <c r="B16" s="9">
        <v>4116</v>
      </c>
      <c r="C16" s="13" t="s">
        <v>40</v>
      </c>
      <c r="D16" s="8"/>
      <c r="E16" s="8"/>
      <c r="F16" s="8"/>
      <c r="G16" s="8"/>
      <c r="H16" s="8"/>
      <c r="I16" s="11" t="s">
        <v>8</v>
      </c>
      <c r="J16" s="12">
        <v>525000</v>
      </c>
    </row>
    <row r="17" spans="1:10">
      <c r="A17" s="8"/>
      <c r="B17" s="9"/>
      <c r="C17" s="10" t="s">
        <v>11</v>
      </c>
      <c r="D17" s="8"/>
      <c r="E17" s="8"/>
      <c r="F17" s="8"/>
      <c r="G17" s="8"/>
      <c r="H17" s="8"/>
      <c r="I17" s="11" t="s">
        <v>8</v>
      </c>
      <c r="J17" s="15">
        <f>SUM(J11:J16)</f>
        <v>78439285</v>
      </c>
    </row>
    <row r="18" spans="1:10">
      <c r="A18" s="8"/>
      <c r="B18" s="9"/>
      <c r="C18" s="10"/>
      <c r="D18" s="8"/>
      <c r="E18" s="8"/>
      <c r="F18" s="8"/>
      <c r="G18" s="8"/>
      <c r="H18" s="8"/>
      <c r="I18" s="11"/>
      <c r="J18" s="12"/>
    </row>
    <row r="19" spans="1:10">
      <c r="A19" s="8"/>
      <c r="B19" s="9"/>
      <c r="C19" s="10"/>
      <c r="D19" s="8"/>
      <c r="E19" s="8"/>
      <c r="F19" s="8"/>
      <c r="G19" s="8"/>
      <c r="H19" s="8"/>
      <c r="I19" s="10"/>
      <c r="J19" s="10"/>
    </row>
    <row r="20" spans="1:10">
      <c r="A20" s="8" t="s">
        <v>12</v>
      </c>
      <c r="B20" s="9">
        <v>5100</v>
      </c>
      <c r="C20" s="10" t="s">
        <v>13</v>
      </c>
      <c r="D20" s="8"/>
      <c r="E20" s="8"/>
      <c r="F20" s="8"/>
      <c r="G20" s="8"/>
      <c r="H20" s="8"/>
      <c r="I20" s="10"/>
      <c r="J20" s="10"/>
    </row>
    <row r="21" spans="1:10">
      <c r="A21" s="8"/>
      <c r="B21" s="9">
        <v>5111</v>
      </c>
      <c r="C21" s="10" t="s">
        <v>14</v>
      </c>
      <c r="D21" s="8"/>
      <c r="E21" s="8"/>
      <c r="F21" s="8"/>
      <c r="G21" s="13" t="s">
        <v>8</v>
      </c>
      <c r="H21" s="12">
        <v>2700000</v>
      </c>
      <c r="I21" s="12"/>
      <c r="J21" s="12"/>
    </row>
    <row r="22" spans="1:10">
      <c r="A22" s="8"/>
      <c r="B22" s="9">
        <v>5112</v>
      </c>
      <c r="C22" s="10" t="s">
        <v>15</v>
      </c>
      <c r="D22" s="8"/>
      <c r="E22" s="8"/>
      <c r="F22" s="8"/>
      <c r="G22" s="13" t="s">
        <v>8</v>
      </c>
      <c r="H22" s="12">
        <v>960000</v>
      </c>
      <c r="I22" s="12"/>
      <c r="J22" s="12"/>
    </row>
    <row r="23" spans="1:10">
      <c r="A23" s="8"/>
      <c r="B23" s="9">
        <v>5113</v>
      </c>
      <c r="C23" s="10" t="s">
        <v>16</v>
      </c>
      <c r="D23" s="8"/>
      <c r="E23" s="8"/>
      <c r="F23" s="8"/>
      <c r="G23" s="13" t="s">
        <v>8</v>
      </c>
      <c r="H23" s="12">
        <v>3120000</v>
      </c>
      <c r="I23" s="12"/>
      <c r="J23" s="12"/>
    </row>
    <row r="24" spans="1:10">
      <c r="A24" s="8"/>
      <c r="B24" s="9">
        <v>5114</v>
      </c>
      <c r="C24" s="10" t="s">
        <v>17</v>
      </c>
      <c r="D24" s="8"/>
      <c r="E24" s="8"/>
      <c r="F24" s="8"/>
      <c r="G24" s="13" t="s">
        <v>8</v>
      </c>
      <c r="H24" s="12">
        <v>3075000</v>
      </c>
      <c r="I24" s="12"/>
      <c r="J24" s="12"/>
    </row>
    <row r="25" spans="1:10">
      <c r="A25" s="8"/>
      <c r="B25" s="9">
        <v>5115</v>
      </c>
      <c r="C25" s="10" t="s">
        <v>18</v>
      </c>
      <c r="D25" s="8"/>
      <c r="E25" s="8"/>
      <c r="F25" s="8"/>
      <c r="G25" s="13" t="s">
        <v>8</v>
      </c>
      <c r="H25" s="12">
        <v>1500000</v>
      </c>
      <c r="I25" s="10"/>
      <c r="J25" s="12"/>
    </row>
    <row r="26" spans="1:10">
      <c r="A26" s="8"/>
      <c r="B26" s="9">
        <v>5116</v>
      </c>
      <c r="C26" s="10" t="s">
        <v>19</v>
      </c>
      <c r="D26" s="8"/>
      <c r="E26" s="8"/>
      <c r="F26" s="8"/>
      <c r="G26" s="13" t="s">
        <v>8</v>
      </c>
      <c r="H26" s="12">
        <v>1140000</v>
      </c>
      <c r="I26" s="12"/>
      <c r="J26" s="10"/>
    </row>
    <row r="27" spans="1:10">
      <c r="A27" s="8"/>
      <c r="B27" s="9">
        <v>5117</v>
      </c>
      <c r="C27" s="10" t="s">
        <v>20</v>
      </c>
      <c r="D27" s="8"/>
      <c r="E27" s="8"/>
      <c r="F27" s="8"/>
      <c r="G27" s="13" t="s">
        <v>8</v>
      </c>
      <c r="H27" s="12">
        <v>2700000</v>
      </c>
      <c r="I27" s="12"/>
      <c r="J27" s="12"/>
    </row>
    <row r="28" spans="1:10">
      <c r="A28" s="8"/>
      <c r="B28" s="9">
        <v>5118</v>
      </c>
      <c r="C28" s="10" t="s">
        <v>21</v>
      </c>
      <c r="D28" s="8"/>
      <c r="E28" s="8"/>
      <c r="F28" s="8"/>
      <c r="G28" s="13" t="s">
        <v>8</v>
      </c>
      <c r="H28" s="12">
        <v>12100000</v>
      </c>
      <c r="I28" s="12"/>
      <c r="J28" s="10"/>
    </row>
    <row r="29" spans="1:10">
      <c r="A29" s="8"/>
      <c r="B29" s="9">
        <v>5119</v>
      </c>
      <c r="C29" s="10" t="s">
        <v>41</v>
      </c>
      <c r="D29" s="8"/>
      <c r="E29" s="8"/>
      <c r="F29" s="8"/>
      <c r="G29" s="13" t="s">
        <v>8</v>
      </c>
      <c r="H29" s="12">
        <v>1264000</v>
      </c>
      <c r="I29" s="12"/>
      <c r="J29" s="12"/>
    </row>
    <row r="30" spans="1:10">
      <c r="A30" s="8"/>
      <c r="B30" s="9">
        <v>5120</v>
      </c>
      <c r="C30" s="10" t="s">
        <v>42</v>
      </c>
      <c r="D30" s="8"/>
      <c r="E30" s="8"/>
      <c r="F30" s="8"/>
      <c r="G30" s="13" t="s">
        <v>8</v>
      </c>
      <c r="H30" s="12">
        <v>3950000</v>
      </c>
      <c r="I30" s="12"/>
      <c r="J30" s="12"/>
    </row>
    <row r="31" spans="1:10">
      <c r="A31" s="8"/>
      <c r="B31" s="9">
        <v>5121</v>
      </c>
      <c r="C31" s="10" t="s">
        <v>43</v>
      </c>
      <c r="D31" s="8"/>
      <c r="E31" s="8"/>
      <c r="F31" s="8"/>
      <c r="G31" s="13" t="s">
        <v>8</v>
      </c>
      <c r="H31" s="12">
        <v>9480000</v>
      </c>
      <c r="I31" s="12"/>
      <c r="J31" s="12"/>
    </row>
    <row r="32" spans="1:10">
      <c r="A32" s="8"/>
      <c r="B32" s="9">
        <v>5122</v>
      </c>
      <c r="C32" s="10" t="s">
        <v>44</v>
      </c>
      <c r="D32" s="8"/>
      <c r="E32" s="8"/>
      <c r="F32" s="8"/>
      <c r="G32" s="13" t="s">
        <v>8</v>
      </c>
      <c r="H32" s="12">
        <v>1000000</v>
      </c>
      <c r="I32" s="12"/>
      <c r="J32" s="12"/>
    </row>
    <row r="33" spans="1:10">
      <c r="A33" s="8"/>
      <c r="B33" s="9"/>
      <c r="C33" s="10"/>
      <c r="D33" s="10"/>
      <c r="E33" s="10"/>
      <c r="F33" s="10"/>
      <c r="G33" s="10"/>
      <c r="H33" s="10"/>
      <c r="I33" s="12"/>
      <c r="J33" s="12"/>
    </row>
    <row r="34" spans="1:10">
      <c r="A34" s="8"/>
      <c r="B34" s="9"/>
      <c r="C34" s="10"/>
      <c r="D34" s="10"/>
      <c r="E34" s="10"/>
      <c r="F34" s="10"/>
      <c r="G34" s="10"/>
      <c r="H34" s="10"/>
      <c r="I34" s="12"/>
      <c r="J34" s="12"/>
    </row>
    <row r="35" spans="1:10">
      <c r="A35" s="8"/>
      <c r="B35" s="9"/>
      <c r="C35" s="10" t="s">
        <v>22</v>
      </c>
      <c r="D35" s="10"/>
      <c r="E35" s="10"/>
      <c r="F35" s="10"/>
      <c r="G35" s="16"/>
      <c r="H35" s="16"/>
      <c r="I35" s="11" t="s">
        <v>8</v>
      </c>
      <c r="J35" s="15">
        <f>SUM(H21:H32)</f>
        <v>42989000</v>
      </c>
    </row>
    <row r="36" spans="1:10">
      <c r="A36" s="8" t="s">
        <v>23</v>
      </c>
      <c r="B36" s="9">
        <v>3117</v>
      </c>
      <c r="C36" s="10" t="s">
        <v>24</v>
      </c>
      <c r="D36" s="10"/>
      <c r="E36" s="10"/>
      <c r="F36" s="10"/>
      <c r="G36" s="16"/>
      <c r="H36" s="16"/>
      <c r="I36" s="11" t="s">
        <v>8</v>
      </c>
      <c r="J36" s="15">
        <f>J17-J35</f>
        <v>35450285</v>
      </c>
    </row>
    <row r="37" spans="1:10">
      <c r="A37" s="8"/>
      <c r="B37" s="9">
        <v>3117</v>
      </c>
      <c r="C37" s="17" t="s">
        <v>45</v>
      </c>
      <c r="D37" s="10"/>
      <c r="E37" s="10"/>
      <c r="F37" s="10"/>
      <c r="G37" s="16"/>
      <c r="H37" s="16"/>
      <c r="I37" s="11" t="s">
        <v>8</v>
      </c>
      <c r="J37" s="12">
        <v>3545028</v>
      </c>
    </row>
    <row r="38" spans="1:10">
      <c r="A38" s="10"/>
      <c r="B38" s="9">
        <v>3117</v>
      </c>
      <c r="C38" s="10" t="s">
        <v>46</v>
      </c>
      <c r="D38" s="10"/>
      <c r="E38" s="10"/>
      <c r="F38" s="10"/>
      <c r="G38" s="16"/>
      <c r="H38" s="16"/>
      <c r="I38" s="11" t="s">
        <v>8</v>
      </c>
      <c r="J38" s="12">
        <f>J36-J37</f>
        <v>31905257</v>
      </c>
    </row>
    <row r="39" spans="1:10">
      <c r="A39" s="8"/>
      <c r="B39" s="9"/>
      <c r="C39" s="10"/>
      <c r="D39" s="10"/>
      <c r="E39" s="10"/>
      <c r="F39" s="10"/>
      <c r="G39" s="10"/>
      <c r="H39" s="10"/>
      <c r="I39" s="12"/>
      <c r="J39" s="10"/>
    </row>
    <row r="40" spans="1:10">
      <c r="A40" s="10"/>
      <c r="B40" s="9"/>
      <c r="C40" s="10"/>
      <c r="D40" s="10"/>
      <c r="E40" s="10"/>
      <c r="F40" s="10"/>
      <c r="G40" s="10"/>
      <c r="H40" s="12"/>
      <c r="I40" s="10"/>
      <c r="J40" s="12"/>
    </row>
    <row r="41" spans="1:10">
      <c r="A41" s="18" t="s">
        <v>47</v>
      </c>
      <c r="B41" s="18"/>
      <c r="C41" s="18"/>
      <c r="D41" s="18"/>
      <c r="E41" s="18"/>
      <c r="F41" s="18"/>
      <c r="G41" s="18"/>
      <c r="H41" s="18"/>
      <c r="I41" s="18"/>
      <c r="J41" s="18"/>
    </row>
    <row r="42" spans="1:10">
      <c r="A42" s="18" t="s">
        <v>25</v>
      </c>
      <c r="B42" s="18"/>
      <c r="C42" s="18"/>
      <c r="D42" s="18"/>
      <c r="E42" s="18"/>
      <c r="F42" s="18"/>
      <c r="G42" s="18"/>
      <c r="H42" s="18"/>
      <c r="I42" s="18"/>
      <c r="J42" s="18"/>
    </row>
    <row r="43" spans="1:10">
      <c r="A43" s="10"/>
      <c r="B43" s="16"/>
      <c r="C43" s="10" t="s">
        <v>26</v>
      </c>
      <c r="D43" s="13" t="s">
        <v>27</v>
      </c>
      <c r="E43" s="16"/>
      <c r="F43" s="13" t="s">
        <v>28</v>
      </c>
      <c r="G43" s="16"/>
      <c r="H43" s="19" t="s">
        <v>29</v>
      </c>
      <c r="I43" s="16"/>
      <c r="J43" s="10" t="s">
        <v>48</v>
      </c>
    </row>
    <row r="44" spans="1:10">
      <c r="A44" s="10"/>
      <c r="B44" s="16"/>
      <c r="C44" s="10"/>
      <c r="D44" s="13"/>
      <c r="E44" s="16"/>
      <c r="F44" s="10"/>
      <c r="G44" s="16"/>
      <c r="H44" s="19"/>
      <c r="I44" s="16"/>
      <c r="J44" s="10"/>
    </row>
    <row r="45" spans="1:10">
      <c r="A45" s="10"/>
      <c r="B45" s="16"/>
      <c r="C45" s="10"/>
      <c r="D45" s="13"/>
      <c r="E45" s="16"/>
      <c r="F45" s="10"/>
      <c r="G45" s="16"/>
      <c r="H45" s="19"/>
      <c r="I45" s="16"/>
      <c r="J45" s="10"/>
    </row>
    <row r="46" spans="1:10">
      <c r="A46" s="10"/>
      <c r="B46" s="16"/>
      <c r="C46" s="10"/>
      <c r="D46" s="13"/>
      <c r="E46" s="16"/>
      <c r="F46" s="10"/>
      <c r="G46" s="16"/>
      <c r="H46" s="19"/>
      <c r="I46" s="16"/>
      <c r="J46" s="10"/>
    </row>
    <row r="47" spans="1:10">
      <c r="A47" s="10"/>
      <c r="B47" s="16"/>
      <c r="C47" s="10"/>
      <c r="D47" s="13"/>
      <c r="E47" s="16"/>
      <c r="F47" s="10"/>
      <c r="G47" s="16"/>
      <c r="H47" s="19"/>
      <c r="I47" s="16"/>
      <c r="J47" s="10"/>
    </row>
    <row r="48" spans="1:10">
      <c r="A48" s="10"/>
      <c r="B48" s="16"/>
      <c r="C48" s="10" t="s">
        <v>30</v>
      </c>
      <c r="D48" s="13" t="s">
        <v>31</v>
      </c>
      <c r="E48" s="16"/>
      <c r="F48" s="13" t="s">
        <v>32</v>
      </c>
      <c r="G48" s="16"/>
      <c r="H48" s="19" t="s">
        <v>33</v>
      </c>
      <c r="I48" s="16"/>
      <c r="J48" s="10" t="s">
        <v>34</v>
      </c>
    </row>
    <row r="49" spans="1:10">
      <c r="A49" s="3"/>
      <c r="B49" s="3"/>
      <c r="C49" s="3"/>
      <c r="D49" s="3"/>
      <c r="E49" s="3"/>
      <c r="F49" s="3"/>
      <c r="G49" s="3"/>
      <c r="H49" s="3"/>
      <c r="I49" s="3"/>
    </row>
    <row r="50" spans="1:10">
      <c r="A50" s="3"/>
      <c r="B50" s="3"/>
      <c r="C50" s="3"/>
      <c r="D50" s="6"/>
      <c r="E50" s="6"/>
      <c r="F50" s="6"/>
      <c r="G50" s="3"/>
      <c r="H50" s="3"/>
      <c r="I50" s="3"/>
    </row>
    <row r="51" spans="1:10">
      <c r="A51" s="3"/>
      <c r="B51" s="3"/>
      <c r="C51" s="3"/>
      <c r="D51" s="6"/>
      <c r="E51" s="6"/>
      <c r="F51" s="6"/>
      <c r="G51" s="3"/>
      <c r="H51" s="3"/>
      <c r="I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6"/>
      <c r="E53" s="6"/>
      <c r="F53" s="6"/>
      <c r="G53" s="6"/>
      <c r="H53" s="6"/>
      <c r="I53" s="3"/>
      <c r="J53" s="3"/>
    </row>
    <row r="54" spans="1:10">
      <c r="A54" s="3"/>
      <c r="B54" s="3"/>
      <c r="C54" s="3"/>
      <c r="D54" s="6"/>
      <c r="E54" s="6"/>
      <c r="F54" s="6"/>
      <c r="G54" s="6"/>
      <c r="H54" s="6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9" spans="1:10">
      <c r="F59" s="1">
        <v>9</v>
      </c>
    </row>
  </sheetData>
  <mergeCells count="12">
    <mergeCell ref="D53:H53"/>
    <mergeCell ref="D54:H54"/>
    <mergeCell ref="A8:J8"/>
    <mergeCell ref="A41:J41"/>
    <mergeCell ref="A42:J42"/>
    <mergeCell ref="D50:F50"/>
    <mergeCell ref="D51:F51"/>
    <mergeCell ref="A1:J1"/>
    <mergeCell ref="A2:J2"/>
    <mergeCell ref="A3:J3"/>
    <mergeCell ref="A4:J4"/>
    <mergeCell ref="A7:J7"/>
  </mergeCells>
  <printOptions verticalCentered="1"/>
  <pageMargins left="1.2" right="0.69930555555555596" top="0" bottom="0.25" header="0.3" footer="0.3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" sqref="B1"/>
    </sheetView>
  </sheetViews>
  <sheetFormatPr defaultColWidth="9" defaultRowHeight="15"/>
  <cols>
    <col min="1" max="1" width="4.28515625" customWidth="1"/>
  </cols>
  <sheetData>
    <row r="1" spans="1:2">
      <c r="A1" t="s">
        <v>35</v>
      </c>
      <c r="B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ASUS</cp:lastModifiedBy>
  <cp:lastPrinted>2026-02-09T13:15:01Z</cp:lastPrinted>
  <dcterms:created xsi:type="dcterms:W3CDTF">2019-03-30T13:26:00Z</dcterms:created>
  <dcterms:modified xsi:type="dcterms:W3CDTF">2026-02-09T17:22:56Z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80CDA372854549A59CD48775260365A4_12</vt:lpwstr>
  </property>
  <property fmtid="{D5CDD505-2E9C-101B-9397-08002B2CF9AE}" pid="3" name="KSOProductBuildVer">
    <vt:lpwstr>1033-12.2.0.20326</vt:lpwstr>
  </property>
</Properties>
</file>