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<sst xmlns="http://schemas.openxmlformats.org/spreadsheetml/2006/main" count="271" uniqueCount="239">
  <si>
    <t>DAFTAR  SIMPANAN  ANGGOTA</t>
  </si>
  <si>
    <t xml:space="preserve">(SIMPANAN POKOK, SIMPANAN WAJIB BULANAN, SIMPANAN MANASUKA, </t>
  </si>
  <si>
    <t>TABUNGAN  ANGGOTA  DARI PINJAMAN DAN  SIMPANAN  WAJIB  KREDIT</t>
  </si>
  <si>
    <t>KSU  CAHAYA  DHAMMA  PHALA</t>
  </si>
  <si>
    <t>PER 31 DESEMBER 2025</t>
  </si>
  <si>
    <t>NO</t>
  </si>
  <si>
    <t>No. ANGG.</t>
  </si>
  <si>
    <t>NAMA</t>
  </si>
  <si>
    <t>SP</t>
  </si>
  <si>
    <t>SWB</t>
  </si>
  <si>
    <t>SMS</t>
  </si>
  <si>
    <t>SWK</t>
  </si>
  <si>
    <t>JUMLAH</t>
  </si>
  <si>
    <t>Aniah</t>
  </si>
  <si>
    <t>Kuswono</t>
  </si>
  <si>
    <t>Sudirno</t>
  </si>
  <si>
    <t xml:space="preserve">Sono </t>
  </si>
  <si>
    <t>Karsidi</t>
  </si>
  <si>
    <t>(Winarti)</t>
  </si>
  <si>
    <t>Suroto</t>
  </si>
  <si>
    <t>Suwanto</t>
  </si>
  <si>
    <t>Rusmini</t>
  </si>
  <si>
    <t>Adi Wahyono</t>
  </si>
  <si>
    <t>Saimah</t>
  </si>
  <si>
    <t>Tasman</t>
  </si>
  <si>
    <t>Siyo Dwiroso</t>
  </si>
  <si>
    <t>Resmini</t>
  </si>
  <si>
    <t>Samyono</t>
  </si>
  <si>
    <t>Santosa</t>
  </si>
  <si>
    <t>Suyono</t>
  </si>
  <si>
    <t>Maryono</t>
  </si>
  <si>
    <t>Karyono</t>
  </si>
  <si>
    <t>Waluyo</t>
  </si>
  <si>
    <t>Budiono</t>
  </si>
  <si>
    <t>Darmanto</t>
  </si>
  <si>
    <t>Saroji</t>
  </si>
  <si>
    <t>(Paryati)</t>
  </si>
  <si>
    <t>Darmaji</t>
  </si>
  <si>
    <t>Tarko</t>
  </si>
  <si>
    <t>Tumijah</t>
  </si>
  <si>
    <t>Padmo Susilo</t>
  </si>
  <si>
    <t>Miskiyah</t>
  </si>
  <si>
    <t>Karjono</t>
  </si>
  <si>
    <t>Sabar Wiyono</t>
  </si>
  <si>
    <t>Mursono</t>
  </si>
  <si>
    <t>Karsih</t>
  </si>
  <si>
    <t>Sarijem</t>
  </si>
  <si>
    <t>Rahmadi</t>
  </si>
  <si>
    <t>Manisi</t>
  </si>
  <si>
    <t>Litik</t>
  </si>
  <si>
    <t>Darmono</t>
  </si>
  <si>
    <t>Sumini</t>
  </si>
  <si>
    <t>Handi Cahyono</t>
  </si>
  <si>
    <t>Sati</t>
  </si>
  <si>
    <t>Tarmono</t>
  </si>
  <si>
    <t>Minardi</t>
  </si>
  <si>
    <t>Ratmi</t>
  </si>
  <si>
    <t>Oru Wasaton</t>
  </si>
  <si>
    <t>Sri Hartati</t>
  </si>
  <si>
    <t>Waridi</t>
  </si>
  <si>
    <t>Juliyah</t>
  </si>
  <si>
    <t>Jumlah I</t>
  </si>
  <si>
    <t>Vijja Ratano</t>
  </si>
  <si>
    <t>Purwadi</t>
  </si>
  <si>
    <t>Dwi Vijjayanti</t>
  </si>
  <si>
    <t>Tato</t>
  </si>
  <si>
    <t>Panjiono</t>
  </si>
  <si>
    <t>Parsih</t>
  </si>
  <si>
    <t>Suryadi</t>
  </si>
  <si>
    <t>Aris Bodi Ratana</t>
  </si>
  <si>
    <t>Darwito</t>
  </si>
  <si>
    <t>Taryuti/Siti</t>
  </si>
  <si>
    <t>Saji</t>
  </si>
  <si>
    <t>Waginah</t>
  </si>
  <si>
    <t>Kami</t>
  </si>
  <si>
    <t>Sartin</t>
  </si>
  <si>
    <t>Jumini</t>
  </si>
  <si>
    <t>Darmo Wiryo</t>
  </si>
  <si>
    <t>Rusmiyati</t>
  </si>
  <si>
    <t>Priyono</t>
  </si>
  <si>
    <t>Sariem</t>
  </si>
  <si>
    <t>Suharjanto</t>
  </si>
  <si>
    <t>Kasmi</t>
  </si>
  <si>
    <t>Parso</t>
  </si>
  <si>
    <t>Catur Setyani</t>
  </si>
  <si>
    <t>Slamet Sutir</t>
  </si>
  <si>
    <t>Purwati</t>
  </si>
  <si>
    <t>Wanto</t>
  </si>
  <si>
    <t>Sudarma Widya</t>
  </si>
  <si>
    <t>Cipret Darmanto</t>
  </si>
  <si>
    <t>Ginem</t>
  </si>
  <si>
    <t>Painten</t>
  </si>
  <si>
    <t>Dwiyanto</t>
  </si>
  <si>
    <t>Marno</t>
  </si>
  <si>
    <t>Timba Suyono</t>
  </si>
  <si>
    <t>Karnoto</t>
  </si>
  <si>
    <t>Yogi Dwiyanto</t>
  </si>
  <si>
    <t>Nanang Heri Susanto</t>
  </si>
  <si>
    <t>Kanti Paraswati</t>
  </si>
  <si>
    <t>Kuat Siti Kirana</t>
  </si>
  <si>
    <t>Temi</t>
  </si>
  <si>
    <t>Ranem</t>
  </si>
  <si>
    <t>Kiwil</t>
  </si>
  <si>
    <t>Legowo Turah Suwanto</t>
  </si>
  <si>
    <t>Slamet Suwanto</t>
  </si>
  <si>
    <t>Mudita</t>
  </si>
  <si>
    <t>Urip Widodo</t>
  </si>
  <si>
    <t>Ragil Krisnandani</t>
  </si>
  <si>
    <t>Diana Paramita</t>
  </si>
  <si>
    <t>Marsih</t>
  </si>
  <si>
    <t>Metta Candra Dewi</t>
  </si>
  <si>
    <t>Kartina</t>
  </si>
  <si>
    <t>Rusmini Cemles</t>
  </si>
  <si>
    <t>Wahyuni Saji</t>
  </si>
  <si>
    <t>Jumlah II</t>
  </si>
  <si>
    <t>Suwarti</t>
  </si>
  <si>
    <t>Rumini</t>
  </si>
  <si>
    <t>Santi</t>
  </si>
  <si>
    <t>Nisem</t>
  </si>
  <si>
    <t>Via Septiana</t>
  </si>
  <si>
    <t>Mislam</t>
  </si>
  <si>
    <t>Warniem</t>
  </si>
  <si>
    <t>Kamto</t>
  </si>
  <si>
    <t>Suminah</t>
  </si>
  <si>
    <t>Veni Eka Arativi</t>
  </si>
  <si>
    <t>Mega Setiana</t>
  </si>
  <si>
    <t>Kadi</t>
  </si>
  <si>
    <t>Arif Setiyadi</t>
  </si>
  <si>
    <t>Meri Kristanti</t>
  </si>
  <si>
    <t>Turah Karjono</t>
  </si>
  <si>
    <t>Marsinem</t>
  </si>
  <si>
    <t>Waluyo Ragil</t>
  </si>
  <si>
    <t>Lewih</t>
  </si>
  <si>
    <t xml:space="preserve">Karni </t>
  </si>
  <si>
    <t>Utami</t>
  </si>
  <si>
    <t>Oki Widya Dharma</t>
  </si>
  <si>
    <t>Laxmi  Widyaningsih</t>
  </si>
  <si>
    <t>Triwidata</t>
  </si>
  <si>
    <t>Tarsini</t>
  </si>
  <si>
    <t>Juliyanto</t>
  </si>
  <si>
    <t>Diyanto</t>
  </si>
  <si>
    <t>Diyanti</t>
  </si>
  <si>
    <t>Haryono</t>
  </si>
  <si>
    <t>Sabdono</t>
  </si>
  <si>
    <t>Sartiyah</t>
  </si>
  <si>
    <t>(Karsinah)</t>
  </si>
  <si>
    <t>Lebuh</t>
  </si>
  <si>
    <t>(Ristono)</t>
  </si>
  <si>
    <t>(Tumini)</t>
  </si>
  <si>
    <t>Hartati</t>
  </si>
  <si>
    <t>Suratno</t>
  </si>
  <si>
    <t>Lamini</t>
  </si>
  <si>
    <t>Metta Selina</t>
  </si>
  <si>
    <t>Ny. Akhmadi</t>
  </si>
  <si>
    <t>Manis</t>
  </si>
  <si>
    <t>Budi Rahayu</t>
  </si>
  <si>
    <t>Yanti    (Sono)</t>
  </si>
  <si>
    <t>Leni</t>
  </si>
  <si>
    <t>Ika Kurniasih</t>
  </si>
  <si>
    <t>(Parmono/Maniem)</t>
  </si>
  <si>
    <t>Wartini</t>
  </si>
  <si>
    <t>Wahyu Darmawan</t>
  </si>
  <si>
    <t>Suwito</t>
  </si>
  <si>
    <t>Vitta Anggira</t>
  </si>
  <si>
    <t>Turyanto (Madiono)</t>
  </si>
  <si>
    <t>Gini</t>
  </si>
  <si>
    <t>Selfi Dhammayanti</t>
  </si>
  <si>
    <t>Jumlah III</t>
  </si>
  <si>
    <t>Darmanto Darman</t>
  </si>
  <si>
    <t>Dedi Aditya</t>
  </si>
  <si>
    <t>Pardikin</t>
  </si>
  <si>
    <t>Komala Khemavanti</t>
  </si>
  <si>
    <t>Wartam</t>
  </si>
  <si>
    <t>Sabar Suyanto</t>
  </si>
  <si>
    <t>Tukimin</t>
  </si>
  <si>
    <t>Saliyah</t>
  </si>
  <si>
    <t>Marsito</t>
  </si>
  <si>
    <t>Hartini</t>
  </si>
  <si>
    <t>Sunarti</t>
  </si>
  <si>
    <t>Marti Farida</t>
  </si>
  <si>
    <t>Saryanti</t>
  </si>
  <si>
    <t>Sunarjo</t>
  </si>
  <si>
    <t>Retno Aji Utomo</t>
  </si>
  <si>
    <t>Rosi Widyarti</t>
  </si>
  <si>
    <t>Karnen</t>
  </si>
  <si>
    <t>Eko Kurniadi</t>
  </si>
  <si>
    <t>Sri Purwaningsih</t>
  </si>
  <si>
    <t>KETI SUNDARI</t>
  </si>
  <si>
    <t>DEDE EKA CANDRA</t>
  </si>
  <si>
    <t>WANDANI</t>
  </si>
  <si>
    <t>MARSITO</t>
  </si>
  <si>
    <t>KAS V. DHARMASARI</t>
  </si>
  <si>
    <t>DELLA</t>
  </si>
  <si>
    <t>PATIDANA IBU-IBU</t>
  </si>
  <si>
    <t>SMB DHAMMASENA</t>
  </si>
  <si>
    <t>RT 02 RW 03 SOKARAJA</t>
  </si>
  <si>
    <t>DHAMMACLAS</t>
  </si>
  <si>
    <t>KAS PEMUDA V.DHAR.</t>
  </si>
  <si>
    <t>MAGABUDHI</t>
  </si>
  <si>
    <t xml:space="preserve">STEVANI </t>
  </si>
  <si>
    <t>TAB. WAISAK</t>
  </si>
  <si>
    <t>ARISAN IBU-IBU</t>
  </si>
  <si>
    <t>WARGA MUNTHUK</t>
  </si>
  <si>
    <t>GRUP SENAM  GOR</t>
  </si>
  <si>
    <t>WIFI V. DHARMASARI</t>
  </si>
  <si>
    <t>FAIZIN</t>
  </si>
  <si>
    <t>DESTA</t>
  </si>
  <si>
    <t>KKG-B KAB. BNA</t>
  </si>
  <si>
    <t>MARWANTO</t>
  </si>
  <si>
    <t>TIKA KALYANA PUTRI</t>
  </si>
  <si>
    <t>HUT PROKEM RI. 2022</t>
  </si>
  <si>
    <t>WARIDI SERTIFIKAT TANAH</t>
  </si>
  <si>
    <t>KELUARGA SINGANTANA</t>
  </si>
  <si>
    <t>PEMUDA WINDUSARI</t>
  </si>
  <si>
    <t>CELSIE IKA DHAMMAYANTI</t>
  </si>
  <si>
    <t>Keripik</t>
  </si>
  <si>
    <t>DANA KURSI</t>
  </si>
  <si>
    <t>RT 01 RW 03 PANJIONO</t>
  </si>
  <si>
    <t>TARMAN SEBALA</t>
  </si>
  <si>
    <t>APRILIO</t>
  </si>
  <si>
    <t>TAB. DHARMAYATRA</t>
  </si>
  <si>
    <t>Jumlah IV</t>
  </si>
  <si>
    <t>MAYA NUR SAFITRI</t>
  </si>
  <si>
    <t>AGASILANI</t>
  </si>
  <si>
    <t>ALKAMORA</t>
  </si>
  <si>
    <t>TABUNGAN KATHINA</t>
  </si>
  <si>
    <t>MUJI ASTUTI</t>
  </si>
  <si>
    <t>DELMIRA JESNA</t>
  </si>
  <si>
    <t>RETNANI DWI SUSANTI</t>
  </si>
  <si>
    <t>Jumlah V</t>
  </si>
  <si>
    <t>JUMLAH I+II+III+IV+V</t>
  </si>
  <si>
    <t>Pagentan, 31 Desember  2025</t>
  </si>
  <si>
    <t>Pengurus KSU Cahaya Dhamma Phala</t>
  </si>
  <si>
    <t>Ketua</t>
  </si>
  <si>
    <t>Wakil Ketua</t>
  </si>
  <si>
    <t>Sekretaris</t>
  </si>
  <si>
    <t>Bendahara</t>
  </si>
  <si>
    <t>Pembantu Umum</t>
  </si>
  <si>
    <t>Oruwasaton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</si>
</sst>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[Red]#,##0"/>
    <numFmt numFmtId="179" formatCode="_ * #,##0_ ;_ * \-#,##0_ ;_ * &quot;-&quot;??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3" fontId="1" fillId="0" borderId="0" xfId="0" applyNumberFormat="1" applyFont="1" applyFill="1" applyAlignment="1"/>
    <xf numFmtId="3" fontId="1" fillId="0" borderId="0" xfId="0" applyNumberFormat="1" applyFont="1" applyFill="1" applyAlignment="1">
      <alignment horizontal="center"/>
    </xf>
    <xf numFmtId="3" fontId="1" fillId="0" borderId="1" xfId="0" applyNumberFormat="1" applyFont="1" applyFill="1" applyBorder="1" applyAlignment="1"/>
    <xf numFmtId="3" fontId="1" fillId="0" borderId="0" xfId="0" applyNumberFormat="1" applyFont="1" applyFill="1" applyAlignment="1">
      <alignment horizontal="right"/>
    </xf>
    <xf numFmtId="3" fontId="1" fillId="0" borderId="0" xfId="0" applyNumberFormat="1" applyFont="1"/>
    <xf numFmtId="3" fontId="2" fillId="0" borderId="0" xfId="0" applyNumberFormat="1" applyFont="1" applyFill="1" applyAlignment="1">
      <alignment horizontal="center"/>
    </xf>
    <xf numFmtId="3" fontId="2" fillId="0" borderId="2" xfId="0" applyNumberFormat="1" applyFont="1" applyFill="1" applyBorder="1" applyAlignment="1">
      <alignment horizontal="center"/>
    </xf>
    <xf numFmtId="3" fontId="2" fillId="0" borderId="0" xfId="0" applyNumberFormat="1" applyFont="1" applyFill="1" applyAlignment="1">
      <alignment horizontal="right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3" fontId="1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/>
    <xf numFmtId="178" fontId="3" fillId="0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/>
    <xf numFmtId="3" fontId="3" fillId="2" borderId="1" xfId="0" applyNumberFormat="1" applyFont="1" applyFill="1" applyBorder="1" applyAlignment="1"/>
    <xf numFmtId="178" fontId="3" fillId="2" borderId="1" xfId="0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/>
    <xf numFmtId="178" fontId="4" fillId="0" borderId="1" xfId="0" applyNumberFormat="1" applyFont="1" applyFill="1" applyBorder="1" applyAlignment="1">
      <alignment horizontal="right"/>
    </xf>
    <xf numFmtId="3" fontId="2" fillId="0" borderId="0" xfId="0" applyNumberFormat="1" applyFont="1" applyFill="1" applyAlignment="1"/>
    <xf numFmtId="3" fontId="1" fillId="0" borderId="3" xfId="0" applyNumberFormat="1" applyFont="1" applyFill="1" applyBorder="1" applyAlignment="1">
      <alignment horizontal="center"/>
    </xf>
    <xf numFmtId="3" fontId="1" fillId="0" borderId="3" xfId="0" applyNumberFormat="1" applyFont="1" applyFill="1" applyBorder="1" applyAlignment="1"/>
    <xf numFmtId="3" fontId="1" fillId="0" borderId="0" xfId="0" applyNumberFormat="1" applyFont="1" applyFill="1" applyAlignment="1">
      <alignment horizontal="left"/>
    </xf>
    <xf numFmtId="3" fontId="1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 vertical="top"/>
    </xf>
    <xf numFmtId="3" fontId="1" fillId="0" borderId="1" xfId="0" applyNumberFormat="1" applyFont="1" applyFill="1" applyBorder="1" applyAlignment="1">
      <alignment horizontal="left" vertical="top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right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/>
    </xf>
    <xf numFmtId="3" fontId="1" fillId="0" borderId="4" xfId="0" applyNumberFormat="1" applyFont="1" applyFill="1" applyBorder="1" applyAlignment="1"/>
    <xf numFmtId="3" fontId="1" fillId="0" borderId="4" xfId="0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179" fontId="5" fillId="0" borderId="5" xfId="1" applyNumberFormat="1" applyFont="1" applyFill="1" applyBorder="1" applyAlignment="1"/>
    <xf numFmtId="0" fontId="6" fillId="0" borderId="0" xfId="0" applyFont="1" applyFill="1" applyAlignment="1"/>
    <xf numFmtId="0" fontId="6" fillId="0" borderId="0" xfId="0" applyFont="1" applyFill="1" applyAlignment="1">
      <alignment horizontal="left" indent="5"/>
    </xf>
    <xf numFmtId="0" fontId="6" fillId="0" borderId="0" xfId="0" applyFont="1" applyFill="1" applyAlignment="1">
      <alignment horizontal="left" indent="2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indent="4"/>
    </xf>
    <xf numFmtId="3" fontId="1" fillId="0" borderId="6" xfId="0" applyNumberFormat="1" applyFont="1" applyFill="1" applyBorder="1" applyAlignment="1"/>
    <xf numFmtId="3" fontId="1" fillId="0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285750</xdr:colOff>
      <xdr:row>273</xdr:row>
      <xdr:rowOff>9525</xdr:rowOff>
    </xdr:from>
    <xdr:to>
      <xdr:col>1</xdr:col>
      <xdr:colOff>523875</xdr:colOff>
      <xdr:row>276</xdr:row>
      <xdr:rowOff>85090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" y="52082700"/>
          <a:ext cx="600075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333375</xdr:colOff>
      <xdr:row>273</xdr:row>
      <xdr:rowOff>47625</xdr:rowOff>
    </xdr:from>
    <xdr:to>
      <xdr:col>2</xdr:col>
      <xdr:colOff>952500</xdr:colOff>
      <xdr:row>276</xdr:row>
      <xdr:rowOff>136525</xdr:rowOff>
    </xdr:to>
    <xdr:pic>
      <xdr:nvPicPr>
        <xdr:cNvPr id="3" name="Image 1"/>
        <xdr:cNvPicPr/>
      </xdr:nvPicPr>
      <xdr:blipFill>
        <a:blip r:embed="rId2" cstate="print"/>
        <a:stretch>
          <a:fillRect/>
        </a:stretch>
      </xdr:blipFill>
      <xdr:spPr>
        <a:xfrm>
          <a:off x="1323975" y="52120800"/>
          <a:ext cx="619125" cy="660400"/>
        </a:xfrm>
        <a:prstGeom prst="rect">
          <a:avLst/>
        </a:prstGeom>
      </xdr:spPr>
    </xdr:pic>
    <xdr:clientData/>
  </xdr:twoCellAnchor>
  <xdr:twoCellAnchor>
    <xdr:from>
      <xdr:col>3</xdr:col>
      <xdr:colOff>123826</xdr:colOff>
      <xdr:row>273</xdr:row>
      <xdr:rowOff>104775</xdr:rowOff>
    </xdr:from>
    <xdr:to>
      <xdr:col>4</xdr:col>
      <xdr:colOff>123825</xdr:colOff>
      <xdr:row>276</xdr:row>
      <xdr:rowOff>171450</xdr:rowOff>
    </xdr:to>
    <xdr:pic>
      <xdr:nvPicPr>
        <xdr:cNvPr id="4" name="Image 1"/>
        <xdr:cNvPicPr/>
      </xdr:nvPicPr>
      <xdr:blipFill>
        <a:blip r:embed="rId3" cstate="print"/>
        <a:srcRect l="7055" t="10257" r="8648" b="8696"/>
        <a:stretch>
          <a:fillRect/>
        </a:stretch>
      </xdr:blipFill>
      <xdr:spPr>
        <a:xfrm>
          <a:off x="2371725" y="52177950"/>
          <a:ext cx="628650" cy="638175"/>
        </a:xfrm>
        <a:prstGeom prst="rect">
          <a:avLst/>
        </a:prstGeom>
      </xdr:spPr>
    </xdr:pic>
    <xdr:clientData/>
  </xdr:twoCellAnchor>
  <xdr:twoCellAnchor>
    <xdr:from>
      <xdr:col>5</xdr:col>
      <xdr:colOff>57152</xdr:colOff>
      <xdr:row>273</xdr:row>
      <xdr:rowOff>95249</xdr:rowOff>
    </xdr:from>
    <xdr:to>
      <xdr:col>5</xdr:col>
      <xdr:colOff>523876</xdr:colOff>
      <xdr:row>277</xdr:row>
      <xdr:rowOff>4444</xdr:rowOff>
    </xdr:to>
    <xdr:pic>
      <xdr:nvPicPr>
        <xdr:cNvPr id="5" name="Image 1"/>
        <xdr:cNvPicPr/>
      </xdr:nvPicPr>
      <xdr:blipFill>
        <a:blip r:embed="rId4" cstate="print"/>
        <a:srcRect l="7876" t="9155" r="10759"/>
        <a:stretch>
          <a:fillRect/>
        </a:stretch>
      </xdr:blipFill>
      <xdr:spPr>
        <a:xfrm>
          <a:off x="3667125" y="52167790"/>
          <a:ext cx="466725" cy="671195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273</xdr:row>
      <xdr:rowOff>28575</xdr:rowOff>
    </xdr:from>
    <xdr:to>
      <xdr:col>7</xdr:col>
      <xdr:colOff>139065</xdr:colOff>
      <xdr:row>276</xdr:row>
      <xdr:rowOff>148590</xdr:rowOff>
    </xdr:to>
    <xdr:pic>
      <xdr:nvPicPr>
        <xdr:cNvPr id="6" name="Image 1"/>
        <xdr:cNvPicPr/>
      </xdr:nvPicPr>
      <xdr:blipFill>
        <a:blip r:embed="rId5" cstate="print"/>
        <a:srcRect l="10346" r="24429"/>
        <a:stretch>
          <a:fillRect/>
        </a:stretch>
      </xdr:blipFill>
      <xdr:spPr>
        <a:xfrm>
          <a:off x="4581525" y="52101750"/>
          <a:ext cx="453390" cy="691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4"/>
  <sheetViews>
    <sheetView tabSelected="1" topLeftCell="C1" workbookViewId="0">
      <selection activeCell="N10" sqref="N10"/>
    </sheetView>
  </sheetViews>
  <sheetFormatPr defaultColWidth="9" defaultRowHeight="15" customHeight="1"/>
  <cols>
    <col min="1" max="1" width="5.42857142857143" style="1" customWidth="1"/>
    <col min="2" max="2" width="9.42857142857143" style="2" customWidth="1"/>
    <col min="3" max="3" width="18.8571428571429" style="1" customWidth="1"/>
    <col min="4" max="4" width="9.42857142857143" style="1" customWidth="1"/>
    <col min="5" max="5" width="11" style="1" customWidth="1"/>
    <col min="6" max="6" width="10" style="3" customWidth="1"/>
    <col min="7" max="7" width="9.28571428571429" style="4" customWidth="1"/>
    <col min="8" max="8" width="12" style="1" customWidth="1"/>
    <col min="9" max="9" width="2.14285714285714" style="1" customWidth="1"/>
    <col min="10" max="10" width="14.1428571428571" style="1" customWidth="1"/>
    <col min="11" max="11" width="1.57142857142857" style="1" customWidth="1"/>
    <col min="12" max="16191" width="9.14285714285714" style="1"/>
    <col min="16192" max="16353" width="9" style="1"/>
    <col min="16354" max="16384" width="9" style="5"/>
  </cols>
  <sheetData>
    <row r="1" s="1" customFormat="1" ht="20.25" customHeight="1" spans="1:11">
      <c r="A1" s="6" t="s">
        <v>0</v>
      </c>
      <c r="B1" s="6"/>
      <c r="C1" s="6"/>
      <c r="D1" s="6"/>
      <c r="E1" s="6"/>
      <c r="F1" s="7"/>
      <c r="G1" s="8"/>
      <c r="H1" s="6"/>
      <c r="I1" s="6"/>
      <c r="J1" s="6"/>
      <c r="K1" s="6"/>
    </row>
    <row r="2" s="1" customFormat="1" customHeight="1" spans="1:11">
      <c r="A2" s="6" t="s">
        <v>1</v>
      </c>
      <c r="B2" s="6"/>
      <c r="C2" s="6"/>
      <c r="D2" s="6"/>
      <c r="E2" s="6"/>
      <c r="F2" s="6"/>
      <c r="G2" s="8"/>
      <c r="H2" s="6"/>
      <c r="I2" s="6"/>
      <c r="J2" s="6"/>
      <c r="K2" s="6"/>
    </row>
    <row r="3" s="1" customFormat="1" customHeight="1" spans="1:11">
      <c r="A3" s="6" t="s">
        <v>2</v>
      </c>
      <c r="B3" s="6"/>
      <c r="C3" s="6"/>
      <c r="D3" s="6"/>
      <c r="E3" s="6"/>
      <c r="F3" s="6"/>
      <c r="G3" s="8"/>
      <c r="H3" s="6"/>
      <c r="I3" s="6"/>
      <c r="J3" s="6"/>
      <c r="K3" s="6"/>
    </row>
    <row r="4" s="1" customFormat="1" customHeight="1" spans="1:11">
      <c r="A4" s="6" t="s">
        <v>3</v>
      </c>
      <c r="B4" s="6"/>
      <c r="C4" s="6"/>
      <c r="D4" s="6"/>
      <c r="E4" s="6"/>
      <c r="F4" s="6"/>
      <c r="G4" s="8"/>
      <c r="H4" s="6"/>
      <c r="I4" s="6"/>
      <c r="J4" s="6"/>
      <c r="K4" s="6"/>
    </row>
    <row r="5" s="1" customFormat="1" customHeight="1" spans="1:11">
      <c r="A5" s="2" t="s">
        <v>4</v>
      </c>
      <c r="B5" s="2"/>
      <c r="C5" s="2"/>
      <c r="D5" s="2"/>
      <c r="E5" s="2"/>
      <c r="F5" s="2"/>
      <c r="G5" s="4"/>
      <c r="H5" s="2"/>
      <c r="I5" s="2"/>
      <c r="J5" s="2"/>
      <c r="K5" s="2"/>
    </row>
    <row r="6" s="1" customFormat="1" customHeight="1" spans="1:11">
      <c r="B6" s="2"/>
      <c r="G6" s="4"/>
    </row>
    <row r="7" s="1" customFormat="1" customHeight="1" spans="1:11">
      <c r="A7" s="9" t="s">
        <v>5</v>
      </c>
      <c r="B7" s="9" t="s">
        <v>6</v>
      </c>
      <c r="C7" s="9" t="s">
        <v>7</v>
      </c>
      <c r="D7" s="9" t="s">
        <v>8</v>
      </c>
      <c r="E7" s="45" t="s">
        <v>9</v>
      </c>
      <c r="F7" s="9" t="s">
        <v>10</v>
      </c>
      <c r="G7" s="9" t="s">
        <v>11</v>
      </c>
      <c r="H7" s="9" t="s">
        <v>12</v>
      </c>
      <c r="I7" s="10"/>
      <c r="J7" s="10"/>
      <c r="K7" s="10"/>
    </row>
    <row r="8" s="1" customFormat="1" customHeight="1" spans="1:11">
      <c r="A8" s="11">
        <v>1</v>
      </c>
      <c r="B8" s="11">
        <v>1</v>
      </c>
      <c r="C8" s="3" t="s">
        <v>13</v>
      </c>
      <c r="D8" s="3">
        <v>100000</v>
      </c>
      <c r="E8" s="12">
        <v>2680000</v>
      </c>
      <c r="F8" s="3"/>
      <c r="G8" s="13">
        <v>140000</v>
      </c>
      <c r="H8" s="3">
        <f t="shared" ref="H8:H55" si="0">SUM(D8:G8)</f>
        <v>2920000</v>
      </c>
    </row>
    <row r="9" s="1" customFormat="1" customHeight="1" spans="1:11">
      <c r="A9" s="11">
        <v>2</v>
      </c>
      <c r="B9" s="11">
        <v>2</v>
      </c>
      <c r="C9" s="3" t="s">
        <v>14</v>
      </c>
      <c r="D9" s="3">
        <v>100000</v>
      </c>
      <c r="E9" s="12">
        <v>2455000</v>
      </c>
      <c r="F9" s="3"/>
      <c r="G9" s="13">
        <v>144000</v>
      </c>
      <c r="H9" s="3">
        <f t="shared" si="0"/>
        <v>2699000</v>
      </c>
    </row>
    <row r="10" s="1" customFormat="1" customHeight="1" spans="1:11">
      <c r="A10" s="11">
        <v>3</v>
      </c>
      <c r="B10" s="11">
        <v>3</v>
      </c>
      <c r="C10" s="3" t="s">
        <v>15</v>
      </c>
      <c r="D10" s="3">
        <v>100000</v>
      </c>
      <c r="E10" s="12">
        <v>3055000</v>
      </c>
      <c r="F10" s="3"/>
      <c r="G10" s="13">
        <v>143000</v>
      </c>
      <c r="H10" s="3">
        <f t="shared" si="0"/>
        <v>3298000</v>
      </c>
    </row>
    <row r="11" s="1" customFormat="1" customHeight="1" spans="1:11">
      <c r="A11" s="11">
        <v>4</v>
      </c>
      <c r="B11" s="11">
        <v>4</v>
      </c>
      <c r="C11" s="3" t="s">
        <v>16</v>
      </c>
      <c r="D11" s="3">
        <v>100000</v>
      </c>
      <c r="E11" s="12">
        <v>1790000</v>
      </c>
      <c r="F11" s="3"/>
      <c r="G11" s="13">
        <v>77000</v>
      </c>
      <c r="H11" s="3">
        <f t="shared" si="0"/>
        <v>1967000</v>
      </c>
    </row>
    <row r="12" s="1" customFormat="1" customHeight="1" spans="1:11">
      <c r="A12" s="11">
        <v>5</v>
      </c>
      <c r="B12" s="11">
        <v>5</v>
      </c>
      <c r="C12" s="3" t="s">
        <v>17</v>
      </c>
      <c r="D12" s="3">
        <v>100000</v>
      </c>
      <c r="E12" s="12">
        <v>2600000</v>
      </c>
      <c r="F12" s="3"/>
      <c r="G12" s="13"/>
      <c r="H12" s="3">
        <f t="shared" si="0"/>
        <v>2700000</v>
      </c>
    </row>
    <row r="13" s="1" customFormat="1" customHeight="1" spans="1:11">
      <c r="A13" s="14">
        <v>6</v>
      </c>
      <c r="B13" s="14">
        <v>6</v>
      </c>
      <c r="C13" s="15" t="s">
        <v>18</v>
      </c>
      <c r="D13" s="15">
        <v>0</v>
      </c>
      <c r="E13" s="16"/>
      <c r="F13" s="15"/>
      <c r="G13" s="17"/>
      <c r="H13" s="15">
        <f t="shared" si="0"/>
        <v>0</v>
      </c>
    </row>
    <row r="14" s="1" customFormat="1" customHeight="1" spans="1:11">
      <c r="A14" s="11">
        <v>7</v>
      </c>
      <c r="B14" s="11">
        <v>7</v>
      </c>
      <c r="C14" s="3" t="s">
        <v>19</v>
      </c>
      <c r="D14" s="3">
        <v>100000</v>
      </c>
      <c r="E14" s="12">
        <v>2125000</v>
      </c>
      <c r="F14" s="3"/>
      <c r="G14" s="13">
        <v>58500</v>
      </c>
      <c r="H14" s="3">
        <f t="shared" si="0"/>
        <v>2283500</v>
      </c>
    </row>
    <row r="15" s="1" customFormat="1" customHeight="1" spans="1:11">
      <c r="A15" s="11">
        <v>8</v>
      </c>
      <c r="B15" s="11">
        <v>8</v>
      </c>
      <c r="C15" s="3" t="s">
        <v>20</v>
      </c>
      <c r="D15" s="3">
        <v>100000</v>
      </c>
      <c r="E15" s="12">
        <v>4250000</v>
      </c>
      <c r="F15" s="3"/>
      <c r="G15" s="13">
        <v>80000</v>
      </c>
      <c r="H15" s="3">
        <f t="shared" si="0"/>
        <v>4430000</v>
      </c>
    </row>
    <row r="16" s="1" customFormat="1" customHeight="1" spans="1:11">
      <c r="A16" s="11">
        <v>9</v>
      </c>
      <c r="B16" s="11">
        <v>9</v>
      </c>
      <c r="C16" s="3" t="s">
        <v>21</v>
      </c>
      <c r="D16" s="3">
        <v>100000</v>
      </c>
      <c r="E16" s="12">
        <v>2520000</v>
      </c>
      <c r="F16" s="3"/>
      <c r="G16" s="13">
        <v>130000</v>
      </c>
      <c r="H16" s="3">
        <f t="shared" si="0"/>
        <v>2750000</v>
      </c>
    </row>
    <row r="17" s="1" customFormat="1" customHeight="1" spans="1:8">
      <c r="A17" s="11">
        <v>10</v>
      </c>
      <c r="B17" s="11">
        <v>10</v>
      </c>
      <c r="C17" s="3" t="s">
        <v>22</v>
      </c>
      <c r="D17" s="3">
        <v>100000</v>
      </c>
      <c r="E17" s="12">
        <v>2615000</v>
      </c>
      <c r="F17" s="3"/>
      <c r="G17" s="13">
        <v>50000</v>
      </c>
      <c r="H17" s="3">
        <f t="shared" si="0"/>
        <v>2765000</v>
      </c>
    </row>
    <row r="18" s="1" customFormat="1" customHeight="1" spans="1:8">
      <c r="A18" s="11">
        <v>11</v>
      </c>
      <c r="B18" s="11">
        <v>11</v>
      </c>
      <c r="C18" s="3" t="s">
        <v>23</v>
      </c>
      <c r="D18" s="3">
        <v>100000</v>
      </c>
      <c r="E18" s="12">
        <v>2210000</v>
      </c>
      <c r="F18" s="3">
        <v>7600000</v>
      </c>
      <c r="G18" s="13"/>
      <c r="H18" s="3">
        <f t="shared" si="0"/>
        <v>9910000</v>
      </c>
    </row>
    <row r="19" s="1" customFormat="1" customHeight="1" spans="1:8">
      <c r="A19" s="11">
        <v>12</v>
      </c>
      <c r="B19" s="11">
        <v>12</v>
      </c>
      <c r="C19" s="3" t="s">
        <v>24</v>
      </c>
      <c r="D19" s="3">
        <v>100000</v>
      </c>
      <c r="E19" s="12">
        <v>2210000</v>
      </c>
      <c r="F19" s="3">
        <v>160000</v>
      </c>
      <c r="G19" s="13">
        <v>70000</v>
      </c>
      <c r="H19" s="3">
        <f t="shared" si="0"/>
        <v>2540000</v>
      </c>
    </row>
    <row r="20" s="1" customFormat="1" customHeight="1" spans="1:8">
      <c r="A20" s="11">
        <v>13</v>
      </c>
      <c r="B20" s="11">
        <v>13</v>
      </c>
      <c r="C20" s="3" t="s">
        <v>25</v>
      </c>
      <c r="D20" s="3">
        <v>100000</v>
      </c>
      <c r="E20" s="12">
        <v>2550000</v>
      </c>
      <c r="F20" s="3"/>
      <c r="G20" s="13">
        <v>12000</v>
      </c>
      <c r="H20" s="3">
        <f t="shared" si="0"/>
        <v>2662000</v>
      </c>
    </row>
    <row r="21" s="1" customFormat="1" customHeight="1" spans="1:8">
      <c r="A21" s="11">
        <v>14</v>
      </c>
      <c r="B21" s="11">
        <v>14</v>
      </c>
      <c r="C21" s="3" t="s">
        <v>26</v>
      </c>
      <c r="D21" s="3">
        <v>100000</v>
      </c>
      <c r="E21" s="12">
        <v>2515000</v>
      </c>
      <c r="F21" s="3"/>
      <c r="G21" s="13"/>
      <c r="H21" s="3">
        <f t="shared" si="0"/>
        <v>2615000</v>
      </c>
    </row>
    <row r="22" s="1" customFormat="1" customHeight="1" spans="1:8">
      <c r="A22" s="11">
        <v>15</v>
      </c>
      <c r="B22" s="11">
        <v>15</v>
      </c>
      <c r="C22" s="3" t="s">
        <v>27</v>
      </c>
      <c r="D22" s="3">
        <v>100000</v>
      </c>
      <c r="E22" s="12">
        <v>2530000</v>
      </c>
      <c r="F22" s="3"/>
      <c r="G22" s="13"/>
      <c r="H22" s="3">
        <f t="shared" si="0"/>
        <v>2630000</v>
      </c>
    </row>
    <row r="23" s="1" customFormat="1" customHeight="1" spans="1:8">
      <c r="A23" s="11">
        <v>16</v>
      </c>
      <c r="B23" s="11">
        <v>16</v>
      </c>
      <c r="C23" s="3" t="s">
        <v>28</v>
      </c>
      <c r="D23" s="3">
        <v>100000</v>
      </c>
      <c r="E23" s="12">
        <v>1825000</v>
      </c>
      <c r="F23" s="3"/>
      <c r="G23" s="13">
        <v>96000</v>
      </c>
      <c r="H23" s="3">
        <f t="shared" si="0"/>
        <v>2021000</v>
      </c>
    </row>
    <row r="24" s="1" customFormat="1" customHeight="1" spans="1:8">
      <c r="A24" s="11">
        <v>17</v>
      </c>
      <c r="B24" s="11">
        <v>17</v>
      </c>
      <c r="C24" s="3" t="s">
        <v>29</v>
      </c>
      <c r="D24" s="3">
        <v>100000</v>
      </c>
      <c r="E24" s="12">
        <v>2620000</v>
      </c>
      <c r="F24" s="3"/>
      <c r="G24" s="13">
        <v>31000</v>
      </c>
      <c r="H24" s="3">
        <f t="shared" si="0"/>
        <v>2751000</v>
      </c>
    </row>
    <row r="25" s="1" customFormat="1" customHeight="1" spans="1:8">
      <c r="A25" s="11">
        <v>18</v>
      </c>
      <c r="B25" s="11">
        <v>18</v>
      </c>
      <c r="C25" s="3" t="s">
        <v>30</v>
      </c>
      <c r="D25" s="3">
        <v>100000</v>
      </c>
      <c r="E25" s="12">
        <v>2775000</v>
      </c>
      <c r="F25" s="3"/>
      <c r="G25" s="13"/>
      <c r="H25" s="3">
        <f t="shared" si="0"/>
        <v>2875000</v>
      </c>
    </row>
    <row r="26" s="1" customFormat="1" customHeight="1" spans="1:8">
      <c r="A26" s="11">
        <v>19</v>
      </c>
      <c r="B26" s="11">
        <v>19</v>
      </c>
      <c r="C26" s="3" t="s">
        <v>31</v>
      </c>
      <c r="D26" s="3">
        <v>100000</v>
      </c>
      <c r="E26" s="12">
        <v>2870000</v>
      </c>
      <c r="F26" s="3"/>
      <c r="G26" s="13">
        <v>180000</v>
      </c>
      <c r="H26" s="3">
        <f t="shared" si="0"/>
        <v>3150000</v>
      </c>
    </row>
    <row r="27" s="1" customFormat="1" customHeight="1" spans="1:8">
      <c r="A27" s="11">
        <v>20</v>
      </c>
      <c r="B27" s="11">
        <v>20</v>
      </c>
      <c r="C27" s="3" t="s">
        <v>32</v>
      </c>
      <c r="D27" s="3">
        <v>100000</v>
      </c>
      <c r="E27" s="12">
        <v>2920000</v>
      </c>
      <c r="F27" s="3">
        <v>2350000</v>
      </c>
      <c r="G27" s="13">
        <v>32000</v>
      </c>
      <c r="H27" s="3">
        <f t="shared" si="0"/>
        <v>5402000</v>
      </c>
    </row>
    <row r="28" s="1" customFormat="1" customHeight="1" spans="1:8">
      <c r="A28" s="11">
        <v>21</v>
      </c>
      <c r="B28" s="11">
        <v>21</v>
      </c>
      <c r="C28" s="3" t="s">
        <v>33</v>
      </c>
      <c r="D28" s="3">
        <v>100000</v>
      </c>
      <c r="E28" s="12">
        <v>2505000</v>
      </c>
      <c r="F28" s="3"/>
      <c r="G28" s="13"/>
      <c r="H28" s="3">
        <f t="shared" si="0"/>
        <v>2605000</v>
      </c>
    </row>
    <row r="29" s="1" customFormat="1" customHeight="1" spans="1:8">
      <c r="A29" s="11">
        <v>22</v>
      </c>
      <c r="B29" s="11">
        <v>22</v>
      </c>
      <c r="C29" s="3" t="s">
        <v>34</v>
      </c>
      <c r="D29" s="3">
        <v>100000</v>
      </c>
      <c r="E29" s="12">
        <v>2890000</v>
      </c>
      <c r="F29" s="3"/>
      <c r="G29" s="13"/>
      <c r="H29" s="3">
        <f t="shared" si="0"/>
        <v>2990000</v>
      </c>
    </row>
    <row r="30" s="1" customFormat="1" customHeight="1" spans="1:8">
      <c r="A30" s="11">
        <v>23</v>
      </c>
      <c r="B30" s="11">
        <v>23</v>
      </c>
      <c r="C30" s="3" t="s">
        <v>35</v>
      </c>
      <c r="D30" s="3">
        <v>100000</v>
      </c>
      <c r="E30" s="12">
        <v>2870000</v>
      </c>
      <c r="F30" s="3"/>
      <c r="G30" s="13">
        <v>54000</v>
      </c>
      <c r="H30" s="3">
        <f t="shared" si="0"/>
        <v>3024000</v>
      </c>
    </row>
    <row r="31" s="1" customFormat="1" customHeight="1" spans="1:8">
      <c r="A31" s="14">
        <v>24</v>
      </c>
      <c r="B31" s="14">
        <v>24</v>
      </c>
      <c r="C31" s="15" t="s">
        <v>36</v>
      </c>
      <c r="D31" s="15"/>
      <c r="E31" s="16"/>
      <c r="F31" s="15"/>
      <c r="G31" s="17"/>
      <c r="H31" s="15">
        <f t="shared" si="0"/>
        <v>0</v>
      </c>
    </row>
    <row r="32" s="1" customFormat="1" customHeight="1" spans="1:8">
      <c r="A32" s="11">
        <v>25</v>
      </c>
      <c r="B32" s="11">
        <v>25</v>
      </c>
      <c r="C32" s="3" t="s">
        <v>37</v>
      </c>
      <c r="D32" s="3">
        <v>100000</v>
      </c>
      <c r="E32" s="12">
        <v>1950000</v>
      </c>
      <c r="F32" s="3"/>
      <c r="G32" s="13"/>
      <c r="H32" s="3">
        <f t="shared" si="0"/>
        <v>2050000</v>
      </c>
    </row>
    <row r="33" s="1" customFormat="1" customHeight="1" spans="1:8">
      <c r="A33" s="11">
        <v>26</v>
      </c>
      <c r="B33" s="11">
        <v>26</v>
      </c>
      <c r="C33" s="3" t="s">
        <v>38</v>
      </c>
      <c r="D33" s="3">
        <v>100000</v>
      </c>
      <c r="E33" s="12">
        <v>3330000</v>
      </c>
      <c r="F33" s="3">
        <v>89900000</v>
      </c>
      <c r="G33" s="13"/>
      <c r="H33" s="3">
        <f t="shared" si="0"/>
        <v>93330000</v>
      </c>
    </row>
    <row r="34" s="1" customFormat="1" customHeight="1" spans="1:8">
      <c r="A34" s="11">
        <v>27</v>
      </c>
      <c r="B34" s="11">
        <v>27</v>
      </c>
      <c r="C34" s="3" t="s">
        <v>39</v>
      </c>
      <c r="D34" s="3">
        <v>100000</v>
      </c>
      <c r="E34" s="12">
        <v>3330000</v>
      </c>
      <c r="F34" s="3"/>
      <c r="G34" s="13"/>
      <c r="H34" s="3">
        <f t="shared" si="0"/>
        <v>3430000</v>
      </c>
    </row>
    <row r="35" s="1" customFormat="1" customHeight="1" spans="1:8">
      <c r="A35" s="11">
        <v>28</v>
      </c>
      <c r="B35" s="11">
        <v>28</v>
      </c>
      <c r="C35" s="3" t="s">
        <v>40</v>
      </c>
      <c r="D35" s="3">
        <v>100000</v>
      </c>
      <c r="E35" s="12">
        <v>1975000</v>
      </c>
      <c r="F35" s="3"/>
      <c r="G35" s="13">
        <v>43800</v>
      </c>
      <c r="H35" s="3">
        <f t="shared" si="0"/>
        <v>2118800</v>
      </c>
    </row>
    <row r="36" s="1" customFormat="1" customHeight="1" spans="1:8">
      <c r="A36" s="11">
        <v>29</v>
      </c>
      <c r="B36" s="11">
        <v>29</v>
      </c>
      <c r="C36" s="3" t="s">
        <v>41</v>
      </c>
      <c r="D36" s="3">
        <v>100000</v>
      </c>
      <c r="E36" s="12">
        <v>1975000</v>
      </c>
      <c r="F36" s="3"/>
      <c r="G36" s="13"/>
      <c r="H36" s="3">
        <f t="shared" si="0"/>
        <v>2075000</v>
      </c>
    </row>
    <row r="37" s="1" customFormat="1" customHeight="1" spans="1:8">
      <c r="A37" s="11">
        <v>30</v>
      </c>
      <c r="B37" s="11">
        <v>30</v>
      </c>
      <c r="C37" s="3" t="s">
        <v>42</v>
      </c>
      <c r="D37" s="3">
        <v>100000</v>
      </c>
      <c r="E37" s="12">
        <v>2510000</v>
      </c>
      <c r="F37" s="3"/>
      <c r="G37" s="13">
        <v>72000</v>
      </c>
      <c r="H37" s="3">
        <f t="shared" si="0"/>
        <v>2682000</v>
      </c>
    </row>
    <row r="38" s="1" customFormat="1" customHeight="1" spans="1:8">
      <c r="A38" s="11">
        <v>31</v>
      </c>
      <c r="B38" s="11">
        <v>31</v>
      </c>
      <c r="C38" s="3" t="s">
        <v>43</v>
      </c>
      <c r="D38" s="3">
        <v>100000</v>
      </c>
      <c r="E38" s="12">
        <v>3090000</v>
      </c>
      <c r="F38" s="3"/>
      <c r="G38" s="13"/>
      <c r="H38" s="3">
        <f t="shared" si="0"/>
        <v>3190000</v>
      </c>
    </row>
    <row r="39" s="1" customFormat="1" customHeight="1" spans="1:8">
      <c r="A39" s="11">
        <v>32</v>
      </c>
      <c r="B39" s="11">
        <v>32</v>
      </c>
      <c r="C39" s="3" t="s">
        <v>44</v>
      </c>
      <c r="D39" s="3">
        <v>100000</v>
      </c>
      <c r="E39" s="12">
        <v>2320000</v>
      </c>
      <c r="F39" s="3"/>
      <c r="G39" s="13">
        <v>6000</v>
      </c>
      <c r="H39" s="3">
        <f t="shared" si="0"/>
        <v>2426000</v>
      </c>
    </row>
    <row r="40" s="1" customFormat="1" customHeight="1" spans="1:8">
      <c r="A40" s="11">
        <v>33</v>
      </c>
      <c r="B40" s="11">
        <v>33</v>
      </c>
      <c r="C40" s="3" t="s">
        <v>45</v>
      </c>
      <c r="D40" s="3">
        <v>100000</v>
      </c>
      <c r="E40" s="12">
        <v>2325000</v>
      </c>
      <c r="F40" s="3"/>
      <c r="G40" s="13">
        <v>30000</v>
      </c>
      <c r="H40" s="3">
        <f t="shared" si="0"/>
        <v>2455000</v>
      </c>
    </row>
    <row r="41" s="1" customFormat="1" customHeight="1" spans="1:8">
      <c r="A41" s="11">
        <v>34</v>
      </c>
      <c r="B41" s="11">
        <v>34</v>
      </c>
      <c r="C41" s="3" t="s">
        <v>46</v>
      </c>
      <c r="D41" s="3">
        <v>100000</v>
      </c>
      <c r="E41" s="12">
        <v>2365000</v>
      </c>
      <c r="F41" s="3">
        <v>4200000</v>
      </c>
      <c r="G41" s="13">
        <v>42000</v>
      </c>
      <c r="H41" s="3">
        <f t="shared" si="0"/>
        <v>6707000</v>
      </c>
    </row>
    <row r="42" s="1" customFormat="1" customHeight="1" spans="1:8">
      <c r="A42" s="11">
        <v>35</v>
      </c>
      <c r="B42" s="11">
        <v>35</v>
      </c>
      <c r="C42" s="3" t="s">
        <v>47</v>
      </c>
      <c r="D42" s="3">
        <v>100000</v>
      </c>
      <c r="E42" s="12">
        <v>2370000</v>
      </c>
      <c r="F42" s="3"/>
      <c r="G42" s="13">
        <v>40000</v>
      </c>
      <c r="H42" s="3">
        <f t="shared" si="0"/>
        <v>2510000</v>
      </c>
    </row>
    <row r="43" s="1" customFormat="1" customHeight="1" spans="1:8">
      <c r="A43" s="11">
        <v>36</v>
      </c>
      <c r="B43" s="11">
        <v>36</v>
      </c>
      <c r="C43" s="3" t="s">
        <v>48</v>
      </c>
      <c r="D43" s="3">
        <v>100000</v>
      </c>
      <c r="E43" s="12">
        <v>4230000</v>
      </c>
      <c r="F43" s="3">
        <v>6518000</v>
      </c>
      <c r="G43" s="13"/>
      <c r="H43" s="3">
        <f t="shared" si="0"/>
        <v>10848000</v>
      </c>
    </row>
    <row r="44" s="1" customFormat="1" customHeight="1" spans="1:8">
      <c r="A44" s="11">
        <v>37</v>
      </c>
      <c r="B44" s="11">
        <v>37</v>
      </c>
      <c r="C44" s="3" t="s">
        <v>49</v>
      </c>
      <c r="D44" s="3">
        <v>100000</v>
      </c>
      <c r="E44" s="12">
        <v>2940000</v>
      </c>
      <c r="F44" s="3"/>
      <c r="G44" s="13"/>
      <c r="H44" s="3">
        <f t="shared" si="0"/>
        <v>3040000</v>
      </c>
    </row>
    <row r="45" s="1" customFormat="1" customHeight="1" spans="1:8">
      <c r="A45" s="11">
        <v>38</v>
      </c>
      <c r="B45" s="11">
        <v>38</v>
      </c>
      <c r="C45" s="3" t="s">
        <v>50</v>
      </c>
      <c r="D45" s="3">
        <v>100000</v>
      </c>
      <c r="E45" s="12">
        <v>2945000</v>
      </c>
      <c r="F45" s="3"/>
      <c r="G45" s="13"/>
      <c r="H45" s="3">
        <f t="shared" si="0"/>
        <v>3045000</v>
      </c>
    </row>
    <row r="46" s="1" customFormat="1" customHeight="1" spans="1:8">
      <c r="A46" s="11">
        <v>39</v>
      </c>
      <c r="B46" s="11">
        <v>39</v>
      </c>
      <c r="C46" s="3" t="s">
        <v>51</v>
      </c>
      <c r="D46" s="3">
        <v>100000</v>
      </c>
      <c r="E46" s="12">
        <v>2680000</v>
      </c>
      <c r="F46" s="3"/>
      <c r="G46" s="13"/>
      <c r="H46" s="3">
        <f t="shared" si="0"/>
        <v>2780000</v>
      </c>
    </row>
    <row r="47" s="1" customFormat="1" customHeight="1" spans="1:8">
      <c r="A47" s="11">
        <v>40</v>
      </c>
      <c r="B47" s="11">
        <v>40</v>
      </c>
      <c r="C47" s="3" t="s">
        <v>52</v>
      </c>
      <c r="D47" s="3">
        <v>100000</v>
      </c>
      <c r="E47" s="12">
        <v>2060000</v>
      </c>
      <c r="F47" s="3"/>
      <c r="G47" s="13">
        <v>20000</v>
      </c>
      <c r="H47" s="3">
        <f t="shared" si="0"/>
        <v>2180000</v>
      </c>
    </row>
    <row r="48" s="1" customFormat="1" customHeight="1" spans="1:8">
      <c r="A48" s="11">
        <v>41</v>
      </c>
      <c r="B48" s="11">
        <v>41</v>
      </c>
      <c r="C48" s="3" t="s">
        <v>53</v>
      </c>
      <c r="D48" s="3">
        <v>100000</v>
      </c>
      <c r="E48" s="12">
        <v>2660000</v>
      </c>
      <c r="F48" s="3"/>
      <c r="G48" s="13"/>
      <c r="H48" s="3">
        <f t="shared" si="0"/>
        <v>2760000</v>
      </c>
    </row>
    <row r="49" s="1" customFormat="1" customHeight="1" spans="1:11">
      <c r="A49" s="11">
        <v>42</v>
      </c>
      <c r="B49" s="11">
        <v>42</v>
      </c>
      <c r="C49" s="3" t="s">
        <v>54</v>
      </c>
      <c r="D49" s="3">
        <v>100000</v>
      </c>
      <c r="E49" s="12">
        <v>2550000</v>
      </c>
      <c r="F49" s="3">
        <v>2000000</v>
      </c>
      <c r="G49" s="13"/>
      <c r="H49" s="3">
        <f t="shared" si="0"/>
        <v>4650000</v>
      </c>
    </row>
    <row r="50" s="1" customFormat="1" customHeight="1" spans="1:11">
      <c r="A50" s="11">
        <v>43</v>
      </c>
      <c r="B50" s="11">
        <v>43</v>
      </c>
      <c r="C50" s="3" t="s">
        <v>55</v>
      </c>
      <c r="D50" s="3">
        <v>100000</v>
      </c>
      <c r="E50" s="12">
        <v>2965000</v>
      </c>
      <c r="F50" s="3"/>
      <c r="G50" s="13">
        <v>572000</v>
      </c>
      <c r="H50" s="3">
        <f t="shared" si="0"/>
        <v>3637000</v>
      </c>
    </row>
    <row r="51" s="1" customFormat="1" customHeight="1" spans="1:11">
      <c r="A51" s="11">
        <v>44</v>
      </c>
      <c r="B51" s="11">
        <v>44</v>
      </c>
      <c r="C51" s="3" t="s">
        <v>56</v>
      </c>
      <c r="D51" s="3">
        <v>100000</v>
      </c>
      <c r="E51" s="12">
        <v>2955000</v>
      </c>
      <c r="F51" s="3"/>
      <c r="G51" s="13"/>
      <c r="H51" s="3">
        <f t="shared" si="0"/>
        <v>3055000</v>
      </c>
    </row>
    <row r="52" s="1" customFormat="1" customHeight="1" spans="1:11">
      <c r="A52" s="11">
        <v>45</v>
      </c>
      <c r="B52" s="11">
        <v>45</v>
      </c>
      <c r="C52" s="3" t="s">
        <v>57</v>
      </c>
      <c r="D52" s="3">
        <v>100000</v>
      </c>
      <c r="E52" s="12">
        <v>3190000</v>
      </c>
      <c r="F52" s="3">
        <v>46330000</v>
      </c>
      <c r="G52" s="13">
        <v>50000</v>
      </c>
      <c r="H52" s="3">
        <f t="shared" si="0"/>
        <v>49670000</v>
      </c>
    </row>
    <row r="53" s="1" customFormat="1" customHeight="1" spans="1:11">
      <c r="A53" s="11">
        <v>46</v>
      </c>
      <c r="B53" s="11">
        <v>46</v>
      </c>
      <c r="C53" s="3" t="s">
        <v>58</v>
      </c>
      <c r="D53" s="3">
        <v>100000</v>
      </c>
      <c r="E53" s="12">
        <v>3190000</v>
      </c>
      <c r="F53" s="3"/>
      <c r="G53" s="13">
        <v>50000</v>
      </c>
      <c r="H53" s="3">
        <f t="shared" si="0"/>
        <v>3340000</v>
      </c>
    </row>
    <row r="54" s="1" customFormat="1" customHeight="1" spans="1:11">
      <c r="A54" s="11">
        <v>47</v>
      </c>
      <c r="B54" s="11">
        <v>47</v>
      </c>
      <c r="C54" s="3" t="s">
        <v>59</v>
      </c>
      <c r="D54" s="3">
        <v>100000</v>
      </c>
      <c r="E54" s="12">
        <v>3445000</v>
      </c>
      <c r="F54" s="3">
        <v>2691500</v>
      </c>
      <c r="G54" s="13"/>
      <c r="H54" s="3">
        <f t="shared" si="0"/>
        <v>6236500</v>
      </c>
    </row>
    <row r="55" s="1" customFormat="1" customHeight="1" spans="1:11">
      <c r="A55" s="11">
        <v>48</v>
      </c>
      <c r="B55" s="11">
        <v>48</v>
      </c>
      <c r="C55" s="3" t="s">
        <v>60</v>
      </c>
      <c r="D55" s="3">
        <v>100000</v>
      </c>
      <c r="E55" s="12">
        <v>3425000</v>
      </c>
      <c r="F55" s="3">
        <v>31000100</v>
      </c>
      <c r="G55" s="13"/>
      <c r="H55" s="3">
        <f t="shared" si="0"/>
        <v>34525100</v>
      </c>
    </row>
    <row r="56" s="1" customFormat="1" customHeight="1" spans="1:11">
      <c r="A56" s="11"/>
      <c r="B56" s="18"/>
      <c r="C56" s="19" t="s">
        <v>61</v>
      </c>
      <c r="D56" s="19">
        <f t="shared" ref="D56:H56" si="1">SUM(D8:D55)</f>
        <v>4600000</v>
      </c>
      <c r="E56" s="19">
        <f t="shared" si="1"/>
        <v>124155000</v>
      </c>
      <c r="F56" s="19">
        <f t="shared" si="1"/>
        <v>192749600</v>
      </c>
      <c r="G56" s="20">
        <f t="shared" si="1"/>
        <v>2223300</v>
      </c>
      <c r="H56" s="19">
        <f t="shared" si="1"/>
        <v>323727900</v>
      </c>
      <c r="I56" s="21"/>
      <c r="J56" s="21"/>
      <c r="K56" s="21"/>
    </row>
    <row r="57" s="1" customFormat="1" customHeight="1" spans="1:11">
      <c r="A57" s="22"/>
      <c r="B57" s="22"/>
      <c r="C57" s="23"/>
      <c r="D57" s="23"/>
      <c r="E57" s="23"/>
      <c r="F57" s="24">
        <v>14</v>
      </c>
      <c r="G57" s="4"/>
      <c r="H57" s="23"/>
    </row>
    <row r="58" s="1" customFormat="1" customHeight="1" spans="1:11">
      <c r="A58" s="2"/>
      <c r="B58" s="2"/>
      <c r="G58" s="4"/>
    </row>
    <row r="59" s="1" customFormat="1" customHeight="1" spans="1:11">
      <c r="A59" s="2"/>
      <c r="B59" s="2"/>
      <c r="G59" s="4"/>
    </row>
    <row r="60" s="1" customFormat="1" customHeight="1" spans="1:11">
      <c r="A60" s="2"/>
      <c r="B60" s="2"/>
      <c r="G60" s="4"/>
    </row>
    <row r="61" s="1" customFormat="1" customHeight="1" spans="1:11">
      <c r="A61" s="2"/>
      <c r="B61" s="2"/>
      <c r="G61" s="4"/>
    </row>
    <row r="62" s="1" customFormat="1" customHeight="1" spans="1:11">
      <c r="A62" s="2"/>
      <c r="B62" s="2"/>
      <c r="G62" s="4"/>
    </row>
    <row r="63" s="1" customFormat="1" customHeight="1" spans="1:11">
      <c r="A63" s="2"/>
      <c r="B63" s="2"/>
      <c r="G63" s="4"/>
    </row>
    <row r="64" s="1" customFormat="1" customHeight="1" spans="1:11">
      <c r="A64" s="2"/>
      <c r="B64" s="2"/>
      <c r="G64" s="4"/>
    </row>
    <row r="65" s="1" customFormat="1" customHeight="1" spans="1:11">
      <c r="A65" s="9" t="s">
        <v>5</v>
      </c>
      <c r="B65" s="9"/>
      <c r="C65" s="9" t="s">
        <v>7</v>
      </c>
      <c r="D65" s="9" t="s">
        <v>8</v>
      </c>
      <c r="E65" s="45" t="s">
        <v>9</v>
      </c>
      <c r="F65" s="9" t="s">
        <v>10</v>
      </c>
      <c r="G65" s="11" t="s">
        <v>11</v>
      </c>
      <c r="H65" s="9" t="s">
        <v>12</v>
      </c>
      <c r="I65" s="10"/>
      <c r="J65" s="10"/>
      <c r="K65" s="10"/>
    </row>
    <row r="66" s="1" customFormat="1" customHeight="1" spans="1:11">
      <c r="A66" s="11">
        <v>49</v>
      </c>
      <c r="B66" s="11">
        <v>49</v>
      </c>
      <c r="C66" s="3" t="s">
        <v>62</v>
      </c>
      <c r="D66" s="3">
        <v>100000</v>
      </c>
      <c r="E66" s="12">
        <v>3425000</v>
      </c>
      <c r="F66" s="3">
        <v>3810000</v>
      </c>
      <c r="G66" s="13">
        <v>16000</v>
      </c>
      <c r="H66" s="3">
        <f t="shared" ref="H66:H117" si="2">SUM(D66:G66)</f>
        <v>7351000</v>
      </c>
    </row>
    <row r="67" s="1" customFormat="1" customHeight="1" spans="1:11">
      <c r="A67" s="11">
        <v>50</v>
      </c>
      <c r="B67" s="11">
        <v>50</v>
      </c>
      <c r="C67" s="3" t="s">
        <v>63</v>
      </c>
      <c r="D67" s="3">
        <v>100000</v>
      </c>
      <c r="E67" s="12">
        <v>2280000</v>
      </c>
      <c r="F67" s="3"/>
      <c r="G67" s="13"/>
      <c r="H67" s="3">
        <f t="shared" si="2"/>
        <v>2380000</v>
      </c>
    </row>
    <row r="68" s="1" customFormat="1" customHeight="1" spans="1:11">
      <c r="A68" s="11">
        <v>51</v>
      </c>
      <c r="B68" s="11">
        <v>51</v>
      </c>
      <c r="C68" s="3" t="s">
        <v>64</v>
      </c>
      <c r="D68" s="3">
        <v>100000</v>
      </c>
      <c r="E68" s="12">
        <v>2560000</v>
      </c>
      <c r="F68" s="3"/>
      <c r="G68" s="13">
        <v>280000</v>
      </c>
      <c r="H68" s="3">
        <f t="shared" si="2"/>
        <v>2940000</v>
      </c>
    </row>
    <row r="69" s="1" customFormat="1" customHeight="1" spans="1:11">
      <c r="A69" s="11">
        <v>52</v>
      </c>
      <c r="B69" s="11">
        <v>52</v>
      </c>
      <c r="C69" s="3" t="s">
        <v>65</v>
      </c>
      <c r="D69" s="3">
        <v>100000</v>
      </c>
      <c r="E69" s="12">
        <v>3165000</v>
      </c>
      <c r="F69" s="3">
        <v>50000</v>
      </c>
      <c r="G69" s="13">
        <v>30000</v>
      </c>
      <c r="H69" s="3">
        <f t="shared" si="2"/>
        <v>3345000</v>
      </c>
    </row>
    <row r="70" s="1" customFormat="1" customHeight="1" spans="1:11">
      <c r="A70" s="11">
        <v>53</v>
      </c>
      <c r="B70" s="11">
        <v>53</v>
      </c>
      <c r="C70" s="3" t="s">
        <v>66</v>
      </c>
      <c r="D70" s="3">
        <v>100000</v>
      </c>
      <c r="E70" s="12">
        <v>2415000</v>
      </c>
      <c r="F70" s="3">
        <v>5750000</v>
      </c>
      <c r="G70" s="13"/>
      <c r="H70" s="3">
        <f t="shared" si="2"/>
        <v>8265000</v>
      </c>
    </row>
    <row r="71" s="1" customFormat="1" customHeight="1" spans="1:11">
      <c r="A71" s="11">
        <v>54</v>
      </c>
      <c r="B71" s="11">
        <v>54</v>
      </c>
      <c r="C71" s="3" t="s">
        <v>67</v>
      </c>
      <c r="D71" s="3">
        <v>100000</v>
      </c>
      <c r="E71" s="12">
        <v>2580000</v>
      </c>
      <c r="F71" s="3"/>
      <c r="G71" s="13"/>
      <c r="H71" s="3">
        <f t="shared" si="2"/>
        <v>2680000</v>
      </c>
    </row>
    <row r="72" s="1" customFormat="1" customHeight="1" spans="1:11">
      <c r="A72" s="11">
        <v>55</v>
      </c>
      <c r="B72" s="11">
        <v>55</v>
      </c>
      <c r="C72" s="3" t="s">
        <v>68</v>
      </c>
      <c r="D72" s="3">
        <v>100000</v>
      </c>
      <c r="E72" s="12">
        <v>1455000</v>
      </c>
      <c r="F72" s="3"/>
      <c r="G72" s="13">
        <v>100000</v>
      </c>
      <c r="H72" s="3">
        <f t="shared" si="2"/>
        <v>1655000</v>
      </c>
    </row>
    <row r="73" s="1" customFormat="1" customHeight="1" spans="1:11">
      <c r="A73" s="11">
        <v>56</v>
      </c>
      <c r="B73" s="11">
        <v>56</v>
      </c>
      <c r="C73" s="3" t="s">
        <v>69</v>
      </c>
      <c r="D73" s="3">
        <v>100000</v>
      </c>
      <c r="E73" s="12">
        <v>3190000</v>
      </c>
      <c r="F73" s="3"/>
      <c r="G73" s="13"/>
      <c r="H73" s="3">
        <f t="shared" si="2"/>
        <v>3290000</v>
      </c>
    </row>
    <row r="74" s="1" customFormat="1" customHeight="1" spans="1:11">
      <c r="A74" s="11">
        <v>57</v>
      </c>
      <c r="B74" s="11">
        <v>57</v>
      </c>
      <c r="C74" s="3" t="s">
        <v>70</v>
      </c>
      <c r="D74" s="3">
        <v>100000</v>
      </c>
      <c r="E74" s="12">
        <v>2675000</v>
      </c>
      <c r="F74" s="3"/>
      <c r="G74" s="13">
        <v>96000</v>
      </c>
      <c r="H74" s="3">
        <f t="shared" si="2"/>
        <v>2871000</v>
      </c>
    </row>
    <row r="75" s="1" customFormat="1" customHeight="1" spans="1:11">
      <c r="A75" s="11">
        <v>58</v>
      </c>
      <c r="B75" s="11">
        <v>58</v>
      </c>
      <c r="C75" s="3" t="s">
        <v>71</v>
      </c>
      <c r="D75" s="3">
        <v>100000</v>
      </c>
      <c r="E75" s="12">
        <v>2620000</v>
      </c>
      <c r="F75" s="3"/>
      <c r="G75" s="13">
        <v>6000</v>
      </c>
      <c r="H75" s="3">
        <f t="shared" si="2"/>
        <v>2726000</v>
      </c>
    </row>
    <row r="76" s="1" customFormat="1" customHeight="1" spans="1:11">
      <c r="A76" s="11">
        <v>59</v>
      </c>
      <c r="B76" s="11">
        <v>59</v>
      </c>
      <c r="C76" s="3" t="s">
        <v>72</v>
      </c>
      <c r="D76" s="3">
        <v>100000</v>
      </c>
      <c r="E76" s="12">
        <v>2900000</v>
      </c>
      <c r="F76" s="3">
        <v>6000000</v>
      </c>
      <c r="G76" s="13"/>
      <c r="H76" s="3">
        <f t="shared" si="2"/>
        <v>9000000</v>
      </c>
    </row>
    <row r="77" s="1" customFormat="1" customHeight="1" spans="1:11">
      <c r="A77" s="11">
        <v>60</v>
      </c>
      <c r="B77" s="11">
        <v>60</v>
      </c>
      <c r="C77" s="3" t="s">
        <v>73</v>
      </c>
      <c r="D77" s="3">
        <v>100000</v>
      </c>
      <c r="E77" s="12">
        <v>1455000</v>
      </c>
      <c r="F77" s="3"/>
      <c r="G77" s="13"/>
      <c r="H77" s="3">
        <f t="shared" si="2"/>
        <v>1555000</v>
      </c>
    </row>
    <row r="78" s="1" customFormat="1" customHeight="1" spans="1:11">
      <c r="A78" s="11">
        <v>61</v>
      </c>
      <c r="B78" s="11">
        <v>61</v>
      </c>
      <c r="C78" s="3" t="s">
        <v>74</v>
      </c>
      <c r="D78" s="3">
        <v>100000</v>
      </c>
      <c r="E78" s="12">
        <v>2570000</v>
      </c>
      <c r="F78" s="3"/>
      <c r="G78" s="13">
        <v>42000</v>
      </c>
      <c r="H78" s="3">
        <f t="shared" si="2"/>
        <v>2712000</v>
      </c>
    </row>
    <row r="79" s="1" customFormat="1" customHeight="1" spans="1:11">
      <c r="A79" s="11">
        <v>62</v>
      </c>
      <c r="B79" s="11">
        <v>62</v>
      </c>
      <c r="C79" s="3" t="s">
        <v>75</v>
      </c>
      <c r="D79" s="3">
        <v>100000</v>
      </c>
      <c r="E79" s="12">
        <v>2440000</v>
      </c>
      <c r="F79" s="3"/>
      <c r="G79" s="13"/>
      <c r="H79" s="3">
        <f t="shared" si="2"/>
        <v>2540000</v>
      </c>
    </row>
    <row r="80" s="1" customFormat="1" customHeight="1" spans="1:11">
      <c r="A80" s="11">
        <v>63</v>
      </c>
      <c r="B80" s="11">
        <v>63</v>
      </c>
      <c r="C80" s="3" t="s">
        <v>76</v>
      </c>
      <c r="D80" s="3">
        <v>100000</v>
      </c>
      <c r="E80" s="12">
        <v>3085000</v>
      </c>
      <c r="F80" s="3"/>
      <c r="G80" s="13"/>
      <c r="H80" s="3">
        <f t="shared" si="2"/>
        <v>3185000</v>
      </c>
    </row>
    <row r="81" s="1" customFormat="1" customHeight="1" spans="1:8">
      <c r="A81" s="11">
        <v>64</v>
      </c>
      <c r="B81" s="11">
        <v>64</v>
      </c>
      <c r="C81" s="3" t="s">
        <v>77</v>
      </c>
      <c r="D81" s="3">
        <v>100000</v>
      </c>
      <c r="E81" s="12">
        <v>1765000</v>
      </c>
      <c r="F81" s="3">
        <v>50000</v>
      </c>
      <c r="G81" s="13">
        <v>36000</v>
      </c>
      <c r="H81" s="3">
        <f t="shared" si="2"/>
        <v>1951000</v>
      </c>
    </row>
    <row r="82" s="1" customFormat="1" customHeight="1" spans="1:8">
      <c r="A82" s="11">
        <v>65</v>
      </c>
      <c r="B82" s="11">
        <v>65</v>
      </c>
      <c r="C82" s="3" t="s">
        <v>78</v>
      </c>
      <c r="D82" s="3">
        <v>100000</v>
      </c>
      <c r="E82" s="12">
        <v>1900000</v>
      </c>
      <c r="F82" s="3"/>
      <c r="G82" s="13"/>
      <c r="H82" s="3">
        <f t="shared" si="2"/>
        <v>2000000</v>
      </c>
    </row>
    <row r="83" s="1" customFormat="1" customHeight="1" spans="1:8">
      <c r="A83" s="11">
        <v>66</v>
      </c>
      <c r="B83" s="11">
        <v>66</v>
      </c>
      <c r="C83" s="3" t="s">
        <v>79</v>
      </c>
      <c r="D83" s="3">
        <v>100000</v>
      </c>
      <c r="E83" s="12">
        <v>2670000</v>
      </c>
      <c r="F83" s="3"/>
      <c r="G83" s="13">
        <v>42000</v>
      </c>
      <c r="H83" s="3">
        <f t="shared" si="2"/>
        <v>2812000</v>
      </c>
    </row>
    <row r="84" s="1" customFormat="1" customHeight="1" spans="1:8">
      <c r="A84" s="11">
        <v>67</v>
      </c>
      <c r="B84" s="11">
        <v>67</v>
      </c>
      <c r="C84" s="3" t="s">
        <v>80</v>
      </c>
      <c r="D84" s="3">
        <v>100000</v>
      </c>
      <c r="E84" s="12">
        <v>3065000</v>
      </c>
      <c r="F84" s="3">
        <v>600000</v>
      </c>
      <c r="G84" s="13"/>
      <c r="H84" s="3">
        <f t="shared" si="2"/>
        <v>3765000</v>
      </c>
    </row>
    <row r="85" s="1" customFormat="1" customHeight="1" spans="1:8">
      <c r="A85" s="11">
        <v>68</v>
      </c>
      <c r="B85" s="11">
        <v>68</v>
      </c>
      <c r="C85" s="3" t="s">
        <v>81</v>
      </c>
      <c r="D85" s="3">
        <v>100000</v>
      </c>
      <c r="E85" s="12">
        <v>2270000</v>
      </c>
      <c r="F85" s="3"/>
      <c r="G85" s="13">
        <v>24000</v>
      </c>
      <c r="H85" s="3">
        <f t="shared" si="2"/>
        <v>2394000</v>
      </c>
    </row>
    <row r="86" s="1" customFormat="1" customHeight="1" spans="1:8">
      <c r="A86" s="11">
        <v>69</v>
      </c>
      <c r="B86" s="11">
        <v>69</v>
      </c>
      <c r="C86" s="3" t="s">
        <v>82</v>
      </c>
      <c r="D86" s="3">
        <v>100000</v>
      </c>
      <c r="E86" s="12">
        <v>2270000</v>
      </c>
      <c r="F86" s="3"/>
      <c r="G86" s="13">
        <v>50000</v>
      </c>
      <c r="H86" s="3">
        <f t="shared" si="2"/>
        <v>2420000</v>
      </c>
    </row>
    <row r="87" s="1" customFormat="1" customHeight="1" spans="1:8">
      <c r="A87" s="11">
        <v>70</v>
      </c>
      <c r="B87" s="11">
        <v>70</v>
      </c>
      <c r="C87" s="3" t="s">
        <v>83</v>
      </c>
      <c r="D87" s="3">
        <v>100000</v>
      </c>
      <c r="E87" s="12">
        <v>2390000</v>
      </c>
      <c r="F87" s="3"/>
      <c r="G87" s="13"/>
      <c r="H87" s="3">
        <f t="shared" si="2"/>
        <v>2490000</v>
      </c>
    </row>
    <row r="88" s="1" customFormat="1" customHeight="1" spans="1:8">
      <c r="A88" s="11">
        <v>71</v>
      </c>
      <c r="B88" s="11">
        <v>71</v>
      </c>
      <c r="C88" s="3" t="s">
        <v>84</v>
      </c>
      <c r="D88" s="3">
        <v>100000</v>
      </c>
      <c r="E88" s="12">
        <v>2595000</v>
      </c>
      <c r="F88" s="3"/>
      <c r="G88" s="13"/>
      <c r="H88" s="3">
        <f t="shared" si="2"/>
        <v>2695000</v>
      </c>
    </row>
    <row r="89" s="1" customFormat="1" customHeight="1" spans="1:8">
      <c r="A89" s="11">
        <v>72</v>
      </c>
      <c r="B89" s="11">
        <v>72</v>
      </c>
      <c r="C89" s="3" t="s">
        <v>85</v>
      </c>
      <c r="D89" s="3">
        <v>100000</v>
      </c>
      <c r="E89" s="12">
        <v>2595000</v>
      </c>
      <c r="F89" s="3">
        <v>3000000</v>
      </c>
      <c r="G89" s="13">
        <v>20000</v>
      </c>
      <c r="H89" s="3">
        <f t="shared" si="2"/>
        <v>5715000</v>
      </c>
    </row>
    <row r="90" s="1" customFormat="1" customHeight="1" spans="1:8">
      <c r="A90" s="11">
        <v>73</v>
      </c>
      <c r="B90" s="11">
        <v>74</v>
      </c>
      <c r="C90" s="3" t="s">
        <v>86</v>
      </c>
      <c r="D90" s="3">
        <v>100000</v>
      </c>
      <c r="E90" s="12">
        <v>2275000</v>
      </c>
      <c r="F90" s="3"/>
      <c r="G90" s="13">
        <v>148000</v>
      </c>
      <c r="H90" s="3">
        <f t="shared" si="2"/>
        <v>2523000</v>
      </c>
    </row>
    <row r="91" s="1" customFormat="1" customHeight="1" spans="1:8">
      <c r="A91" s="11">
        <v>74</v>
      </c>
      <c r="B91" s="11">
        <v>75</v>
      </c>
      <c r="C91" s="3" t="s">
        <v>87</v>
      </c>
      <c r="D91" s="3">
        <v>100000</v>
      </c>
      <c r="E91" s="12">
        <v>2550000</v>
      </c>
      <c r="F91" s="3"/>
      <c r="G91" s="13"/>
      <c r="H91" s="3">
        <f t="shared" si="2"/>
        <v>2650000</v>
      </c>
    </row>
    <row r="92" s="1" customFormat="1" customHeight="1" spans="1:8">
      <c r="A92" s="11">
        <v>75</v>
      </c>
      <c r="B92" s="11">
        <v>76</v>
      </c>
      <c r="C92" s="3" t="s">
        <v>88</v>
      </c>
      <c r="D92" s="3">
        <v>100000</v>
      </c>
      <c r="E92" s="12">
        <v>2435000</v>
      </c>
      <c r="F92" s="3"/>
      <c r="G92" s="13"/>
      <c r="H92" s="3">
        <f t="shared" si="2"/>
        <v>2535000</v>
      </c>
    </row>
    <row r="93" s="1" customFormat="1" customHeight="1" spans="1:8">
      <c r="A93" s="11">
        <v>76</v>
      </c>
      <c r="B93" s="11">
        <v>77</v>
      </c>
      <c r="C93" s="3" t="s">
        <v>89</v>
      </c>
      <c r="D93" s="3">
        <v>100000</v>
      </c>
      <c r="E93" s="12">
        <v>2730000</v>
      </c>
      <c r="F93" s="3"/>
      <c r="G93" s="13"/>
      <c r="H93" s="3">
        <f t="shared" si="2"/>
        <v>2830000</v>
      </c>
    </row>
    <row r="94" s="1" customFormat="1" customHeight="1" spans="1:8">
      <c r="A94" s="11">
        <v>77</v>
      </c>
      <c r="B94" s="11">
        <v>78</v>
      </c>
      <c r="C94" s="3" t="s">
        <v>90</v>
      </c>
      <c r="D94" s="3">
        <v>100000</v>
      </c>
      <c r="E94" s="12">
        <v>2530000</v>
      </c>
      <c r="F94" s="3"/>
      <c r="G94" s="13">
        <v>8000</v>
      </c>
      <c r="H94" s="3">
        <f t="shared" si="2"/>
        <v>2638000</v>
      </c>
    </row>
    <row r="95" s="1" customFormat="1" customHeight="1" spans="1:8">
      <c r="A95" s="11">
        <v>78</v>
      </c>
      <c r="B95" s="11">
        <v>79</v>
      </c>
      <c r="C95" s="3" t="s">
        <v>91</v>
      </c>
      <c r="D95" s="3">
        <v>100000</v>
      </c>
      <c r="E95" s="12">
        <v>2405000</v>
      </c>
      <c r="F95" s="3"/>
      <c r="G95" s="13">
        <v>880000</v>
      </c>
      <c r="H95" s="3">
        <f t="shared" si="2"/>
        <v>3385000</v>
      </c>
    </row>
    <row r="96" s="1" customFormat="1" customHeight="1" spans="1:8">
      <c r="A96" s="11">
        <v>79</v>
      </c>
      <c r="B96" s="11">
        <v>80</v>
      </c>
      <c r="C96" s="3" t="s">
        <v>92</v>
      </c>
      <c r="D96" s="3">
        <v>100000</v>
      </c>
      <c r="E96" s="12">
        <v>1530000</v>
      </c>
      <c r="F96" s="3"/>
      <c r="G96" s="13"/>
      <c r="H96" s="3">
        <f t="shared" si="2"/>
        <v>1630000</v>
      </c>
    </row>
    <row r="97" s="1" customFormat="1" customHeight="1" spans="1:8">
      <c r="A97" s="11">
        <v>80</v>
      </c>
      <c r="B97" s="11">
        <v>81</v>
      </c>
      <c r="C97" s="3" t="s">
        <v>93</v>
      </c>
      <c r="D97" s="3">
        <v>100000</v>
      </c>
      <c r="E97" s="12">
        <v>2220000</v>
      </c>
      <c r="F97" s="3"/>
      <c r="G97" s="13"/>
      <c r="H97" s="3">
        <f t="shared" si="2"/>
        <v>2320000</v>
      </c>
    </row>
    <row r="98" s="1" customFormat="1" customHeight="1" spans="1:8">
      <c r="A98" s="11">
        <v>81</v>
      </c>
      <c r="B98" s="11">
        <v>82</v>
      </c>
      <c r="C98" s="3" t="s">
        <v>94</v>
      </c>
      <c r="D98" s="3">
        <v>100000</v>
      </c>
      <c r="E98" s="12">
        <v>2230000</v>
      </c>
      <c r="F98" s="3">
        <v>600000</v>
      </c>
      <c r="G98" s="13">
        <v>10000</v>
      </c>
      <c r="H98" s="3">
        <f t="shared" si="2"/>
        <v>2940000</v>
      </c>
    </row>
    <row r="99" s="1" customFormat="1" customHeight="1" spans="1:8">
      <c r="A99" s="11">
        <v>82</v>
      </c>
      <c r="B99" s="11">
        <v>83</v>
      </c>
      <c r="C99" s="3" t="s">
        <v>95</v>
      </c>
      <c r="D99" s="3">
        <v>100000</v>
      </c>
      <c r="E99" s="12">
        <v>1715000</v>
      </c>
      <c r="F99" s="3">
        <v>500000</v>
      </c>
      <c r="G99" s="13">
        <v>70000</v>
      </c>
      <c r="H99" s="3">
        <f t="shared" si="2"/>
        <v>2385000</v>
      </c>
    </row>
    <row r="100" s="1" customFormat="1" customHeight="1" spans="1:8">
      <c r="A100" s="11">
        <v>83</v>
      </c>
      <c r="B100" s="11">
        <v>84</v>
      </c>
      <c r="C100" s="3" t="s">
        <v>96</v>
      </c>
      <c r="D100" s="3">
        <v>100000</v>
      </c>
      <c r="E100" s="12">
        <v>1715000</v>
      </c>
      <c r="F100" s="3"/>
      <c r="G100" s="13">
        <v>10000</v>
      </c>
      <c r="H100" s="3">
        <f t="shared" si="2"/>
        <v>1825000</v>
      </c>
    </row>
    <row r="101" s="1" customFormat="1" customHeight="1" spans="1:8">
      <c r="A101" s="11">
        <v>84</v>
      </c>
      <c r="B101" s="11">
        <v>85</v>
      </c>
      <c r="C101" s="3" t="s">
        <v>97</v>
      </c>
      <c r="D101" s="3">
        <v>100000</v>
      </c>
      <c r="E101" s="12">
        <v>1625000</v>
      </c>
      <c r="F101" s="3"/>
      <c r="G101" s="13"/>
      <c r="H101" s="3">
        <f t="shared" si="2"/>
        <v>1725000</v>
      </c>
    </row>
    <row r="102" s="1" customFormat="1" customHeight="1" spans="1:8">
      <c r="A102" s="11">
        <v>85</v>
      </c>
      <c r="B102" s="11">
        <v>86</v>
      </c>
      <c r="C102" s="3" t="s">
        <v>98</v>
      </c>
      <c r="D102" s="3">
        <v>100000</v>
      </c>
      <c r="E102" s="12">
        <v>1625000</v>
      </c>
      <c r="F102" s="3"/>
      <c r="G102" s="13"/>
      <c r="H102" s="3">
        <f t="shared" si="2"/>
        <v>1725000</v>
      </c>
    </row>
    <row r="103" s="1" customFormat="1" customHeight="1" spans="1:8">
      <c r="A103" s="11">
        <v>86</v>
      </c>
      <c r="B103" s="11">
        <v>87</v>
      </c>
      <c r="C103" s="3" t="s">
        <v>99</v>
      </c>
      <c r="D103" s="3">
        <v>100000</v>
      </c>
      <c r="E103" s="12">
        <v>2080000</v>
      </c>
      <c r="F103" s="3"/>
      <c r="G103" s="13">
        <v>640000</v>
      </c>
      <c r="H103" s="3">
        <f t="shared" si="2"/>
        <v>2820000</v>
      </c>
    </row>
    <row r="104" s="1" customFormat="1" customHeight="1" spans="1:8">
      <c r="A104" s="11">
        <v>87</v>
      </c>
      <c r="B104" s="11">
        <v>88</v>
      </c>
      <c r="C104" s="3" t="s">
        <v>100</v>
      </c>
      <c r="D104" s="3">
        <v>100000</v>
      </c>
      <c r="E104" s="12">
        <v>2400000</v>
      </c>
      <c r="F104" s="3"/>
      <c r="G104" s="13">
        <v>100000</v>
      </c>
      <c r="H104" s="3">
        <f t="shared" si="2"/>
        <v>2600000</v>
      </c>
    </row>
    <row r="105" s="1" customFormat="1" customHeight="1" spans="1:8">
      <c r="A105" s="11">
        <v>88</v>
      </c>
      <c r="B105" s="11">
        <v>89</v>
      </c>
      <c r="C105" s="3" t="s">
        <v>101</v>
      </c>
      <c r="D105" s="3">
        <v>100000</v>
      </c>
      <c r="E105" s="12">
        <v>1760000</v>
      </c>
      <c r="F105" s="3"/>
      <c r="G105" s="13">
        <v>4000</v>
      </c>
      <c r="H105" s="3">
        <f t="shared" si="2"/>
        <v>1864000</v>
      </c>
    </row>
    <row r="106" s="1" customFormat="1" customHeight="1" spans="1:8">
      <c r="A106" s="11">
        <v>89</v>
      </c>
      <c r="B106" s="11">
        <v>90</v>
      </c>
      <c r="C106" s="3" t="s">
        <v>102</v>
      </c>
      <c r="D106" s="3">
        <v>100000</v>
      </c>
      <c r="E106" s="12">
        <v>2635000</v>
      </c>
      <c r="F106" s="3"/>
      <c r="G106" s="13"/>
      <c r="H106" s="3">
        <f t="shared" si="2"/>
        <v>2735000</v>
      </c>
    </row>
    <row r="107" s="1" customFormat="1" customHeight="1" spans="1:8">
      <c r="A107" s="11">
        <v>90</v>
      </c>
      <c r="B107" s="11">
        <v>91</v>
      </c>
      <c r="C107" s="3" t="s">
        <v>103</v>
      </c>
      <c r="D107" s="3">
        <v>100000</v>
      </c>
      <c r="E107" s="12">
        <v>2940000</v>
      </c>
      <c r="F107" s="3"/>
      <c r="G107" s="13"/>
      <c r="H107" s="3">
        <f t="shared" si="2"/>
        <v>3040000</v>
      </c>
    </row>
    <row r="108" s="1" customFormat="1" customHeight="1" spans="1:8">
      <c r="A108" s="11">
        <v>91</v>
      </c>
      <c r="B108" s="11">
        <v>92</v>
      </c>
      <c r="C108" s="3" t="s">
        <v>104</v>
      </c>
      <c r="D108" s="3">
        <v>100000</v>
      </c>
      <c r="E108" s="12">
        <v>2940000</v>
      </c>
      <c r="F108" s="3"/>
      <c r="G108" s="13">
        <v>42000</v>
      </c>
      <c r="H108" s="3">
        <f t="shared" si="2"/>
        <v>3082000</v>
      </c>
    </row>
    <row r="109" s="1" customFormat="1" customHeight="1" spans="1:8">
      <c r="A109" s="11">
        <v>92</v>
      </c>
      <c r="B109" s="11">
        <v>93</v>
      </c>
      <c r="C109" s="3" t="s">
        <v>105</v>
      </c>
      <c r="D109" s="3">
        <v>100000</v>
      </c>
      <c r="E109" s="12">
        <v>1835000</v>
      </c>
      <c r="F109" s="3"/>
      <c r="G109" s="13"/>
      <c r="H109" s="3">
        <f t="shared" si="2"/>
        <v>1935000</v>
      </c>
    </row>
    <row r="110" s="1" customFormat="1" customHeight="1" spans="1:8">
      <c r="A110" s="11">
        <v>93</v>
      </c>
      <c r="B110" s="11">
        <v>94</v>
      </c>
      <c r="C110" s="3" t="s">
        <v>106</v>
      </c>
      <c r="D110" s="3">
        <v>100000</v>
      </c>
      <c r="E110" s="12">
        <v>1835000</v>
      </c>
      <c r="F110" s="3"/>
      <c r="G110" s="13"/>
      <c r="H110" s="3">
        <f t="shared" si="2"/>
        <v>1935000</v>
      </c>
    </row>
    <row r="111" s="1" customFormat="1" customHeight="1" spans="1:8">
      <c r="A111" s="11">
        <v>94</v>
      </c>
      <c r="B111" s="11">
        <v>95</v>
      </c>
      <c r="C111" s="3" t="s">
        <v>107</v>
      </c>
      <c r="D111" s="3">
        <v>100000</v>
      </c>
      <c r="E111" s="12">
        <v>2735000</v>
      </c>
      <c r="F111" s="3"/>
      <c r="G111" s="13"/>
      <c r="H111" s="3">
        <f t="shared" si="2"/>
        <v>2835000</v>
      </c>
    </row>
    <row r="112" s="1" customFormat="1" customHeight="1" spans="1:8">
      <c r="A112" s="11">
        <v>95</v>
      </c>
      <c r="B112" s="11">
        <v>96</v>
      </c>
      <c r="C112" s="3" t="s">
        <v>108</v>
      </c>
      <c r="D112" s="3">
        <v>100000</v>
      </c>
      <c r="E112" s="12">
        <v>1915000</v>
      </c>
      <c r="F112" s="3">
        <v>250000</v>
      </c>
      <c r="G112" s="13"/>
      <c r="H112" s="3">
        <f t="shared" si="2"/>
        <v>2265000</v>
      </c>
    </row>
    <row r="113" s="1" customFormat="1" customHeight="1" spans="1:11">
      <c r="A113" s="11">
        <v>96</v>
      </c>
      <c r="B113" s="11">
        <v>97</v>
      </c>
      <c r="C113" s="3" t="s">
        <v>109</v>
      </c>
      <c r="D113" s="3">
        <v>100000</v>
      </c>
      <c r="E113" s="12">
        <v>1925000</v>
      </c>
      <c r="F113" s="3"/>
      <c r="G113" s="13">
        <v>29200</v>
      </c>
      <c r="H113" s="3">
        <f t="shared" si="2"/>
        <v>2054200</v>
      </c>
    </row>
    <row r="114" s="1" customFormat="1" customHeight="1" spans="1:11">
      <c r="A114" s="11">
        <v>97</v>
      </c>
      <c r="B114" s="11">
        <v>98</v>
      </c>
      <c r="C114" s="3" t="s">
        <v>110</v>
      </c>
      <c r="D114" s="3">
        <v>100000</v>
      </c>
      <c r="E114" s="12">
        <v>2060000</v>
      </c>
      <c r="F114" s="3">
        <v>5000000</v>
      </c>
      <c r="G114" s="13">
        <v>40000</v>
      </c>
      <c r="H114" s="3">
        <f t="shared" si="2"/>
        <v>7200000</v>
      </c>
    </row>
    <row r="115" s="1" customFormat="1" customHeight="1" spans="1:11">
      <c r="A115" s="11">
        <v>98</v>
      </c>
      <c r="B115" s="11">
        <v>99</v>
      </c>
      <c r="C115" s="3" t="s">
        <v>111</v>
      </c>
      <c r="D115" s="3">
        <v>100000</v>
      </c>
      <c r="E115" s="12">
        <v>2015000</v>
      </c>
      <c r="F115" s="3">
        <v>200000</v>
      </c>
      <c r="G115" s="13"/>
      <c r="H115" s="3">
        <f t="shared" si="2"/>
        <v>2315000</v>
      </c>
    </row>
    <row r="116" s="1" customFormat="1" customHeight="1" spans="1:11">
      <c r="A116" s="11">
        <v>99</v>
      </c>
      <c r="B116" s="11">
        <v>100</v>
      </c>
      <c r="C116" s="3" t="s">
        <v>112</v>
      </c>
      <c r="D116" s="3">
        <v>100000</v>
      </c>
      <c r="E116" s="12">
        <v>2170000</v>
      </c>
      <c r="F116" s="3"/>
      <c r="G116" s="13"/>
      <c r="H116" s="3">
        <f t="shared" si="2"/>
        <v>2270000</v>
      </c>
    </row>
    <row r="117" s="1" customFormat="1" customHeight="1" spans="1:11">
      <c r="A117" s="11">
        <v>100</v>
      </c>
      <c r="B117" s="11">
        <v>101</v>
      </c>
      <c r="C117" s="3" t="s">
        <v>113</v>
      </c>
      <c r="D117" s="3">
        <v>100000</v>
      </c>
      <c r="E117" s="12">
        <v>2235000</v>
      </c>
      <c r="F117" s="3">
        <v>400000</v>
      </c>
      <c r="G117" s="13">
        <v>96000</v>
      </c>
      <c r="H117" s="3">
        <f t="shared" si="2"/>
        <v>2831000</v>
      </c>
    </row>
    <row r="118" s="1" customFormat="1" customHeight="1" spans="1:11">
      <c r="A118" s="11"/>
      <c r="B118" s="18"/>
      <c r="C118" s="19" t="s">
        <v>114</v>
      </c>
      <c r="D118" s="3">
        <f t="shared" ref="D118:H118" si="3">SUM(D66:D117)</f>
        <v>5200000</v>
      </c>
      <c r="E118" s="3">
        <f t="shared" si="3"/>
        <v>121400000</v>
      </c>
      <c r="F118" s="3">
        <f t="shared" si="3"/>
        <v>26210000</v>
      </c>
      <c r="G118" s="3">
        <f t="shared" si="3"/>
        <v>2819200</v>
      </c>
      <c r="H118" s="3">
        <f t="shared" si="3"/>
        <v>155629200</v>
      </c>
    </row>
    <row r="119" s="1" customFormat="1" customHeight="1" spans="1:11">
      <c r="A119" s="22"/>
      <c r="B119" s="22"/>
      <c r="C119" s="23"/>
      <c r="D119" s="23"/>
      <c r="E119" s="23">
        <v>15</v>
      </c>
      <c r="F119" s="23"/>
      <c r="G119" s="4"/>
      <c r="H119" s="23"/>
    </row>
    <row r="120" s="1" customFormat="1" customHeight="1" spans="1:11">
      <c r="A120" s="2"/>
      <c r="B120" s="2"/>
      <c r="G120" s="4"/>
    </row>
    <row r="121" s="1" customFormat="1" customHeight="1" spans="1:11">
      <c r="A121" s="2"/>
      <c r="B121" s="2"/>
      <c r="G121" s="4"/>
    </row>
    <row r="122" s="1" customFormat="1" customHeight="1" spans="1:11">
      <c r="A122" s="2"/>
      <c r="B122" s="2"/>
      <c r="G122" s="4"/>
    </row>
    <row r="123" s="1" customFormat="1" customHeight="1" spans="1:11">
      <c r="A123" s="2"/>
      <c r="B123" s="2"/>
      <c r="G123" s="4"/>
    </row>
    <row r="124" s="1" customFormat="1" customHeight="1" spans="1:11">
      <c r="A124" s="2"/>
      <c r="B124" s="2"/>
      <c r="G124" s="4"/>
    </row>
    <row r="125" s="1" customFormat="1" customHeight="1" spans="1:11">
      <c r="A125" s="2"/>
      <c r="B125" s="2"/>
      <c r="G125" s="4"/>
    </row>
    <row r="126" s="1" customFormat="1" customHeight="1" spans="1:11">
      <c r="A126" s="2"/>
      <c r="B126" s="2"/>
      <c r="G126" s="4"/>
    </row>
    <row r="127" s="1" customFormat="1" customHeight="1" spans="1:11">
      <c r="A127" s="2"/>
      <c r="B127" s="2"/>
      <c r="G127" s="4"/>
    </row>
    <row r="128" s="1" customFormat="1" customHeight="1" spans="1:11">
      <c r="A128" s="9" t="s">
        <v>5</v>
      </c>
      <c r="B128" s="9"/>
      <c r="C128" s="9" t="s">
        <v>7</v>
      </c>
      <c r="D128" s="9" t="s">
        <v>8</v>
      </c>
      <c r="E128" s="45" t="s">
        <v>9</v>
      </c>
      <c r="F128" s="9" t="s">
        <v>10</v>
      </c>
      <c r="G128" s="25" t="s">
        <v>11</v>
      </c>
      <c r="H128" s="9" t="s">
        <v>12</v>
      </c>
      <c r="I128" s="10"/>
      <c r="J128" s="10"/>
      <c r="K128" s="10"/>
    </row>
    <row r="129" s="1" customFormat="1" customHeight="1" spans="1:8">
      <c r="A129" s="11">
        <v>101</v>
      </c>
      <c r="B129" s="11">
        <v>102</v>
      </c>
      <c r="C129" s="3" t="s">
        <v>115</v>
      </c>
      <c r="D129" s="3">
        <v>100000</v>
      </c>
      <c r="E129" s="12">
        <v>1285000</v>
      </c>
      <c r="F129" s="3">
        <v>290000</v>
      </c>
      <c r="G129" s="13"/>
      <c r="H129" s="3">
        <f t="shared" ref="H129:H180" si="4">SUM(D129:G129)</f>
        <v>1675000</v>
      </c>
    </row>
    <row r="130" s="1" customFormat="1" customHeight="1" spans="1:8">
      <c r="A130" s="14">
        <v>102</v>
      </c>
      <c r="B130" s="14">
        <v>103</v>
      </c>
      <c r="C130" s="15" t="s">
        <v>116</v>
      </c>
      <c r="D130" s="15">
        <v>0</v>
      </c>
      <c r="E130" s="16"/>
      <c r="F130" s="15"/>
      <c r="G130" s="17"/>
      <c r="H130" s="15">
        <f t="shared" si="4"/>
        <v>0</v>
      </c>
    </row>
    <row r="131" s="1" customFormat="1" customHeight="1" spans="1:8">
      <c r="A131" s="11">
        <v>103</v>
      </c>
      <c r="B131" s="11">
        <v>104</v>
      </c>
      <c r="C131" s="3" t="s">
        <v>117</v>
      </c>
      <c r="D131" s="3">
        <v>100000</v>
      </c>
      <c r="E131" s="12">
        <v>1470000</v>
      </c>
      <c r="F131" s="3"/>
      <c r="G131" s="13"/>
      <c r="H131" s="3">
        <f t="shared" si="4"/>
        <v>1570000</v>
      </c>
    </row>
    <row r="132" s="1" customFormat="1" customHeight="1" spans="1:8">
      <c r="A132" s="11">
        <v>104</v>
      </c>
      <c r="B132" s="11">
        <v>105</v>
      </c>
      <c r="C132" s="3" t="s">
        <v>118</v>
      </c>
      <c r="D132" s="3">
        <v>100000</v>
      </c>
      <c r="E132" s="12">
        <v>2265000</v>
      </c>
      <c r="F132" s="3"/>
      <c r="G132" s="13">
        <v>168000</v>
      </c>
      <c r="H132" s="3">
        <f t="shared" si="4"/>
        <v>2533000</v>
      </c>
    </row>
    <row r="133" s="1" customFormat="1" customHeight="1" spans="1:8">
      <c r="A133" s="11">
        <v>105</v>
      </c>
      <c r="B133" s="11">
        <v>106</v>
      </c>
      <c r="C133" s="3" t="s">
        <v>119</v>
      </c>
      <c r="D133" s="3">
        <v>100000</v>
      </c>
      <c r="E133" s="12">
        <v>1035000</v>
      </c>
      <c r="F133" s="3">
        <v>13000000</v>
      </c>
      <c r="G133" s="13"/>
      <c r="H133" s="3">
        <f t="shared" si="4"/>
        <v>14135000</v>
      </c>
    </row>
    <row r="134" s="1" customFormat="1" customHeight="1" spans="1:8">
      <c r="A134" s="11">
        <v>106</v>
      </c>
      <c r="B134" s="11">
        <v>107</v>
      </c>
      <c r="C134" s="3" t="s">
        <v>120</v>
      </c>
      <c r="D134" s="3">
        <v>100000</v>
      </c>
      <c r="E134" s="12">
        <v>1320000</v>
      </c>
      <c r="F134" s="3">
        <v>14000</v>
      </c>
      <c r="G134" s="13">
        <v>120000</v>
      </c>
      <c r="H134" s="3">
        <f t="shared" si="4"/>
        <v>1554000</v>
      </c>
    </row>
    <row r="135" s="1" customFormat="1" customHeight="1" spans="1:8">
      <c r="A135" s="11">
        <v>107</v>
      </c>
      <c r="B135" s="11">
        <v>108</v>
      </c>
      <c r="C135" s="3" t="s">
        <v>121</v>
      </c>
      <c r="D135" s="3">
        <v>100000</v>
      </c>
      <c r="E135" s="12">
        <v>1320000</v>
      </c>
      <c r="F135" s="3">
        <v>14000</v>
      </c>
      <c r="G135" s="13"/>
      <c r="H135" s="3">
        <f t="shared" si="4"/>
        <v>1434000</v>
      </c>
    </row>
    <row r="136" s="1" customFormat="1" customHeight="1" spans="1:8">
      <c r="A136" s="11">
        <v>108</v>
      </c>
      <c r="B136" s="11">
        <v>109</v>
      </c>
      <c r="C136" s="3" t="s">
        <v>122</v>
      </c>
      <c r="D136" s="3">
        <v>100000</v>
      </c>
      <c r="E136" s="12">
        <v>2665000</v>
      </c>
      <c r="F136" s="3"/>
      <c r="G136" s="13">
        <v>32000</v>
      </c>
      <c r="H136" s="3">
        <f t="shared" si="4"/>
        <v>2797000</v>
      </c>
    </row>
    <row r="137" s="1" customFormat="1" customHeight="1" spans="1:8">
      <c r="A137" s="11">
        <v>109</v>
      </c>
      <c r="B137" s="11">
        <v>110</v>
      </c>
      <c r="C137" s="3" t="s">
        <v>123</v>
      </c>
      <c r="D137" s="3">
        <v>100000</v>
      </c>
      <c r="E137" s="12">
        <v>765000</v>
      </c>
      <c r="F137" s="3"/>
      <c r="G137" s="13">
        <v>20000</v>
      </c>
      <c r="H137" s="3">
        <f t="shared" si="4"/>
        <v>885000</v>
      </c>
    </row>
    <row r="138" s="1" customFormat="1" customHeight="1" spans="1:8">
      <c r="A138" s="11">
        <v>110</v>
      </c>
      <c r="B138" s="11">
        <v>111</v>
      </c>
      <c r="C138" s="3" t="s">
        <v>124</v>
      </c>
      <c r="D138" s="3">
        <v>100000</v>
      </c>
      <c r="E138" s="12">
        <v>770000</v>
      </c>
      <c r="F138" s="3"/>
      <c r="G138" s="13"/>
      <c r="H138" s="3">
        <f t="shared" si="4"/>
        <v>870000</v>
      </c>
    </row>
    <row r="139" s="1" customFormat="1" customHeight="1" spans="1:8">
      <c r="A139" s="11">
        <v>111</v>
      </c>
      <c r="B139" s="11">
        <v>112</v>
      </c>
      <c r="C139" s="3" t="s">
        <v>125</v>
      </c>
      <c r="D139" s="3">
        <v>100000</v>
      </c>
      <c r="E139" s="12">
        <v>855000</v>
      </c>
      <c r="F139" s="3"/>
      <c r="G139" s="13"/>
      <c r="H139" s="3">
        <f t="shared" si="4"/>
        <v>955000</v>
      </c>
    </row>
    <row r="140" s="1" customFormat="1" customHeight="1" spans="1:8">
      <c r="A140" s="11">
        <v>112</v>
      </c>
      <c r="B140" s="11">
        <v>113</v>
      </c>
      <c r="C140" s="3" t="s">
        <v>126</v>
      </c>
      <c r="D140" s="3">
        <v>100000</v>
      </c>
      <c r="E140" s="12">
        <v>1425000</v>
      </c>
      <c r="F140" s="3"/>
      <c r="G140" s="13">
        <v>120000</v>
      </c>
      <c r="H140" s="3">
        <f t="shared" si="4"/>
        <v>1645000</v>
      </c>
    </row>
    <row r="141" s="1" customFormat="1" customHeight="1" spans="1:8">
      <c r="A141" s="11">
        <v>113</v>
      </c>
      <c r="B141" s="11">
        <v>114</v>
      </c>
      <c r="C141" s="3" t="s">
        <v>127</v>
      </c>
      <c r="D141" s="3">
        <v>100000</v>
      </c>
      <c r="E141" s="12">
        <v>525000</v>
      </c>
      <c r="F141" s="3"/>
      <c r="G141" s="13"/>
      <c r="H141" s="3">
        <f t="shared" si="4"/>
        <v>625000</v>
      </c>
    </row>
    <row r="142" s="1" customFormat="1" customHeight="1" spans="1:8">
      <c r="A142" s="11">
        <v>114</v>
      </c>
      <c r="B142" s="11">
        <v>115</v>
      </c>
      <c r="C142" s="3" t="s">
        <v>128</v>
      </c>
      <c r="D142" s="3">
        <v>100000</v>
      </c>
      <c r="E142" s="12">
        <v>650000</v>
      </c>
      <c r="F142" s="3"/>
      <c r="G142" s="13"/>
      <c r="H142" s="3">
        <f t="shared" si="4"/>
        <v>750000</v>
      </c>
    </row>
    <row r="143" s="1" customFormat="1" customHeight="1" spans="1:8">
      <c r="A143" s="11">
        <v>115</v>
      </c>
      <c r="B143" s="11">
        <v>116</v>
      </c>
      <c r="C143" s="3" t="s">
        <v>129</v>
      </c>
      <c r="D143" s="3">
        <v>100000</v>
      </c>
      <c r="E143" s="12">
        <v>1970000</v>
      </c>
      <c r="F143" s="3"/>
      <c r="G143" s="13"/>
      <c r="H143" s="3">
        <f t="shared" si="4"/>
        <v>2070000</v>
      </c>
    </row>
    <row r="144" s="1" customFormat="1" customHeight="1" spans="1:8">
      <c r="A144" s="11">
        <v>116</v>
      </c>
      <c r="B144" s="11">
        <v>117</v>
      </c>
      <c r="C144" s="3" t="s">
        <v>130</v>
      </c>
      <c r="D144" s="3">
        <v>100000</v>
      </c>
      <c r="E144" s="12">
        <v>1135000</v>
      </c>
      <c r="F144" s="3"/>
      <c r="G144" s="13"/>
      <c r="H144" s="3">
        <f t="shared" si="4"/>
        <v>1235000</v>
      </c>
    </row>
    <row r="145" s="1" customFormat="1" customHeight="1" spans="1:8">
      <c r="A145" s="11">
        <v>117</v>
      </c>
      <c r="B145" s="11">
        <v>118</v>
      </c>
      <c r="C145" s="3" t="s">
        <v>131</v>
      </c>
      <c r="D145" s="3">
        <v>100000</v>
      </c>
      <c r="E145" s="12">
        <v>1690000</v>
      </c>
      <c r="F145" s="3"/>
      <c r="G145" s="13"/>
      <c r="H145" s="3">
        <f t="shared" si="4"/>
        <v>1790000</v>
      </c>
    </row>
    <row r="146" s="1" customFormat="1" customHeight="1" spans="1:8">
      <c r="A146" s="11">
        <v>118</v>
      </c>
      <c r="B146" s="11">
        <v>119</v>
      </c>
      <c r="C146" s="3" t="s">
        <v>132</v>
      </c>
      <c r="D146" s="3">
        <v>100000</v>
      </c>
      <c r="E146" s="12">
        <v>1195000</v>
      </c>
      <c r="F146" s="3">
        <v>70000</v>
      </c>
      <c r="G146" s="13">
        <v>120000</v>
      </c>
      <c r="H146" s="3">
        <f t="shared" si="4"/>
        <v>1485000</v>
      </c>
    </row>
    <row r="147" s="1" customFormat="1" customHeight="1" spans="1:8">
      <c r="A147" s="11">
        <v>119</v>
      </c>
      <c r="B147" s="11">
        <v>120</v>
      </c>
      <c r="C147" s="3" t="s">
        <v>133</v>
      </c>
      <c r="D147" s="3">
        <v>100000</v>
      </c>
      <c r="E147" s="12">
        <v>1230000</v>
      </c>
      <c r="F147" s="3"/>
      <c r="G147" s="13">
        <v>70000</v>
      </c>
      <c r="H147" s="3">
        <f t="shared" si="4"/>
        <v>1400000</v>
      </c>
    </row>
    <row r="148" s="1" customFormat="1" customHeight="1" spans="1:8">
      <c r="A148" s="11">
        <v>120</v>
      </c>
      <c r="B148" s="11">
        <v>121</v>
      </c>
      <c r="C148" s="3" t="s">
        <v>134</v>
      </c>
      <c r="D148" s="3">
        <v>100000</v>
      </c>
      <c r="E148" s="12">
        <v>1640000</v>
      </c>
      <c r="F148" s="3">
        <v>100000</v>
      </c>
      <c r="G148" s="13">
        <v>210000</v>
      </c>
      <c r="H148" s="3">
        <f t="shared" si="4"/>
        <v>2050000</v>
      </c>
    </row>
    <row r="149" s="1" customFormat="1" customHeight="1" spans="1:8">
      <c r="A149" s="11">
        <v>121</v>
      </c>
      <c r="B149" s="11">
        <v>122</v>
      </c>
      <c r="C149" s="3" t="s">
        <v>135</v>
      </c>
      <c r="D149" s="3">
        <v>100000</v>
      </c>
      <c r="E149" s="12">
        <v>1970000</v>
      </c>
      <c r="F149" s="3"/>
      <c r="G149" s="13">
        <v>128000</v>
      </c>
      <c r="H149" s="3">
        <f t="shared" si="4"/>
        <v>2198000</v>
      </c>
    </row>
    <row r="150" s="1" customFormat="1" customHeight="1" spans="1:8">
      <c r="A150" s="11">
        <v>122</v>
      </c>
      <c r="B150" s="11">
        <v>123</v>
      </c>
      <c r="C150" s="3" t="s">
        <v>136</v>
      </c>
      <c r="D150" s="3">
        <v>100000</v>
      </c>
      <c r="E150" s="12">
        <v>4670000</v>
      </c>
      <c r="F150" s="3"/>
      <c r="G150" s="13"/>
      <c r="H150" s="3">
        <f t="shared" si="4"/>
        <v>4770000</v>
      </c>
    </row>
    <row r="151" s="1" customFormat="1" customHeight="1" spans="1:8">
      <c r="A151" s="11">
        <v>123</v>
      </c>
      <c r="B151" s="11">
        <v>124</v>
      </c>
      <c r="C151" s="3" t="s">
        <v>137</v>
      </c>
      <c r="D151" s="3">
        <v>100000</v>
      </c>
      <c r="E151" s="12">
        <v>1140000</v>
      </c>
      <c r="F151" s="3"/>
      <c r="G151" s="13">
        <v>20000</v>
      </c>
      <c r="H151" s="3">
        <f t="shared" si="4"/>
        <v>1260000</v>
      </c>
    </row>
    <row r="152" s="1" customFormat="1" customHeight="1" spans="1:8">
      <c r="A152" s="11">
        <v>124</v>
      </c>
      <c r="B152" s="11">
        <v>125</v>
      </c>
      <c r="C152" s="3" t="s">
        <v>138</v>
      </c>
      <c r="D152" s="3">
        <v>100000</v>
      </c>
      <c r="E152" s="12">
        <v>1025000</v>
      </c>
      <c r="F152" s="3">
        <v>10000000</v>
      </c>
      <c r="G152" s="13">
        <v>54000</v>
      </c>
      <c r="H152" s="3">
        <f t="shared" si="4"/>
        <v>11179000</v>
      </c>
    </row>
    <row r="153" s="1" customFormat="1" customHeight="1" spans="1:8">
      <c r="A153" s="11">
        <v>125</v>
      </c>
      <c r="B153" s="11">
        <v>126</v>
      </c>
      <c r="C153" s="3" t="s">
        <v>139</v>
      </c>
      <c r="D153" s="3">
        <v>100000</v>
      </c>
      <c r="E153" s="12">
        <v>845000</v>
      </c>
      <c r="F153" s="3">
        <v>54000</v>
      </c>
      <c r="G153" s="13"/>
      <c r="H153" s="3">
        <f t="shared" si="4"/>
        <v>999000</v>
      </c>
    </row>
    <row r="154" s="1" customFormat="1" customHeight="1" spans="1:8">
      <c r="A154" s="11">
        <v>126</v>
      </c>
      <c r="B154" s="11">
        <v>127</v>
      </c>
      <c r="C154" s="3" t="s">
        <v>140</v>
      </c>
      <c r="D154" s="3">
        <v>100000</v>
      </c>
      <c r="E154" s="12">
        <v>1260000</v>
      </c>
      <c r="F154" s="3"/>
      <c r="G154" s="13"/>
      <c r="H154" s="3">
        <f t="shared" si="4"/>
        <v>1360000</v>
      </c>
    </row>
    <row r="155" s="1" customFormat="1" customHeight="1" spans="1:8">
      <c r="A155" s="11">
        <v>127</v>
      </c>
      <c r="B155" s="11">
        <v>128</v>
      </c>
      <c r="C155" s="3" t="s">
        <v>141</v>
      </c>
      <c r="D155" s="3">
        <v>100000</v>
      </c>
      <c r="E155" s="12">
        <v>1260000</v>
      </c>
      <c r="F155" s="3"/>
      <c r="G155" s="13"/>
      <c r="H155" s="3">
        <f t="shared" si="4"/>
        <v>1360000</v>
      </c>
    </row>
    <row r="156" s="1" customFormat="1" customHeight="1" spans="1:8">
      <c r="A156" s="11">
        <v>128</v>
      </c>
      <c r="B156" s="11">
        <v>129</v>
      </c>
      <c r="C156" s="3" t="s">
        <v>142</v>
      </c>
      <c r="D156" s="3">
        <v>100000</v>
      </c>
      <c r="E156" s="12">
        <v>926000</v>
      </c>
      <c r="F156" s="3">
        <v>11000</v>
      </c>
      <c r="G156" s="13"/>
      <c r="H156" s="3">
        <f t="shared" si="4"/>
        <v>1037000</v>
      </c>
    </row>
    <row r="157" s="1" customFormat="1" customHeight="1" spans="1:8">
      <c r="A157" s="11">
        <v>129</v>
      </c>
      <c r="B157" s="11">
        <v>130</v>
      </c>
      <c r="C157" s="3" t="s">
        <v>143</v>
      </c>
      <c r="D157" s="3">
        <v>100000</v>
      </c>
      <c r="E157" s="12">
        <v>1895000</v>
      </c>
      <c r="F157" s="3"/>
      <c r="G157" s="13">
        <v>50000</v>
      </c>
      <c r="H157" s="3">
        <f t="shared" si="4"/>
        <v>2045000</v>
      </c>
    </row>
    <row r="158" s="1" customFormat="1" customHeight="1" spans="1:8">
      <c r="A158" s="11">
        <v>130</v>
      </c>
      <c r="B158" s="11">
        <v>131</v>
      </c>
      <c r="C158" s="3" t="s">
        <v>144</v>
      </c>
      <c r="D158" s="3">
        <v>100000</v>
      </c>
      <c r="E158" s="12">
        <v>1900000</v>
      </c>
      <c r="F158" s="3"/>
      <c r="G158" s="13">
        <v>15000</v>
      </c>
      <c r="H158" s="3">
        <f t="shared" si="4"/>
        <v>2015000</v>
      </c>
    </row>
    <row r="159" s="1" customFormat="1" customHeight="1" spans="1:8">
      <c r="A159" s="14">
        <v>131</v>
      </c>
      <c r="B159" s="14">
        <v>132</v>
      </c>
      <c r="C159" s="15" t="s">
        <v>145</v>
      </c>
      <c r="D159" s="15">
        <v>0</v>
      </c>
      <c r="E159" s="16"/>
      <c r="F159" s="15"/>
      <c r="G159" s="17"/>
      <c r="H159" s="15">
        <f t="shared" si="4"/>
        <v>0</v>
      </c>
    </row>
    <row r="160" s="1" customFormat="1" customHeight="1" spans="1:8">
      <c r="A160" s="11">
        <v>132</v>
      </c>
      <c r="B160" s="11">
        <v>133</v>
      </c>
      <c r="C160" s="3" t="s">
        <v>146</v>
      </c>
      <c r="D160" s="3">
        <v>100000</v>
      </c>
      <c r="E160" s="12">
        <v>1165000</v>
      </c>
      <c r="F160" s="3">
        <v>6000</v>
      </c>
      <c r="G160" s="13">
        <v>30000</v>
      </c>
      <c r="H160" s="3">
        <f t="shared" si="4"/>
        <v>1301000</v>
      </c>
    </row>
    <row r="161" s="1" customFormat="1" customHeight="1" spans="1:8">
      <c r="A161" s="14">
        <v>133</v>
      </c>
      <c r="B161" s="14">
        <v>134</v>
      </c>
      <c r="C161" s="15" t="s">
        <v>147</v>
      </c>
      <c r="D161" s="15">
        <v>0</v>
      </c>
      <c r="E161" s="16"/>
      <c r="F161" s="15"/>
      <c r="G161" s="17">
        <v>70000</v>
      </c>
      <c r="H161" s="15">
        <f t="shared" si="4"/>
        <v>70000</v>
      </c>
    </row>
    <row r="162" s="1" customFormat="1" customHeight="1" spans="1:8">
      <c r="A162" s="14">
        <v>134</v>
      </c>
      <c r="B162" s="14">
        <v>135</v>
      </c>
      <c r="C162" s="15" t="s">
        <v>148</v>
      </c>
      <c r="D162" s="15">
        <v>0</v>
      </c>
      <c r="E162" s="16"/>
      <c r="F162" s="15"/>
      <c r="G162" s="17"/>
      <c r="H162" s="15">
        <f t="shared" si="4"/>
        <v>0</v>
      </c>
    </row>
    <row r="163" s="1" customFormat="1" customHeight="1" spans="1:8">
      <c r="A163" s="11">
        <v>135</v>
      </c>
      <c r="B163" s="11">
        <v>136</v>
      </c>
      <c r="C163" s="3" t="s">
        <v>149</v>
      </c>
      <c r="D163" s="3">
        <v>100000</v>
      </c>
      <c r="E163" s="12">
        <v>248000</v>
      </c>
      <c r="F163" s="3"/>
      <c r="G163" s="13"/>
      <c r="H163" s="3">
        <f t="shared" si="4"/>
        <v>348000</v>
      </c>
    </row>
    <row r="164" s="1" customFormat="1" customHeight="1" spans="1:8">
      <c r="A164" s="11">
        <v>136</v>
      </c>
      <c r="B164" s="11">
        <v>137</v>
      </c>
      <c r="C164" s="3" t="s">
        <v>150</v>
      </c>
      <c r="D164" s="3">
        <v>100000</v>
      </c>
      <c r="E164" s="12">
        <v>585000</v>
      </c>
      <c r="F164" s="3"/>
      <c r="G164" s="13"/>
      <c r="H164" s="3">
        <f t="shared" si="4"/>
        <v>685000</v>
      </c>
    </row>
    <row r="165" s="1" customFormat="1" customHeight="1" spans="1:8">
      <c r="A165" s="11">
        <v>137</v>
      </c>
      <c r="B165" s="11">
        <v>138</v>
      </c>
      <c r="C165" s="3" t="s">
        <v>151</v>
      </c>
      <c r="D165" s="3">
        <v>100000</v>
      </c>
      <c r="E165" s="12">
        <v>632000</v>
      </c>
      <c r="F165" s="3"/>
      <c r="G165" s="13"/>
      <c r="H165" s="3">
        <f t="shared" si="4"/>
        <v>732000</v>
      </c>
    </row>
    <row r="166" s="1" customFormat="1" customHeight="1" spans="1:8">
      <c r="A166" s="11">
        <v>138</v>
      </c>
      <c r="B166" s="11">
        <v>139</v>
      </c>
      <c r="C166" s="3" t="s">
        <v>152</v>
      </c>
      <c r="D166" s="3">
        <v>100000</v>
      </c>
      <c r="E166" s="12">
        <v>632000</v>
      </c>
      <c r="F166" s="3"/>
      <c r="G166" s="13"/>
      <c r="H166" s="3">
        <f t="shared" si="4"/>
        <v>732000</v>
      </c>
    </row>
    <row r="167" s="1" customFormat="1" customHeight="1" spans="1:8">
      <c r="A167" s="11">
        <v>139</v>
      </c>
      <c r="B167" s="11">
        <v>140</v>
      </c>
      <c r="C167" s="3" t="s">
        <v>153</v>
      </c>
      <c r="D167" s="3">
        <v>100000</v>
      </c>
      <c r="E167" s="12">
        <v>650000</v>
      </c>
      <c r="F167" s="3">
        <v>21000</v>
      </c>
      <c r="G167" s="13"/>
      <c r="H167" s="3">
        <f t="shared" si="4"/>
        <v>771000</v>
      </c>
    </row>
    <row r="168" s="1" customFormat="1" customHeight="1" spans="1:8">
      <c r="A168" s="11">
        <v>140</v>
      </c>
      <c r="B168" s="11">
        <v>141</v>
      </c>
      <c r="C168" s="3" t="s">
        <v>154</v>
      </c>
      <c r="D168" s="3">
        <v>100000</v>
      </c>
      <c r="E168" s="12">
        <v>1405000</v>
      </c>
      <c r="F168" s="3"/>
      <c r="G168" s="13">
        <v>126000</v>
      </c>
      <c r="H168" s="3">
        <f t="shared" si="4"/>
        <v>1631000</v>
      </c>
    </row>
    <row r="169" s="1" customFormat="1" customHeight="1" spans="1:8">
      <c r="A169" s="11">
        <v>141</v>
      </c>
      <c r="B169" s="11">
        <v>142</v>
      </c>
      <c r="C169" s="3" t="s">
        <v>155</v>
      </c>
      <c r="D169" s="3">
        <v>100000</v>
      </c>
      <c r="E169" s="12">
        <v>1025000</v>
      </c>
      <c r="F169" s="3">
        <v>2400000</v>
      </c>
      <c r="G169" s="13"/>
      <c r="H169" s="3">
        <f t="shared" si="4"/>
        <v>3525000</v>
      </c>
    </row>
    <row r="170" s="1" customFormat="1" customHeight="1" spans="1:8">
      <c r="A170" s="11">
        <v>142</v>
      </c>
      <c r="B170" s="11">
        <v>143</v>
      </c>
      <c r="C170" s="3" t="s">
        <v>156</v>
      </c>
      <c r="D170" s="3">
        <v>100000</v>
      </c>
      <c r="E170" s="12">
        <v>665000</v>
      </c>
      <c r="F170" s="3"/>
      <c r="G170" s="13">
        <v>25000</v>
      </c>
      <c r="H170" s="3">
        <f t="shared" si="4"/>
        <v>790000</v>
      </c>
    </row>
    <row r="171" s="1" customFormat="1" customHeight="1" spans="1:8">
      <c r="A171" s="11">
        <v>143</v>
      </c>
      <c r="B171" s="11">
        <v>144</v>
      </c>
      <c r="C171" s="3" t="s">
        <v>157</v>
      </c>
      <c r="D171" s="3">
        <v>100000</v>
      </c>
      <c r="E171" s="12">
        <v>815000</v>
      </c>
      <c r="F171" s="3"/>
      <c r="G171" s="13">
        <v>40000</v>
      </c>
      <c r="H171" s="3">
        <f t="shared" si="4"/>
        <v>955000</v>
      </c>
    </row>
    <row r="172" s="1" customFormat="1" customHeight="1" spans="1:8">
      <c r="A172" s="11">
        <v>144</v>
      </c>
      <c r="B172" s="11">
        <v>145</v>
      </c>
      <c r="C172" s="3" t="s">
        <v>158</v>
      </c>
      <c r="D172" s="3">
        <v>100000</v>
      </c>
      <c r="E172" s="12">
        <v>191000</v>
      </c>
      <c r="F172" s="3">
        <v>436000</v>
      </c>
      <c r="G172" s="13"/>
      <c r="H172" s="3">
        <f t="shared" si="4"/>
        <v>727000</v>
      </c>
    </row>
    <row r="173" s="1" customFormat="1" customHeight="1" spans="1:8">
      <c r="A173" s="14">
        <v>145</v>
      </c>
      <c r="B173" s="14">
        <v>146</v>
      </c>
      <c r="C173" s="15" t="s">
        <v>159</v>
      </c>
      <c r="D173" s="15"/>
      <c r="E173" s="16"/>
      <c r="F173" s="15"/>
      <c r="G173" s="17"/>
      <c r="H173" s="15">
        <f t="shared" si="4"/>
        <v>0</v>
      </c>
    </row>
    <row r="174" s="1" customFormat="1" customHeight="1" spans="1:8">
      <c r="A174" s="11">
        <v>146</v>
      </c>
      <c r="B174" s="11">
        <v>147</v>
      </c>
      <c r="C174" s="3" t="s">
        <v>160</v>
      </c>
      <c r="D174" s="3">
        <v>100000</v>
      </c>
      <c r="E174" s="12">
        <v>180000</v>
      </c>
      <c r="F174" s="3"/>
      <c r="G174" s="13"/>
      <c r="H174" s="3">
        <f t="shared" si="4"/>
        <v>280000</v>
      </c>
    </row>
    <row r="175" s="1" customFormat="1" customHeight="1" spans="1:8">
      <c r="A175" s="11">
        <v>147</v>
      </c>
      <c r="B175" s="11">
        <v>148</v>
      </c>
      <c r="C175" s="3" t="s">
        <v>161</v>
      </c>
      <c r="D175" s="3">
        <v>100000</v>
      </c>
      <c r="E175" s="12">
        <v>175000</v>
      </c>
      <c r="F175" s="3"/>
      <c r="G175" s="13"/>
      <c r="H175" s="3">
        <f t="shared" si="4"/>
        <v>275000</v>
      </c>
    </row>
    <row r="176" s="1" customFormat="1" customHeight="1" spans="1:8">
      <c r="A176" s="11">
        <v>148</v>
      </c>
      <c r="B176" s="11">
        <v>149</v>
      </c>
      <c r="C176" s="3" t="s">
        <v>162</v>
      </c>
      <c r="D176" s="3">
        <v>100000</v>
      </c>
      <c r="E176" s="12">
        <v>1260000</v>
      </c>
      <c r="F176" s="3">
        <v>259000</v>
      </c>
      <c r="G176" s="13"/>
      <c r="H176" s="3">
        <f t="shared" si="4"/>
        <v>1619000</v>
      </c>
    </row>
    <row r="177" s="1" customFormat="1" customHeight="1" spans="1:11">
      <c r="A177" s="11">
        <v>149</v>
      </c>
      <c r="B177" s="11">
        <v>150</v>
      </c>
      <c r="C177" s="3" t="s">
        <v>163</v>
      </c>
      <c r="D177" s="3">
        <v>100000</v>
      </c>
      <c r="E177" s="12">
        <v>2680000</v>
      </c>
      <c r="F177" s="3">
        <v>6666000</v>
      </c>
      <c r="G177" s="13"/>
      <c r="H177" s="3">
        <f t="shared" si="4"/>
        <v>9446000</v>
      </c>
    </row>
    <row r="178" s="1" customFormat="1" customHeight="1" spans="1:11">
      <c r="A178" s="11">
        <v>150</v>
      </c>
      <c r="B178" s="11">
        <v>151</v>
      </c>
      <c r="C178" s="3" t="s">
        <v>164</v>
      </c>
      <c r="D178" s="3">
        <v>100000</v>
      </c>
      <c r="E178" s="12">
        <v>575000</v>
      </c>
      <c r="F178" s="3">
        <v>80000</v>
      </c>
      <c r="G178" s="13">
        <v>69000</v>
      </c>
      <c r="H178" s="3">
        <f t="shared" si="4"/>
        <v>824000</v>
      </c>
    </row>
    <row r="179" s="1" customFormat="1" customHeight="1" spans="1:11">
      <c r="A179" s="11">
        <v>151</v>
      </c>
      <c r="B179" s="11">
        <v>152</v>
      </c>
      <c r="C179" s="3" t="s">
        <v>165</v>
      </c>
      <c r="D179" s="3">
        <v>100000</v>
      </c>
      <c r="E179" s="12">
        <v>725000</v>
      </c>
      <c r="F179" s="3"/>
      <c r="G179" s="13"/>
      <c r="H179" s="3">
        <f t="shared" si="4"/>
        <v>825000</v>
      </c>
    </row>
    <row r="180" s="1" customFormat="1" customHeight="1" spans="1:11">
      <c r="A180" s="11">
        <v>152</v>
      </c>
      <c r="B180" s="11">
        <v>153</v>
      </c>
      <c r="C180" s="3" t="s">
        <v>166</v>
      </c>
      <c r="D180" s="3">
        <v>100000</v>
      </c>
      <c r="E180" s="12">
        <v>2395000</v>
      </c>
      <c r="F180" s="3"/>
      <c r="G180" s="13"/>
      <c r="H180" s="3">
        <f t="shared" si="4"/>
        <v>2495000</v>
      </c>
    </row>
    <row r="181" s="1" customFormat="1" customHeight="1" spans="1:11">
      <c r="A181" s="11"/>
      <c r="B181" s="18"/>
      <c r="C181" s="19" t="s">
        <v>167</v>
      </c>
      <c r="D181" s="3">
        <f t="shared" ref="D181:H181" si="5">SUM(D129:D180)</f>
        <v>4700000</v>
      </c>
      <c r="E181" s="3">
        <f t="shared" si="5"/>
        <v>58104000</v>
      </c>
      <c r="F181" s="3">
        <f t="shared" si="5"/>
        <v>33421000</v>
      </c>
      <c r="G181" s="3">
        <f t="shared" si="5"/>
        <v>1487000</v>
      </c>
      <c r="H181" s="3">
        <f t="shared" si="5"/>
        <v>97712000</v>
      </c>
      <c r="I181" s="3"/>
      <c r="J181" s="3"/>
      <c r="K181" s="3">
        <f>SUM(K129:K180)</f>
        <v>0</v>
      </c>
    </row>
    <row r="182" s="1" customFormat="1" customHeight="1" spans="1:11">
      <c r="A182" s="22"/>
      <c r="B182" s="22"/>
      <c r="C182" s="23"/>
      <c r="D182" s="23"/>
      <c r="E182" s="23"/>
      <c r="F182" s="1"/>
      <c r="G182" s="23"/>
      <c r="H182" s="23"/>
    </row>
    <row r="183" s="1" customFormat="1" customHeight="1" spans="1:11">
      <c r="A183" s="2"/>
      <c r="B183" s="2"/>
      <c r="E183" s="1">
        <v>16</v>
      </c>
      <c r="F183" s="1"/>
      <c r="G183" s="4"/>
    </row>
    <row r="184" s="1" customFormat="1" customHeight="1" spans="1:11">
      <c r="A184" s="2"/>
      <c r="B184" s="2"/>
      <c r="G184" s="4"/>
    </row>
    <row r="185" s="1" customFormat="1" customHeight="1" spans="1:11">
      <c r="A185" s="2"/>
      <c r="B185" s="2"/>
      <c r="G185" s="4"/>
    </row>
    <row r="186" s="1" customFormat="1" customHeight="1" spans="1:11">
      <c r="A186" s="2"/>
      <c r="B186" s="2"/>
      <c r="G186" s="4"/>
    </row>
    <row r="187" s="1" customFormat="1" customHeight="1" spans="1:11">
      <c r="A187" s="2"/>
      <c r="B187" s="2"/>
      <c r="G187" s="4"/>
    </row>
    <row r="188" s="1" customFormat="1" customHeight="1" spans="1:11">
      <c r="A188" s="2"/>
      <c r="B188" s="2"/>
      <c r="G188" s="4"/>
    </row>
    <row r="189" s="1" customFormat="1" customHeight="1" spans="1:11">
      <c r="A189" s="2"/>
      <c r="B189" s="2"/>
      <c r="G189" s="4"/>
    </row>
    <row r="190" s="1" customFormat="1" customHeight="1" spans="1:11">
      <c r="A190" s="2"/>
      <c r="B190" s="2"/>
      <c r="G190" s="4"/>
    </row>
    <row r="191" s="1" customFormat="1" customHeight="1" spans="1:11">
      <c r="A191" s="9" t="s">
        <v>5</v>
      </c>
      <c r="B191" s="9"/>
      <c r="C191" s="9" t="s">
        <v>7</v>
      </c>
      <c r="D191" s="9" t="s">
        <v>8</v>
      </c>
      <c r="E191" s="45" t="s">
        <v>9</v>
      </c>
      <c r="F191" s="11" t="s">
        <v>10</v>
      </c>
      <c r="G191" s="11" t="s">
        <v>11</v>
      </c>
      <c r="H191" s="9" t="s">
        <v>12</v>
      </c>
      <c r="I191" s="10"/>
      <c r="J191" s="10"/>
      <c r="K191" s="10"/>
    </row>
    <row r="192" s="1" customFormat="1" customHeight="1" spans="1:11">
      <c r="A192" s="9">
        <v>153</v>
      </c>
      <c r="B192" s="9">
        <v>154</v>
      </c>
      <c r="C192" s="26" t="s">
        <v>168</v>
      </c>
      <c r="D192" s="27">
        <v>100000</v>
      </c>
      <c r="E192" s="12">
        <v>145000</v>
      </c>
      <c r="F192" s="3"/>
      <c r="G192" s="13">
        <v>100000</v>
      </c>
      <c r="H192" s="3">
        <f t="shared" ref="H192:H244" si="6">SUM(D192:G192)</f>
        <v>345000</v>
      </c>
      <c r="K192" s="10"/>
    </row>
    <row r="193" s="1" customFormat="1" customHeight="1" spans="1:11">
      <c r="A193" s="9">
        <v>154</v>
      </c>
      <c r="B193" s="9">
        <v>155</v>
      </c>
      <c r="C193" s="26" t="s">
        <v>169</v>
      </c>
      <c r="D193" s="3">
        <v>100000</v>
      </c>
      <c r="E193" s="12">
        <v>1960000</v>
      </c>
      <c r="F193" s="3"/>
      <c r="G193" s="13"/>
      <c r="H193" s="3">
        <f t="shared" si="6"/>
        <v>2060000</v>
      </c>
      <c r="K193" s="10"/>
    </row>
    <row r="194" s="1" customFormat="1" customHeight="1" spans="1:11">
      <c r="A194" s="9">
        <v>155</v>
      </c>
      <c r="B194" s="9">
        <v>156</v>
      </c>
      <c r="C194" s="26" t="s">
        <v>170</v>
      </c>
      <c r="D194" s="3">
        <v>100000</v>
      </c>
      <c r="E194" s="12">
        <v>875000</v>
      </c>
      <c r="F194" s="3"/>
      <c r="G194" s="13">
        <v>12000</v>
      </c>
      <c r="H194" s="3">
        <f t="shared" si="6"/>
        <v>987000</v>
      </c>
      <c r="K194" s="10"/>
    </row>
    <row r="195" s="1" customFormat="1" customHeight="1" spans="1:11">
      <c r="A195" s="9">
        <v>156</v>
      </c>
      <c r="B195" s="9">
        <v>157</v>
      </c>
      <c r="C195" s="26" t="s">
        <v>171</v>
      </c>
      <c r="D195" s="3">
        <v>100000</v>
      </c>
      <c r="E195" s="12">
        <v>485000</v>
      </c>
      <c r="F195" s="3"/>
      <c r="G195" s="13"/>
      <c r="H195" s="3">
        <f t="shared" si="6"/>
        <v>585000</v>
      </c>
      <c r="K195" s="10"/>
    </row>
    <row r="196" s="1" customFormat="1" customHeight="1" spans="1:11">
      <c r="A196" s="9">
        <v>157</v>
      </c>
      <c r="B196" s="9">
        <v>158</v>
      </c>
      <c r="C196" s="26" t="s">
        <v>172</v>
      </c>
      <c r="D196" s="3">
        <v>100000</v>
      </c>
      <c r="E196" s="12">
        <v>340000</v>
      </c>
      <c r="F196" s="3">
        <v>316000</v>
      </c>
      <c r="G196" s="13"/>
      <c r="H196" s="3">
        <f t="shared" si="6"/>
        <v>756000</v>
      </c>
      <c r="K196" s="10"/>
    </row>
    <row r="197" s="1" customFormat="1" customHeight="1" spans="1:11">
      <c r="A197" s="9">
        <v>158</v>
      </c>
      <c r="B197" s="9">
        <v>159</v>
      </c>
      <c r="C197" s="26" t="s">
        <v>173</v>
      </c>
      <c r="D197" s="3">
        <v>100000</v>
      </c>
      <c r="E197" s="12">
        <v>340000</v>
      </c>
      <c r="F197" s="3">
        <v>3000</v>
      </c>
      <c r="G197" s="13">
        <v>405000</v>
      </c>
      <c r="H197" s="3">
        <f t="shared" si="6"/>
        <v>848000</v>
      </c>
      <c r="K197" s="10"/>
    </row>
    <row r="198" s="1" customFormat="1" customHeight="1" spans="1:11">
      <c r="A198" s="9">
        <v>159</v>
      </c>
      <c r="B198" s="9">
        <v>160</v>
      </c>
      <c r="C198" s="26" t="s">
        <v>174</v>
      </c>
      <c r="D198" s="3">
        <v>100000</v>
      </c>
      <c r="E198" s="12">
        <v>410000</v>
      </c>
      <c r="F198" s="3"/>
      <c r="G198" s="13">
        <v>144000</v>
      </c>
      <c r="H198" s="3">
        <f t="shared" si="6"/>
        <v>654000</v>
      </c>
      <c r="K198" s="10"/>
    </row>
    <row r="199" s="1" customFormat="1" customHeight="1" spans="1:11">
      <c r="A199" s="9">
        <v>160</v>
      </c>
      <c r="B199" s="9">
        <v>161</v>
      </c>
      <c r="C199" s="26" t="s">
        <v>175</v>
      </c>
      <c r="D199" s="3">
        <v>100000</v>
      </c>
      <c r="E199" s="12">
        <v>470000</v>
      </c>
      <c r="F199" s="3">
        <v>94000</v>
      </c>
      <c r="G199" s="13">
        <v>60000</v>
      </c>
      <c r="H199" s="3">
        <f t="shared" si="6"/>
        <v>724000</v>
      </c>
      <c r="K199" s="10"/>
    </row>
    <row r="200" s="1" customFormat="1" customHeight="1" spans="1:11">
      <c r="A200" s="9">
        <v>161</v>
      </c>
      <c r="B200" s="9">
        <v>162</v>
      </c>
      <c r="C200" s="26" t="s">
        <v>176</v>
      </c>
      <c r="D200" s="3">
        <v>100000</v>
      </c>
      <c r="E200" s="12">
        <v>325000</v>
      </c>
      <c r="F200" s="3"/>
      <c r="G200" s="13">
        <v>24000</v>
      </c>
      <c r="H200" s="3">
        <f t="shared" si="6"/>
        <v>449000</v>
      </c>
      <c r="K200" s="10"/>
    </row>
    <row r="201" s="1" customFormat="1" customHeight="1" spans="1:11">
      <c r="A201" s="9">
        <v>162</v>
      </c>
      <c r="B201" s="9">
        <v>163</v>
      </c>
      <c r="C201" s="26" t="s">
        <v>177</v>
      </c>
      <c r="D201" s="3">
        <v>100000</v>
      </c>
      <c r="E201" s="12">
        <v>290000</v>
      </c>
      <c r="F201" s="3"/>
      <c r="G201" s="13">
        <v>80000</v>
      </c>
      <c r="H201" s="3">
        <f t="shared" si="6"/>
        <v>470000</v>
      </c>
      <c r="K201" s="10"/>
    </row>
    <row r="202" s="1" customFormat="1" customHeight="1" spans="1:11">
      <c r="A202" s="9">
        <v>163</v>
      </c>
      <c r="B202" s="9">
        <v>164</v>
      </c>
      <c r="C202" s="12" t="s">
        <v>178</v>
      </c>
      <c r="D202" s="3">
        <v>100000</v>
      </c>
      <c r="E202" s="12">
        <v>205000</v>
      </c>
      <c r="F202" s="3"/>
      <c r="G202" s="13">
        <v>30000</v>
      </c>
      <c r="H202" s="3">
        <f t="shared" si="6"/>
        <v>335000</v>
      </c>
      <c r="K202" s="10"/>
    </row>
    <row r="203" s="1" customFormat="1" customHeight="1" spans="1:11">
      <c r="A203" s="9">
        <v>164</v>
      </c>
      <c r="B203" s="9">
        <v>165</v>
      </c>
      <c r="C203" s="12" t="s">
        <v>179</v>
      </c>
      <c r="D203" s="3">
        <v>100000</v>
      </c>
      <c r="E203" s="12">
        <v>140000</v>
      </c>
      <c r="F203" s="3"/>
      <c r="G203" s="13">
        <v>80000</v>
      </c>
      <c r="H203" s="3">
        <f t="shared" si="6"/>
        <v>320000</v>
      </c>
      <c r="K203" s="10"/>
    </row>
    <row r="204" s="1" customFormat="1" customHeight="1" spans="1:11">
      <c r="A204" s="9">
        <v>165</v>
      </c>
      <c r="B204" s="9">
        <v>166</v>
      </c>
      <c r="C204" s="12" t="s">
        <v>180</v>
      </c>
      <c r="D204" s="3">
        <v>100000</v>
      </c>
      <c r="E204" s="12">
        <v>60000</v>
      </c>
      <c r="F204" s="3"/>
      <c r="G204" s="13">
        <v>20000</v>
      </c>
      <c r="H204" s="3">
        <f t="shared" si="6"/>
        <v>180000</v>
      </c>
      <c r="K204" s="10"/>
    </row>
    <row r="205" s="1" customFormat="1" customHeight="1" spans="1:11">
      <c r="A205" s="9">
        <v>166</v>
      </c>
      <c r="B205" s="9">
        <v>167</v>
      </c>
      <c r="C205" s="12" t="s">
        <v>181</v>
      </c>
      <c r="D205" s="3">
        <v>100000</v>
      </c>
      <c r="E205" s="12">
        <v>215000</v>
      </c>
      <c r="F205" s="3">
        <v>4956000</v>
      </c>
      <c r="G205" s="13">
        <v>1500</v>
      </c>
      <c r="H205" s="3">
        <f t="shared" si="6"/>
        <v>5272500</v>
      </c>
      <c r="K205" s="10"/>
    </row>
    <row r="206" s="1" customFormat="1" customHeight="1" spans="1:11">
      <c r="A206" s="9">
        <v>167</v>
      </c>
      <c r="B206" s="9">
        <v>168</v>
      </c>
      <c r="C206" s="12" t="s">
        <v>182</v>
      </c>
      <c r="D206" s="3">
        <v>100000</v>
      </c>
      <c r="E206" s="12">
        <v>340000</v>
      </c>
      <c r="F206" s="3"/>
      <c r="G206" s="13"/>
      <c r="H206" s="3">
        <f t="shared" si="6"/>
        <v>440000</v>
      </c>
      <c r="K206" s="10"/>
    </row>
    <row r="207" s="1" customFormat="1" customHeight="1" spans="1:11">
      <c r="A207" s="9">
        <v>168</v>
      </c>
      <c r="B207" s="9">
        <v>169</v>
      </c>
      <c r="C207" s="12" t="s">
        <v>183</v>
      </c>
      <c r="D207" s="3">
        <v>100000</v>
      </c>
      <c r="E207" s="12">
        <v>275000</v>
      </c>
      <c r="F207" s="3">
        <v>4050000</v>
      </c>
      <c r="G207" s="13"/>
      <c r="H207" s="3">
        <f t="shared" si="6"/>
        <v>4425000</v>
      </c>
      <c r="K207" s="10"/>
    </row>
    <row r="208" s="1" customFormat="1" customHeight="1" spans="1:11">
      <c r="A208" s="9">
        <v>169</v>
      </c>
      <c r="B208" s="9">
        <v>170</v>
      </c>
      <c r="C208" s="12" t="s">
        <v>184</v>
      </c>
      <c r="D208" s="3">
        <v>100000</v>
      </c>
      <c r="E208" s="12">
        <v>20000</v>
      </c>
      <c r="F208" s="3"/>
      <c r="G208" s="13">
        <v>225000</v>
      </c>
      <c r="H208" s="3">
        <f t="shared" si="6"/>
        <v>345000</v>
      </c>
      <c r="K208" s="10"/>
    </row>
    <row r="209" s="1" customFormat="1" customHeight="1" spans="1:11">
      <c r="A209" s="9">
        <v>170</v>
      </c>
      <c r="B209" s="9">
        <v>171</v>
      </c>
      <c r="C209" s="12" t="s">
        <v>185</v>
      </c>
      <c r="D209" s="3">
        <v>100000</v>
      </c>
      <c r="E209" s="12"/>
      <c r="F209" s="3"/>
      <c r="G209" s="13">
        <v>450000</v>
      </c>
      <c r="H209" s="3">
        <f t="shared" si="6"/>
        <v>550000</v>
      </c>
      <c r="K209" s="10"/>
    </row>
    <row r="210" s="1" customFormat="1" customHeight="1" spans="1:11">
      <c r="A210" s="9">
        <v>171</v>
      </c>
      <c r="B210" s="9">
        <v>172</v>
      </c>
      <c r="C210" s="12" t="s">
        <v>186</v>
      </c>
      <c r="D210" s="3">
        <v>100000</v>
      </c>
      <c r="E210" s="12"/>
      <c r="F210" s="3"/>
      <c r="G210" s="13">
        <v>450000</v>
      </c>
      <c r="H210" s="3">
        <f t="shared" si="6"/>
        <v>550000</v>
      </c>
      <c r="K210" s="10"/>
    </row>
    <row r="211" s="1" customFormat="1" customHeight="1" spans="1:11">
      <c r="A211" s="9">
        <v>172</v>
      </c>
      <c r="B211" s="11"/>
      <c r="C211" s="3" t="s">
        <v>187</v>
      </c>
      <c r="D211" s="3"/>
      <c r="E211" s="3"/>
      <c r="F211" s="3"/>
      <c r="G211" s="25"/>
      <c r="H211" s="3">
        <f t="shared" si="6"/>
        <v>0</v>
      </c>
    </row>
    <row r="212" s="1" customFormat="1" customHeight="1" spans="1:11">
      <c r="A212" s="9">
        <v>173</v>
      </c>
      <c r="B212" s="11"/>
      <c r="C212" s="3" t="s">
        <v>188</v>
      </c>
      <c r="D212" s="3"/>
      <c r="E212" s="3"/>
      <c r="F212" s="3">
        <v>1350000</v>
      </c>
      <c r="G212" s="25"/>
      <c r="H212" s="3">
        <f t="shared" si="6"/>
        <v>1350000</v>
      </c>
    </row>
    <row r="213" s="1" customFormat="1" customHeight="1" spans="1:11">
      <c r="A213" s="9">
        <v>174</v>
      </c>
      <c r="B213" s="11"/>
      <c r="C213" s="3" t="s">
        <v>189</v>
      </c>
      <c r="D213" s="3"/>
      <c r="E213" s="3"/>
      <c r="F213" s="3">
        <v>3579500</v>
      </c>
      <c r="G213" s="25"/>
      <c r="H213" s="3">
        <f t="shared" si="6"/>
        <v>3579500</v>
      </c>
    </row>
    <row r="214" s="1" customFormat="1" customHeight="1" spans="1:11">
      <c r="A214" s="9">
        <v>175</v>
      </c>
      <c r="B214" s="11"/>
      <c r="C214" s="3" t="s">
        <v>190</v>
      </c>
      <c r="D214" s="3"/>
      <c r="E214" s="3"/>
      <c r="F214" s="3">
        <v>198500</v>
      </c>
      <c r="G214" s="25"/>
      <c r="H214" s="3">
        <f t="shared" si="6"/>
        <v>198500</v>
      </c>
    </row>
    <row r="215" s="1" customFormat="1" customHeight="1" spans="1:11">
      <c r="A215" s="9">
        <v>176</v>
      </c>
      <c r="B215" s="11"/>
      <c r="C215" s="3" t="s">
        <v>191</v>
      </c>
      <c r="D215" s="3"/>
      <c r="E215" s="3"/>
      <c r="F215" s="3">
        <v>5381931</v>
      </c>
      <c r="G215" s="25"/>
      <c r="H215" s="3">
        <f t="shared" si="6"/>
        <v>5381931</v>
      </c>
    </row>
    <row r="216" s="1" customFormat="1" customHeight="1" spans="1:11">
      <c r="A216" s="9">
        <v>177</v>
      </c>
      <c r="B216" s="11"/>
      <c r="C216" s="3" t="s">
        <v>192</v>
      </c>
      <c r="D216" s="3"/>
      <c r="E216" s="3"/>
      <c r="F216" s="3">
        <v>2250000</v>
      </c>
      <c r="G216" s="25"/>
      <c r="H216" s="3">
        <f t="shared" si="6"/>
        <v>2250000</v>
      </c>
    </row>
    <row r="217" s="1" customFormat="1" customHeight="1" spans="1:11">
      <c r="A217" s="9">
        <v>178</v>
      </c>
      <c r="B217" s="11"/>
      <c r="C217" s="3" t="s">
        <v>193</v>
      </c>
      <c r="D217" s="3"/>
      <c r="E217" s="3"/>
      <c r="F217" s="3">
        <v>7452800</v>
      </c>
      <c r="G217" s="25"/>
      <c r="H217" s="3">
        <f t="shared" si="6"/>
        <v>7452800</v>
      </c>
    </row>
    <row r="218" s="1" customFormat="1" customHeight="1" spans="1:11">
      <c r="A218" s="9">
        <v>179</v>
      </c>
      <c r="B218" s="11"/>
      <c r="C218" s="3" t="s">
        <v>194</v>
      </c>
      <c r="D218" s="3"/>
      <c r="E218" s="3"/>
      <c r="F218" s="3">
        <v>781700</v>
      </c>
      <c r="G218" s="25"/>
      <c r="H218" s="3">
        <f t="shared" si="6"/>
        <v>781700</v>
      </c>
    </row>
    <row r="219" s="1" customFormat="1" customHeight="1" spans="1:11">
      <c r="A219" s="9">
        <v>180</v>
      </c>
      <c r="B219" s="11"/>
      <c r="C219" s="3" t="s">
        <v>195</v>
      </c>
      <c r="D219" s="3"/>
      <c r="E219" s="3"/>
      <c r="F219" s="3">
        <v>161500</v>
      </c>
      <c r="G219" s="25"/>
      <c r="H219" s="3">
        <f t="shared" si="6"/>
        <v>161500</v>
      </c>
    </row>
    <row r="220" s="1" customFormat="1" customHeight="1" spans="1:11">
      <c r="A220" s="9">
        <v>181</v>
      </c>
      <c r="B220" s="11"/>
      <c r="C220" s="3" t="s">
        <v>196</v>
      </c>
      <c r="D220" s="3"/>
      <c r="E220" s="3"/>
      <c r="F220" s="3"/>
      <c r="G220" s="25"/>
      <c r="H220" s="3">
        <f t="shared" si="6"/>
        <v>0</v>
      </c>
    </row>
    <row r="221" s="1" customFormat="1" customHeight="1" spans="1:11">
      <c r="A221" s="9">
        <v>182</v>
      </c>
      <c r="B221" s="11"/>
      <c r="C221" s="3" t="s">
        <v>197</v>
      </c>
      <c r="D221" s="3"/>
      <c r="E221" s="3"/>
      <c r="F221" s="3">
        <v>797000</v>
      </c>
      <c r="G221" s="25"/>
      <c r="H221" s="3">
        <f t="shared" si="6"/>
        <v>797000</v>
      </c>
    </row>
    <row r="222" s="1" customFormat="1" customHeight="1" spans="1:11">
      <c r="A222" s="9">
        <v>183</v>
      </c>
      <c r="B222" s="11"/>
      <c r="C222" s="3" t="s">
        <v>198</v>
      </c>
      <c r="D222" s="3"/>
      <c r="E222" s="3"/>
      <c r="F222" s="3">
        <v>1678500</v>
      </c>
      <c r="G222" s="25"/>
      <c r="H222" s="3">
        <f t="shared" si="6"/>
        <v>1678500</v>
      </c>
    </row>
    <row r="223" s="1" customFormat="1" customHeight="1" spans="1:11">
      <c r="A223" s="9">
        <v>184</v>
      </c>
      <c r="B223" s="11"/>
      <c r="C223" s="3" t="s">
        <v>199</v>
      </c>
      <c r="D223" s="3"/>
      <c r="E223" s="3"/>
      <c r="F223" s="3">
        <v>2150000</v>
      </c>
      <c r="G223" s="25"/>
      <c r="H223" s="3">
        <f t="shared" si="6"/>
        <v>2150000</v>
      </c>
    </row>
    <row r="224" s="1" customFormat="1" customHeight="1" spans="1:11">
      <c r="A224" s="9">
        <v>185</v>
      </c>
      <c r="B224" s="11"/>
      <c r="C224" s="3" t="s">
        <v>200</v>
      </c>
      <c r="D224" s="3"/>
      <c r="E224" s="3"/>
      <c r="F224" s="3">
        <v>4130000</v>
      </c>
      <c r="G224" s="25"/>
      <c r="H224" s="3">
        <f t="shared" si="6"/>
        <v>4130000</v>
      </c>
    </row>
    <row r="225" s="1" customFormat="1" customHeight="1" spans="1:11">
      <c r="A225" s="9">
        <v>186</v>
      </c>
      <c r="B225" s="11"/>
      <c r="C225" s="3" t="s">
        <v>201</v>
      </c>
      <c r="D225" s="3"/>
      <c r="E225" s="3"/>
      <c r="F225" s="3">
        <v>2305000</v>
      </c>
      <c r="G225" s="25"/>
      <c r="H225" s="3">
        <f t="shared" si="6"/>
        <v>2305000</v>
      </c>
    </row>
    <row r="226" s="1" customFormat="1" customHeight="1" spans="1:11">
      <c r="A226" s="9">
        <v>187</v>
      </c>
      <c r="B226" s="11"/>
      <c r="C226" s="3" t="s">
        <v>202</v>
      </c>
      <c r="D226" s="3"/>
      <c r="E226" s="3"/>
      <c r="F226" s="3">
        <v>3567000</v>
      </c>
      <c r="G226" s="25"/>
      <c r="H226" s="3">
        <f t="shared" si="6"/>
        <v>3567000</v>
      </c>
    </row>
    <row r="227" s="1" customFormat="1" customHeight="1" spans="1:11">
      <c r="A227" s="9">
        <v>188</v>
      </c>
      <c r="B227" s="11"/>
      <c r="C227" s="3" t="s">
        <v>203</v>
      </c>
      <c r="D227" s="9"/>
      <c r="E227" s="3"/>
      <c r="F227" s="3">
        <v>765000</v>
      </c>
      <c r="G227" s="25"/>
      <c r="H227" s="3">
        <f t="shared" si="6"/>
        <v>765000</v>
      </c>
      <c r="K227" s="10"/>
    </row>
    <row r="228" s="1" customFormat="1" customHeight="1" spans="1:11">
      <c r="A228" s="9">
        <v>189</v>
      </c>
      <c r="B228" s="11"/>
      <c r="C228" s="3" t="s">
        <v>204</v>
      </c>
      <c r="D228" s="3"/>
      <c r="E228" s="3"/>
      <c r="F228" s="3">
        <v>238500</v>
      </c>
      <c r="G228" s="25"/>
      <c r="H228" s="3">
        <f t="shared" si="6"/>
        <v>238500</v>
      </c>
    </row>
    <row r="229" s="1" customFormat="1" customHeight="1" spans="1:11">
      <c r="A229" s="9">
        <v>190</v>
      </c>
      <c r="B229" s="11"/>
      <c r="C229" s="3" t="s">
        <v>205</v>
      </c>
      <c r="D229" s="3"/>
      <c r="E229" s="3"/>
      <c r="F229" s="3">
        <v>113000</v>
      </c>
      <c r="G229" s="25"/>
      <c r="H229" s="3">
        <f t="shared" si="6"/>
        <v>113000</v>
      </c>
    </row>
    <row r="230" s="1" customFormat="1" customHeight="1" spans="1:11">
      <c r="A230" s="9">
        <v>191</v>
      </c>
      <c r="B230" s="11"/>
      <c r="C230" s="3" t="s">
        <v>206</v>
      </c>
      <c r="D230" s="3"/>
      <c r="E230" s="3"/>
      <c r="F230" s="3">
        <v>20000</v>
      </c>
      <c r="G230" s="25"/>
      <c r="H230" s="3">
        <f t="shared" si="6"/>
        <v>20000</v>
      </c>
    </row>
    <row r="231" s="1" customFormat="1" customHeight="1" spans="1:11">
      <c r="A231" s="9">
        <v>192</v>
      </c>
      <c r="B231" s="11"/>
      <c r="C231" s="28" t="s">
        <v>207</v>
      </c>
      <c r="D231" s="3"/>
      <c r="E231" s="3"/>
      <c r="F231" s="3">
        <v>778715</v>
      </c>
      <c r="G231" s="25"/>
      <c r="H231" s="3">
        <f t="shared" si="6"/>
        <v>778715</v>
      </c>
    </row>
    <row r="232" s="1" customFormat="1" customHeight="1" spans="1:11">
      <c r="A232" s="9">
        <v>193</v>
      </c>
      <c r="B232" s="11"/>
      <c r="C232" s="3" t="s">
        <v>208</v>
      </c>
      <c r="D232" s="3"/>
      <c r="E232" s="3"/>
      <c r="F232" s="3">
        <v>20960000</v>
      </c>
      <c r="G232" s="25"/>
      <c r="H232" s="3">
        <f t="shared" si="6"/>
        <v>20960000</v>
      </c>
    </row>
    <row r="233" s="1" customFormat="1" customHeight="1" spans="1:11">
      <c r="A233" s="9">
        <v>194</v>
      </c>
      <c r="B233" s="11"/>
      <c r="C233" s="3" t="s">
        <v>209</v>
      </c>
      <c r="D233" s="3"/>
      <c r="E233" s="3"/>
      <c r="F233" s="3">
        <v>1450000</v>
      </c>
      <c r="G233" s="25"/>
      <c r="H233" s="3">
        <f t="shared" si="6"/>
        <v>1450000</v>
      </c>
    </row>
    <row r="234" s="1" customFormat="1" customHeight="1" spans="1:11">
      <c r="A234" s="9">
        <v>195</v>
      </c>
      <c r="B234" s="11"/>
      <c r="C234" s="3" t="s">
        <v>210</v>
      </c>
      <c r="D234" s="3"/>
      <c r="E234" s="3"/>
      <c r="F234" s="3">
        <v>308000</v>
      </c>
      <c r="G234" s="25"/>
      <c r="H234" s="3">
        <f t="shared" si="6"/>
        <v>308000</v>
      </c>
    </row>
    <row r="235" s="1" customFormat="1" customHeight="1" spans="1:11">
      <c r="A235" s="9">
        <v>196</v>
      </c>
      <c r="B235" s="11"/>
      <c r="C235" s="3" t="s">
        <v>211</v>
      </c>
      <c r="D235" s="3"/>
      <c r="E235" s="3"/>
      <c r="F235" s="3">
        <v>13225000</v>
      </c>
      <c r="G235" s="25"/>
      <c r="H235" s="3">
        <f t="shared" si="6"/>
        <v>13225000</v>
      </c>
    </row>
    <row r="236" s="1" customFormat="1" customHeight="1" spans="1:11">
      <c r="A236" s="9">
        <v>197</v>
      </c>
      <c r="B236" s="29"/>
      <c r="C236" s="30" t="s">
        <v>212</v>
      </c>
      <c r="D236" s="3"/>
      <c r="E236" s="3"/>
      <c r="F236" s="3">
        <v>8295000</v>
      </c>
      <c r="G236" s="25"/>
      <c r="H236" s="3">
        <f t="shared" si="6"/>
        <v>8295000</v>
      </c>
    </row>
    <row r="237" s="1" customFormat="1" customHeight="1" spans="1:11">
      <c r="A237" s="9">
        <v>198</v>
      </c>
      <c r="B237" s="11"/>
      <c r="C237" s="3" t="s">
        <v>213</v>
      </c>
      <c r="D237" s="3"/>
      <c r="E237" s="3"/>
      <c r="F237" s="3">
        <v>394000</v>
      </c>
      <c r="G237" s="25"/>
      <c r="H237" s="3">
        <f t="shared" si="6"/>
        <v>394000</v>
      </c>
    </row>
    <row r="238" s="1" customFormat="1" customHeight="1" spans="1:11">
      <c r="A238" s="9">
        <v>199</v>
      </c>
      <c r="B238" s="29"/>
      <c r="C238" s="30" t="s">
        <v>214</v>
      </c>
      <c r="D238" s="3"/>
      <c r="E238" s="3"/>
      <c r="F238" s="3">
        <v>50000</v>
      </c>
      <c r="G238" s="25"/>
      <c r="H238" s="3">
        <f t="shared" si="6"/>
        <v>50000</v>
      </c>
    </row>
    <row r="239" s="1" customFormat="1" customHeight="1" spans="1:11">
      <c r="A239" s="9">
        <v>200</v>
      </c>
      <c r="B239" s="11"/>
      <c r="C239" s="3" t="s">
        <v>215</v>
      </c>
      <c r="D239" s="3"/>
      <c r="E239" s="3"/>
      <c r="F239" s="3">
        <v>1507000</v>
      </c>
      <c r="G239" s="25"/>
      <c r="H239" s="3">
        <f t="shared" si="6"/>
        <v>1507000</v>
      </c>
    </row>
    <row r="240" s="1" customFormat="1" customHeight="1" spans="1:11">
      <c r="A240" s="9">
        <v>201</v>
      </c>
      <c r="B240" s="11"/>
      <c r="C240" s="3" t="s">
        <v>216</v>
      </c>
      <c r="D240" s="3"/>
      <c r="E240" s="3"/>
      <c r="F240" s="3">
        <v>1750000</v>
      </c>
      <c r="G240" s="25"/>
      <c r="H240" s="3">
        <f t="shared" si="6"/>
        <v>1750000</v>
      </c>
    </row>
    <row r="241" s="1" customFormat="1" customHeight="1" spans="1:8">
      <c r="A241" s="9">
        <v>202</v>
      </c>
      <c r="B241" s="11"/>
      <c r="C241" s="3" t="s">
        <v>217</v>
      </c>
      <c r="D241" s="3"/>
      <c r="E241" s="3"/>
      <c r="F241" s="3">
        <v>770000</v>
      </c>
      <c r="G241" s="25"/>
      <c r="H241" s="3">
        <f t="shared" si="6"/>
        <v>770000</v>
      </c>
    </row>
    <row r="242" s="1" customFormat="1" customHeight="1" spans="1:8">
      <c r="A242" s="9">
        <v>203</v>
      </c>
      <c r="B242" s="11"/>
      <c r="C242" s="3" t="s">
        <v>218</v>
      </c>
      <c r="D242" s="3"/>
      <c r="E242" s="3"/>
      <c r="F242" s="3">
        <v>7695000</v>
      </c>
      <c r="G242" s="25"/>
      <c r="H242" s="3">
        <f t="shared" si="6"/>
        <v>7695000</v>
      </c>
    </row>
    <row r="243" s="1" customFormat="1" customHeight="1" spans="1:8">
      <c r="A243" s="9">
        <v>204</v>
      </c>
      <c r="B243" s="11"/>
      <c r="C243" s="3" t="s">
        <v>219</v>
      </c>
      <c r="D243" s="3"/>
      <c r="E243" s="3"/>
      <c r="F243" s="3">
        <v>20000</v>
      </c>
      <c r="G243" s="25"/>
      <c r="H243" s="3">
        <f t="shared" si="6"/>
        <v>20000</v>
      </c>
    </row>
    <row r="244" s="1" customFormat="1" customHeight="1" spans="1:8">
      <c r="A244" s="9">
        <v>205</v>
      </c>
      <c r="B244" s="11"/>
      <c r="C244" s="3" t="s">
        <v>220</v>
      </c>
      <c r="D244" s="3"/>
      <c r="E244" s="3"/>
      <c r="F244" s="3">
        <v>482000</v>
      </c>
      <c r="G244" s="25"/>
      <c r="H244" s="3">
        <f t="shared" si="6"/>
        <v>482000</v>
      </c>
    </row>
    <row r="245" s="1" customFormat="1" customHeight="1" spans="1:8">
      <c r="A245" s="9"/>
      <c r="B245" s="11"/>
      <c r="C245" s="3" t="s">
        <v>221</v>
      </c>
      <c r="D245" s="3">
        <f>SUM(D192:D244)</f>
        <v>1900000</v>
      </c>
      <c r="E245" s="3"/>
      <c r="F245" s="3"/>
      <c r="G245" s="25"/>
      <c r="H245" s="3"/>
    </row>
    <row r="246" s="1" customFormat="1" customHeight="1" spans="1:8">
      <c r="A246" s="31"/>
      <c r="B246" s="22"/>
      <c r="C246" s="23"/>
      <c r="D246" s="23"/>
      <c r="E246" s="23"/>
      <c r="F246" s="23"/>
      <c r="G246" s="32"/>
      <c r="H246" s="23"/>
    </row>
    <row r="247" s="1" customFormat="1" customHeight="1" spans="1:8">
      <c r="A247" s="10"/>
      <c r="B247" s="2"/>
      <c r="E247" s="1">
        <v>17</v>
      </c>
      <c r="F247" s="1"/>
      <c r="G247" s="4"/>
    </row>
    <row r="248" s="1" customFormat="1" customHeight="1" spans="1:8">
      <c r="A248" s="10"/>
      <c r="B248" s="2"/>
      <c r="G248" s="4"/>
    </row>
    <row r="249" s="1" customFormat="1" customHeight="1" spans="1:8">
      <c r="A249" s="10"/>
      <c r="B249" s="2"/>
      <c r="G249" s="4"/>
    </row>
    <row r="250" s="1" customFormat="1" customHeight="1" spans="1:8">
      <c r="A250" s="10"/>
      <c r="B250" s="2"/>
      <c r="G250" s="4"/>
    </row>
    <row r="251" s="1" customFormat="1" customHeight="1" spans="1:8">
      <c r="A251" s="10"/>
      <c r="B251" s="2"/>
      <c r="G251" s="4"/>
    </row>
    <row r="252" s="1" customFormat="1" customHeight="1" spans="1:8">
      <c r="A252" s="10"/>
      <c r="B252" s="2"/>
      <c r="G252" s="4"/>
    </row>
    <row r="253" s="1" customFormat="1" customHeight="1" spans="1:8">
      <c r="A253" s="33"/>
      <c r="B253" s="34"/>
      <c r="C253" s="35"/>
      <c r="D253" s="35"/>
      <c r="E253" s="35"/>
      <c r="F253" s="35"/>
      <c r="G253" s="36"/>
      <c r="H253" s="35"/>
    </row>
    <row r="254" s="1" customFormat="1" customHeight="1" spans="1:8">
      <c r="A254" s="9" t="s">
        <v>5</v>
      </c>
      <c r="B254" s="9"/>
      <c r="C254" s="9" t="s">
        <v>7</v>
      </c>
      <c r="D254" s="9" t="s">
        <v>8</v>
      </c>
      <c r="E254" s="45" t="s">
        <v>9</v>
      </c>
      <c r="F254" s="11" t="s">
        <v>10</v>
      </c>
      <c r="G254" s="11" t="s">
        <v>11</v>
      </c>
      <c r="H254" s="9" t="s">
        <v>12</v>
      </c>
    </row>
    <row r="255" s="1" customFormat="1" customHeight="1" spans="1:8">
      <c r="A255" s="9">
        <v>206</v>
      </c>
      <c r="B255" s="11"/>
      <c r="C255" s="3" t="s">
        <v>222</v>
      </c>
      <c r="D255" s="3"/>
      <c r="E255" s="3"/>
      <c r="F255" s="3"/>
      <c r="G255" s="25"/>
      <c r="H255" s="3">
        <f t="shared" ref="H255:H261" si="7">SUM(D255:G255)</f>
        <v>0</v>
      </c>
    </row>
    <row r="256" s="1" customFormat="1" customHeight="1" spans="1:8">
      <c r="A256" s="9">
        <v>207</v>
      </c>
      <c r="B256" s="11"/>
      <c r="C256" s="3" t="s">
        <v>223</v>
      </c>
      <c r="D256" s="3"/>
      <c r="E256" s="3"/>
      <c r="F256" s="3">
        <v>1000000</v>
      </c>
      <c r="G256" s="25"/>
      <c r="H256" s="3">
        <f t="shared" si="7"/>
        <v>1000000</v>
      </c>
    </row>
    <row r="257" s="1" customFormat="1" customHeight="1" spans="1:10">
      <c r="A257" s="9">
        <v>208</v>
      </c>
      <c r="B257" s="11"/>
      <c r="C257" s="3" t="s">
        <v>224</v>
      </c>
      <c r="D257" s="3"/>
      <c r="E257" s="3"/>
      <c r="F257" s="3"/>
      <c r="G257" s="25"/>
      <c r="H257" s="3">
        <f t="shared" si="7"/>
        <v>0</v>
      </c>
    </row>
    <row r="258" s="1" customFormat="1" customHeight="1" spans="1:10">
      <c r="A258" s="9">
        <v>209</v>
      </c>
      <c r="B258" s="11"/>
      <c r="C258" s="3" t="s">
        <v>225</v>
      </c>
      <c r="D258" s="3"/>
      <c r="E258" s="3"/>
      <c r="F258" s="3">
        <v>3532000</v>
      </c>
      <c r="G258" s="25"/>
      <c r="H258" s="3">
        <f t="shared" si="7"/>
        <v>3532000</v>
      </c>
    </row>
    <row r="259" s="1" customFormat="1" customHeight="1" spans="1:10">
      <c r="A259" s="9">
        <v>210</v>
      </c>
      <c r="B259" s="11"/>
      <c r="C259" s="3" t="s">
        <v>226</v>
      </c>
      <c r="D259" s="3"/>
      <c r="E259" s="3"/>
      <c r="F259" s="3">
        <v>61000</v>
      </c>
      <c r="G259" s="25"/>
      <c r="H259" s="3">
        <f t="shared" si="7"/>
        <v>61000</v>
      </c>
    </row>
    <row r="260" s="1" customFormat="1" customHeight="1" spans="1:10">
      <c r="A260" s="9">
        <v>211</v>
      </c>
      <c r="B260" s="11"/>
      <c r="C260" s="3" t="s">
        <v>227</v>
      </c>
      <c r="D260" s="3"/>
      <c r="E260" s="3"/>
      <c r="F260" s="3"/>
      <c r="G260" s="25"/>
      <c r="H260" s="3">
        <f t="shared" si="7"/>
        <v>0</v>
      </c>
    </row>
    <row r="261" s="1" customFormat="1" customHeight="1" spans="1:10">
      <c r="A261" s="9">
        <v>212</v>
      </c>
      <c r="B261" s="29"/>
      <c r="C261" s="3" t="s">
        <v>228</v>
      </c>
      <c r="D261" s="3"/>
      <c r="E261" s="3"/>
      <c r="F261" s="3">
        <v>300000</v>
      </c>
      <c r="G261" s="25"/>
      <c r="H261" s="3">
        <f t="shared" si="7"/>
        <v>300000</v>
      </c>
    </row>
    <row r="262" s="1" customFormat="1" customHeight="1" spans="1:10">
      <c r="A262" s="11"/>
      <c r="B262" s="29"/>
      <c r="C262" s="30"/>
      <c r="D262" s="3"/>
      <c r="E262" s="3"/>
      <c r="F262" s="3"/>
      <c r="G262" s="25"/>
      <c r="H262" s="3"/>
    </row>
    <row r="263" s="1" customFormat="1" customHeight="1" spans="1:10">
      <c r="A263" s="11"/>
      <c r="B263" s="11"/>
      <c r="C263" s="3"/>
      <c r="D263" s="3"/>
      <c r="E263" s="3"/>
      <c r="F263" s="3"/>
      <c r="G263" s="25"/>
      <c r="H263" s="3"/>
    </row>
    <row r="264" s="1" customFormat="1" customHeight="1" spans="1:10">
      <c r="A264" s="11"/>
      <c r="B264" s="11"/>
      <c r="C264" s="19" t="s">
        <v>229</v>
      </c>
      <c r="D264" s="19">
        <f>SUM(A264:C264)</f>
        <v>0</v>
      </c>
      <c r="E264" s="19">
        <f t="shared" ref="E264:G264" si="8">SUM(E192:E263)</f>
        <v>6895017</v>
      </c>
      <c r="F264" s="19">
        <f t="shared" si="8"/>
        <v>108916646</v>
      </c>
      <c r="G264" s="37">
        <f t="shared" si="8"/>
        <v>2081500</v>
      </c>
      <c r="H264" s="3">
        <f>SUM(D264:G264)</f>
        <v>117893163</v>
      </c>
    </row>
    <row r="265" s="1" customFormat="1" customHeight="1" spans="1:10">
      <c r="A265" s="11"/>
      <c r="B265" s="11"/>
      <c r="C265" s="3"/>
      <c r="D265" s="3"/>
      <c r="E265" s="3"/>
      <c r="F265" s="3"/>
      <c r="G265" s="25"/>
      <c r="H265" s="3"/>
    </row>
    <row r="266" s="1" customFormat="1" customHeight="1" spans="1:10">
      <c r="A266" s="11"/>
      <c r="B266" s="11"/>
      <c r="C266" s="3"/>
      <c r="D266" s="3"/>
      <c r="E266" s="3"/>
      <c r="F266" s="3"/>
      <c r="G266" s="25"/>
      <c r="H266" s="3"/>
    </row>
    <row r="267" s="1" customFormat="1" customHeight="1" spans="1:10">
      <c r="A267" s="11"/>
      <c r="B267" s="11"/>
      <c r="C267" s="3" t="s">
        <v>230</v>
      </c>
      <c r="D267" s="3">
        <f t="shared" ref="D267:H267" si="9">SUM(D56+D118+D181+D245+D264)</f>
        <v>16400000</v>
      </c>
      <c r="E267" s="3">
        <f t="shared" si="9"/>
        <v>310554017</v>
      </c>
      <c r="F267" s="3">
        <f t="shared" si="9"/>
        <v>361297246</v>
      </c>
      <c r="G267" s="3">
        <f t="shared" si="9"/>
        <v>8611000</v>
      </c>
      <c r="H267" s="3">
        <f t="shared" si="9"/>
        <v>694962263</v>
      </c>
    </row>
    <row r="268" s="1" customFormat="1" customHeight="1" spans="1:10">
      <c r="A268" s="2"/>
      <c r="B268" s="2"/>
      <c r="F268" s="38"/>
      <c r="G268" s="4"/>
    </row>
    <row r="269" s="1" customFormat="1" customHeight="1" spans="1:10">
      <c r="A269" s="2"/>
      <c r="B269" s="2"/>
      <c r="G269" s="4"/>
    </row>
    <row r="270" s="1" customFormat="1" customHeight="1" spans="1:10">
      <c r="A270" s="2"/>
      <c r="B270" s="2"/>
      <c r="G270" s="4"/>
    </row>
    <row r="271" s="1" customFormat="1" customHeight="1" spans="1:10">
      <c r="A271" s="2" t="s">
        <v>231</v>
      </c>
      <c r="B271" s="2"/>
      <c r="C271" s="2"/>
      <c r="D271" s="2"/>
      <c r="E271" s="2"/>
      <c r="F271" s="2"/>
      <c r="G271" s="4"/>
      <c r="H271" s="2"/>
      <c r="I271" s="2"/>
      <c r="J271" s="2"/>
    </row>
    <row r="272" s="1" customFormat="1" customHeight="1" spans="1:10">
      <c r="A272" s="2" t="s">
        <v>232</v>
      </c>
      <c r="B272" s="2"/>
      <c r="C272" s="2"/>
      <c r="D272" s="2"/>
      <c r="E272" s="2"/>
      <c r="F272" s="2"/>
      <c r="G272" s="4"/>
      <c r="H272" s="2"/>
      <c r="I272" s="2"/>
      <c r="J272" s="2"/>
    </row>
    <row r="273" s="1" customFormat="1" customHeight="1" spans="1:7">
      <c r="A273" s="39"/>
      <c r="B273" s="39" t="s">
        <v>233</v>
      </c>
      <c r="C273" s="40" t="s">
        <v>234</v>
      </c>
      <c r="D273" s="41" t="s">
        <v>235</v>
      </c>
      <c r="F273" s="42" t="s">
        <v>236</v>
      </c>
      <c r="G273" s="43" t="s">
        <v>237</v>
      </c>
    </row>
    <row r="274" s="1" customFormat="1" customHeight="1" spans="1:7">
      <c r="A274" s="39"/>
      <c r="B274" s="39"/>
      <c r="C274" s="40"/>
      <c r="D274" s="41"/>
      <c r="F274" s="42"/>
      <c r="G274" s="43"/>
    </row>
    <row r="275" s="1" customFormat="1" customHeight="1" spans="1:7">
      <c r="A275" s="39"/>
      <c r="B275" s="39"/>
      <c r="C275" s="40"/>
      <c r="D275" s="41"/>
      <c r="F275" s="42"/>
      <c r="G275" s="43"/>
    </row>
    <row r="276" s="1" customFormat="1" customHeight="1" spans="1:7">
      <c r="A276" s="39"/>
      <c r="B276" s="39"/>
      <c r="C276" s="40"/>
      <c r="D276" s="41"/>
      <c r="F276" s="42"/>
      <c r="G276" s="43"/>
    </row>
    <row r="277" s="1" customFormat="1" customHeight="1" spans="1:7">
      <c r="A277" s="39"/>
      <c r="B277" s="39"/>
      <c r="C277" s="40"/>
      <c r="D277" s="41"/>
      <c r="F277" s="42"/>
      <c r="G277" s="43"/>
    </row>
    <row r="278" s="1" customFormat="1" customHeight="1" spans="1:7">
      <c r="A278" s="39"/>
      <c r="B278" s="39" t="s">
        <v>59</v>
      </c>
      <c r="C278" s="40" t="s">
        <v>60</v>
      </c>
      <c r="D278" s="41" t="s">
        <v>64</v>
      </c>
      <c r="F278" s="42" t="s">
        <v>238</v>
      </c>
      <c r="G278" s="43" t="s">
        <v>85</v>
      </c>
    </row>
    <row r="279" s="1" customFormat="1" customHeight="1" spans="1:7">
      <c r="B279" s="2"/>
      <c r="F279" s="4"/>
      <c r="G279" s="4"/>
    </row>
    <row r="280" s="1" customFormat="1" customHeight="1" spans="1:7">
      <c r="B280" s="2"/>
      <c r="G280" s="4"/>
    </row>
    <row r="281" s="1" customFormat="1" customHeight="1" spans="1:7">
      <c r="B281" s="2"/>
      <c r="G281" s="4"/>
    </row>
    <row r="282" s="1" customFormat="1" customHeight="1" spans="1:7">
      <c r="B282" s="2"/>
      <c r="G282" s="4"/>
    </row>
    <row r="283" s="1" customFormat="1" customHeight="1" spans="1:7">
      <c r="B283" s="2"/>
      <c r="G283" s="4"/>
    </row>
    <row r="284" s="1" customFormat="1" customHeight="1" spans="1:7">
      <c r="B284" s="2"/>
      <c r="G284" s="4"/>
    </row>
    <row r="285" s="1" customFormat="1" customHeight="1" spans="1:7">
      <c r="B285" s="2"/>
      <c r="G285" s="4"/>
    </row>
    <row r="286" s="1" customFormat="1" customHeight="1" spans="1:7">
      <c r="B286" s="2"/>
      <c r="G286" s="4"/>
    </row>
    <row r="287" s="1" customFormat="1" customHeight="1" spans="1:7">
      <c r="B287" s="2"/>
      <c r="G287" s="4"/>
    </row>
    <row r="288" s="1" customFormat="1" customHeight="1" spans="1:7">
      <c r="B288" s="2"/>
      <c r="G288" s="4"/>
    </row>
    <row r="289" s="1" customFormat="1" customHeight="1" spans="2:7">
      <c r="B289" s="2"/>
      <c r="G289" s="4"/>
    </row>
    <row r="290" s="1" customFormat="1" customHeight="1" spans="2:7">
      <c r="B290" s="2"/>
      <c r="G290" s="4"/>
    </row>
    <row r="291" s="1" customFormat="1" customHeight="1" spans="2:7">
      <c r="B291" s="2"/>
      <c r="G291" s="4"/>
    </row>
    <row r="292" s="1" customFormat="1" customHeight="1" spans="2:7">
      <c r="B292" s="2"/>
      <c r="G292" s="4"/>
    </row>
    <row r="293" s="1" customFormat="1" customHeight="1" spans="2:7">
      <c r="B293" s="2"/>
      <c r="G293" s="4"/>
    </row>
    <row r="294" s="1" customFormat="1" customHeight="1" spans="2:7">
      <c r="B294" s="2"/>
      <c r="G294" s="4"/>
    </row>
    <row r="295" s="1" customFormat="1" customHeight="1" spans="2:7">
      <c r="B295" s="2"/>
      <c r="G295" s="4"/>
    </row>
    <row r="296" s="1" customFormat="1" customHeight="1" spans="2:7">
      <c r="B296" s="2"/>
      <c r="G296" s="4"/>
    </row>
    <row r="297" s="1" customFormat="1" customHeight="1" spans="2:7">
      <c r="B297" s="2"/>
      <c r="G297" s="4"/>
    </row>
    <row r="298" s="1" customFormat="1" customHeight="1" spans="2:7">
      <c r="B298" s="2"/>
      <c r="G298" s="4"/>
    </row>
    <row r="299" s="1" customFormat="1" customHeight="1" spans="2:7">
      <c r="B299" s="2"/>
      <c r="F299" s="2"/>
      <c r="G299" s="4"/>
    </row>
    <row r="300" s="1" customFormat="1" customHeight="1" spans="2:7">
      <c r="B300" s="2"/>
      <c r="G300" s="4"/>
    </row>
    <row r="301" s="1" customFormat="1" customHeight="1" spans="2:7">
      <c r="B301" s="2"/>
      <c r="G301" s="4"/>
    </row>
    <row r="302" s="1" customFormat="1" customHeight="1" spans="2:7">
      <c r="B302" s="2"/>
      <c r="G302" s="4"/>
    </row>
    <row r="303" s="1" customFormat="1" customHeight="1" spans="2:7">
      <c r="B303" s="2"/>
      <c r="G303" s="4"/>
    </row>
    <row r="304" s="1" customFormat="1" customHeight="1" spans="2:7">
      <c r="B304" s="2"/>
      <c r="G304" s="4"/>
    </row>
    <row r="305" s="1" customFormat="1" customHeight="1" spans="2:7">
      <c r="B305" s="2"/>
      <c r="G305" s="4"/>
    </row>
    <row r="306" s="1" customFormat="1" customHeight="1" spans="2:7">
      <c r="B306" s="2"/>
      <c r="G306" s="4"/>
    </row>
    <row r="307" s="1" customFormat="1" customHeight="1" spans="2:7">
      <c r="B307" s="2"/>
      <c r="G307" s="4"/>
    </row>
    <row r="308" s="1" customFormat="1" customHeight="1" spans="2:7">
      <c r="B308" s="2"/>
      <c r="G308" s="4"/>
    </row>
    <row r="309" s="1" customFormat="1" customHeight="1" spans="2:7">
      <c r="B309" s="2"/>
      <c r="G309" s="4"/>
    </row>
    <row r="310" s="1" customFormat="1" customHeight="1" spans="2:7">
      <c r="B310" s="2"/>
      <c r="E310" s="1">
        <v>18</v>
      </c>
      <c r="F310" s="1"/>
      <c r="G310" s="4"/>
    </row>
    <row r="311" s="1" customFormat="1" customHeight="1" spans="2:7">
      <c r="B311" s="2"/>
      <c r="G311" s="4"/>
    </row>
    <row r="312" s="1" customFormat="1" customHeight="1" spans="2:7">
      <c r="B312" s="2"/>
      <c r="G312" s="4"/>
    </row>
    <row r="313" s="1" customFormat="1" customHeight="1" spans="2:7">
      <c r="B313" s="2"/>
      <c r="G313" s="4"/>
    </row>
    <row r="314" s="1" customFormat="1" customHeight="1" spans="2:7">
      <c r="B314" s="2"/>
      <c r="G314" s="4"/>
    </row>
    <row r="315" s="1" customFormat="1" customHeight="1" spans="2:7">
      <c r="B315" s="2"/>
      <c r="G315" s="4"/>
    </row>
    <row r="316" s="1" customFormat="1" customHeight="1" spans="2:7">
      <c r="B316" s="2"/>
      <c r="G316" s="4"/>
    </row>
    <row r="317" s="1" customFormat="1" customHeight="1" spans="2:7">
      <c r="B317" s="2"/>
      <c r="G317" s="4"/>
    </row>
    <row r="318" s="1" customFormat="1" customHeight="1" spans="2:7">
      <c r="B318" s="2"/>
      <c r="G318" s="4"/>
    </row>
    <row r="319" s="1" customFormat="1" customHeight="1" spans="2:7">
      <c r="B319" s="2"/>
      <c r="G319" s="4"/>
    </row>
    <row r="320" s="1" customFormat="1" customHeight="1" spans="2:7">
      <c r="B320" s="2"/>
      <c r="G320" s="4"/>
    </row>
    <row r="321" s="1" customFormat="1" customHeight="1" spans="2:7">
      <c r="B321" s="2"/>
      <c r="G321" s="4"/>
    </row>
    <row r="322" s="1" customFormat="1" customHeight="1" spans="2:7">
      <c r="B322" s="2"/>
      <c r="G322" s="4"/>
    </row>
    <row r="323" s="1" customFormat="1" customHeight="1" spans="2:7">
      <c r="B323" s="2"/>
      <c r="G323" s="4"/>
    </row>
    <row r="324" s="1" customFormat="1" customHeight="1" spans="2:7">
      <c r="B324" s="2"/>
      <c r="G324" s="4"/>
    </row>
    <row r="325" s="1" customFormat="1" customHeight="1" spans="2:7">
      <c r="B325" s="2"/>
      <c r="G325" s="4"/>
    </row>
    <row r="326" s="1" customFormat="1" customHeight="1" spans="2:7">
      <c r="B326" s="2"/>
      <c r="G326" s="4"/>
    </row>
    <row r="327" s="1" customFormat="1" customHeight="1" spans="2:7">
      <c r="B327" s="2"/>
      <c r="G327" s="4"/>
    </row>
    <row r="328" s="1" customFormat="1" customHeight="1" spans="2:7">
      <c r="B328" s="2"/>
      <c r="G328" s="4"/>
    </row>
    <row r="329" s="1" customFormat="1" customHeight="1" spans="2:7">
      <c r="B329" s="2"/>
      <c r="G329" s="4"/>
    </row>
    <row r="330" s="1" customFormat="1" customHeight="1" spans="2:7">
      <c r="B330" s="2"/>
      <c r="G330" s="4"/>
    </row>
    <row r="331" s="1" customFormat="1" customHeight="1" spans="2:7">
      <c r="B331" s="2"/>
      <c r="G331" s="4"/>
    </row>
    <row r="332" s="1" customFormat="1" customHeight="1" spans="2:7">
      <c r="B332" s="2"/>
      <c r="G332" s="4"/>
    </row>
    <row r="333" s="1" customFormat="1" customHeight="1" spans="2:7">
      <c r="B333" s="2"/>
      <c r="G333" s="4"/>
    </row>
    <row r="334" s="1" customFormat="1" customHeight="1" spans="2:7">
      <c r="B334" s="2"/>
      <c r="F334" s="44"/>
      <c r="G334" s="4"/>
    </row>
  </sheetData>
  <mergeCells count="7">
    <mergeCell ref="A1:H1"/>
    <mergeCell ref="A2:H2"/>
    <mergeCell ref="A3:H3"/>
    <mergeCell ref="A4:H4"/>
    <mergeCell ref="A5:H5"/>
    <mergeCell ref="A271:H271"/>
    <mergeCell ref="A272:H27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2026-08-23T08:20:29Z</dcterms:created>
  <dcterms:modified xsi:type="dcterms:W3CDTF">2026-08-23T08:22:22Z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633AAD76D69940089BB9E3D2E55C3B22_11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