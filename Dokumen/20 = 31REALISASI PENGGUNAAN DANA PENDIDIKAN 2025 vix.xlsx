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E:\DOKUMEN KSU CAHAYA DHAMMA PHALA 2025\BUKU  LAPORAN  PERTANGGUNGJAWABAN  TAHUN BUKU 2025\RISALAH  KSU CAHAYA DHAMMA PHALA PER 31 DES 2025\"/>
    </mc:Choice>
  </mc:AlternateContent>
  <xr:revisionPtr revIDLastSave="0" documentId="8_{46DA17FA-FD5B-42C8-9C31-CADB94AD36E4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2020" sheetId="1" r:id="rId1"/>
    <sheet name="2023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7" i="2" l="1"/>
  <c r="F37" i="2"/>
  <c r="F41" i="2" s="1"/>
  <c r="G41" i="2" s="1"/>
  <c r="G34" i="1"/>
  <c r="F34" i="1"/>
  <c r="F38" i="1" s="1"/>
  <c r="G38" i="1" s="1"/>
  <c r="G36" i="1" s="1"/>
  <c r="G39" i="2" l="1"/>
</calcChain>
</file>

<file path=xl/sharedStrings.xml><?xml version="1.0" encoding="utf-8"?>
<sst xmlns="http://schemas.openxmlformats.org/spreadsheetml/2006/main" count="75" uniqueCount="51">
  <si>
    <t>KOPERASI  SERBA  USAHA  CAHAYA  DHAMMA  PHALA</t>
  </si>
  <si>
    <t>Badan Hukum No. 2/BH/XIV.1/II/2016 Tanggal 5 Februari  2016</t>
  </si>
  <si>
    <t xml:space="preserve">Alamat: Dukuh Windusari, Desa Sokaraja, Kec. Pagentan, </t>
  </si>
  <si>
    <t>Kab. Banjarnegara, Prov. Jawa Tengah,  Pos 53455</t>
  </si>
  <si>
    <t>REALISASI  PENGGUNAAN  DANA  PENDIDIKAN</t>
  </si>
  <si>
    <t>TAHUN  2020</t>
  </si>
  <si>
    <t>NO.</t>
  </si>
  <si>
    <t>UARIAN</t>
  </si>
  <si>
    <t>DEBET</t>
  </si>
  <si>
    <t>KREDET</t>
  </si>
  <si>
    <t>(Rp)</t>
  </si>
  <si>
    <t>1.</t>
  </si>
  <si>
    <t>Saldo tahun  2019</t>
  </si>
  <si>
    <t>2.</t>
  </si>
  <si>
    <t>Penerimaan tahun 2020</t>
  </si>
  <si>
    <t>3.</t>
  </si>
  <si>
    <t>Penggunaan:</t>
  </si>
  <si>
    <t>Jumlah</t>
  </si>
  <si>
    <t>Saldo dana sosial tahun 2019</t>
  </si>
  <si>
    <t>Pagentan, 31 Desember  2020</t>
  </si>
  <si>
    <t>Pengurus KSU Cahaya Dhamma Phala</t>
  </si>
  <si>
    <t>Ketua</t>
  </si>
  <si>
    <t>Wk. Ketua</t>
  </si>
  <si>
    <t>Sekretaris</t>
  </si>
  <si>
    <t>Bendahara</t>
  </si>
  <si>
    <t>Pembantu</t>
  </si>
  <si>
    <t>Waridi</t>
  </si>
  <si>
    <t>Juliyah</t>
  </si>
  <si>
    <t>Dwi Vijjayanti</t>
  </si>
  <si>
    <t>Oruwasaton</t>
  </si>
  <si>
    <t>Wanto</t>
  </si>
  <si>
    <t>Slamet Sutir</t>
  </si>
  <si>
    <t>TAHUN  2025</t>
  </si>
  <si>
    <t>Saldo tahun  2024</t>
  </si>
  <si>
    <t>Penerimaan dari SHU tahun 2024</t>
  </si>
  <si>
    <t>4.</t>
  </si>
  <si>
    <t>5.</t>
  </si>
  <si>
    <t>Pagentan, 31 Desember  2025</t>
  </si>
  <si>
    <t>Saldo dana sosial tahun 2025</t>
  </si>
  <si>
    <t>Penerimaan tahun 2025</t>
  </si>
  <si>
    <t>1. Pengurusan Izin Halal , 4-11-2025</t>
  </si>
  <si>
    <t>2. Minyak Pelatihan praktek, 24-6-2025</t>
  </si>
  <si>
    <t>3. Diklat 23-9-25</t>
  </si>
  <si>
    <t>4. Tenaga keripik, 23-12-2025</t>
  </si>
  <si>
    <t>5. Biaya pos paket, 23-12-2025</t>
  </si>
  <si>
    <t>6. Pengdaan HP,30-12-2025</t>
  </si>
  <si>
    <t>7. Operasional keripik kentang , 30-12-2025</t>
  </si>
  <si>
    <t>8. Operasional keripik kentang , 30-12-2025</t>
  </si>
  <si>
    <t>9. Operasional keripik salak , 30-12-2025</t>
  </si>
  <si>
    <t>Ketua                          Wakil Ketua</t>
  </si>
  <si>
    <t>Waridi                          Juliyah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</si>
</sst>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1" xfId="0" applyBorder="1"/>
    <xf numFmtId="0" fontId="0" fillId="0" borderId="12" xfId="0" applyBorder="1"/>
    <xf numFmtId="3" fontId="0" fillId="0" borderId="10" xfId="0" applyNumberFormat="1" applyBorder="1"/>
    <xf numFmtId="0" fontId="0" fillId="0" borderId="14" xfId="0" applyBorder="1"/>
    <xf numFmtId="0" fontId="0" fillId="0" borderId="15" xfId="0" applyBorder="1"/>
    <xf numFmtId="3" fontId="0" fillId="0" borderId="13" xfId="0" applyNumberFormat="1" applyBorder="1"/>
    <xf numFmtId="0" fontId="0" fillId="0" borderId="13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3" fontId="0" fillId="0" borderId="21" xfId="0" applyNumberFormat="1" applyBorder="1"/>
    <xf numFmtId="0" fontId="0" fillId="0" borderId="3" xfId="0" applyBorder="1"/>
    <xf numFmtId="0" fontId="0" fillId="0" borderId="4" xfId="0" applyBorder="1"/>
    <xf numFmtId="0" fontId="0" fillId="0" borderId="2" xfId="0" applyBorder="1"/>
    <xf numFmtId="0" fontId="1" fillId="0" borderId="20" xfId="0" applyFont="1" applyBorder="1"/>
    <xf numFmtId="0" fontId="0" fillId="0" borderId="21" xfId="0" applyBorder="1"/>
    <xf numFmtId="3" fontId="1" fillId="0" borderId="21" xfId="0" applyNumberFormat="1" applyFont="1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10" xfId="0" quotePrefix="1" applyBorder="1" applyAlignment="1">
      <alignment horizontal="center"/>
    </xf>
    <xf numFmtId="0" fontId="0" fillId="0" borderId="13" xfId="0" quotePrefix="1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11" xfId="0" quotePrefix="1" applyBorder="1" applyAlignment="1">
      <alignment horizontal="center"/>
    </xf>
    <xf numFmtId="3" fontId="0" fillId="0" borderId="25" xfId="0" applyNumberFormat="1" applyBorder="1"/>
    <xf numFmtId="0" fontId="0" fillId="0" borderId="14" xfId="0" applyBorder="1" applyAlignment="1">
      <alignment horizontal="center"/>
    </xf>
    <xf numFmtId="3" fontId="0" fillId="0" borderId="26" xfId="0" applyNumberFormat="1" applyBorder="1"/>
    <xf numFmtId="0" fontId="0" fillId="0" borderId="26" xfId="0" applyBorder="1"/>
    <xf numFmtId="0" fontId="0" fillId="0" borderId="25" xfId="0" applyBorder="1"/>
    <xf numFmtId="0" fontId="0" fillId="0" borderId="27" xfId="0" applyBorder="1"/>
    <xf numFmtId="0" fontId="0" fillId="0" borderId="28" xfId="0" applyBorder="1"/>
    <xf numFmtId="3" fontId="0" fillId="0" borderId="28" xfId="0" applyNumberFormat="1" applyBorder="1"/>
    <xf numFmtId="0" fontId="1" fillId="0" borderId="28" xfId="0" applyFont="1" applyBorder="1"/>
    <xf numFmtId="3" fontId="1" fillId="0" borderId="28" xfId="0" applyNumberFormat="1" applyFont="1" applyBorder="1"/>
    <xf numFmtId="0" fontId="2" fillId="0" borderId="0" xfId="0" applyFont="1" applyAlignment="1">
      <alignment horizontal="left" indent="1"/>
    </xf>
    <xf numFmtId="0" fontId="2" fillId="0" borderId="0" xfId="0" applyFont="1" applyAlignment="1">
      <alignment horizontal="left" indent="5"/>
    </xf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indent="14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114301</xdr:colOff>
      <xdr:row>0</xdr:row>
      <xdr:rowOff>76200</xdr:rowOff>
    </xdr:from>
    <xdr:to>
      <xdr:col>2</xdr:col>
      <xdr:colOff>47625</xdr:colOff>
      <xdr:row>3</xdr:row>
      <xdr:rowOff>85725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4300" y="76200"/>
          <a:ext cx="619125" cy="5810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114301</xdr:colOff>
      <xdr:row>0</xdr:row>
      <xdr:rowOff>76200</xdr:rowOff>
    </xdr:from>
    <xdr:to>
      <xdr:col>2</xdr:col>
      <xdr:colOff>47626</xdr:colOff>
      <xdr:row>3</xdr:row>
      <xdr:rowOff>85725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4300" y="76200"/>
          <a:ext cx="619125" cy="5810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390525</xdr:colOff>
      <xdr:row>45</xdr:row>
      <xdr:rowOff>38100</xdr:rowOff>
    </xdr:from>
    <xdr:to>
      <xdr:col>2</xdr:col>
      <xdr:colOff>572135</xdr:colOff>
      <xdr:row>48</xdr:row>
      <xdr:rowOff>154940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27B158B-95A5-4059-A094-4BC4307C09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90525" y="9382125"/>
          <a:ext cx="867410" cy="6883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</xdr:col>
      <xdr:colOff>1108075</xdr:colOff>
      <xdr:row>45</xdr:row>
      <xdr:rowOff>42545</xdr:rowOff>
    </xdr:from>
    <xdr:to>
      <xdr:col>3</xdr:col>
      <xdr:colOff>1821180</xdr:colOff>
      <xdr:row>48</xdr:row>
      <xdr:rowOff>180340</xdr:rowOff>
    </xdr:to>
    <xdr:pic>
      <xdr:nvPicPr>
        <xdr:cNvPr id="4" name="Image 1">
          <a:extLst>
            <a:ext uri="{FF2B5EF4-FFF2-40B4-BE49-F238E27FC236}">
              <a16:creationId xmlns:a16="http://schemas.microsoft.com/office/drawing/2014/main" id="{C9166BC7-D244-42A2-A100-5E8991E90274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2336800" y="9386570"/>
          <a:ext cx="0" cy="709295"/>
        </a:xfrm>
        <a:prstGeom prst="rect">
          <a:avLst/>
        </a:prstGeom>
      </xdr:spPr>
    </xdr:pic>
    <xdr:clientData/>
  </xdr:twoCellAnchor>
  <xdr:twoCellAnchor>
    <xdr:from>
      <xdr:col>4</xdr:col>
      <xdr:colOff>495935</xdr:colOff>
      <xdr:row>45</xdr:row>
      <xdr:rowOff>38100</xdr:rowOff>
    </xdr:from>
    <xdr:to>
      <xdr:col>4</xdr:col>
      <xdr:colOff>1104265</xdr:colOff>
      <xdr:row>48</xdr:row>
      <xdr:rowOff>180975</xdr:rowOff>
    </xdr:to>
    <xdr:pic>
      <xdr:nvPicPr>
        <xdr:cNvPr id="5" name="Image 1">
          <a:extLst>
            <a:ext uri="{FF2B5EF4-FFF2-40B4-BE49-F238E27FC236}">
              <a16:creationId xmlns:a16="http://schemas.microsoft.com/office/drawing/2014/main" id="{8620D657-3CED-4245-9BB8-C39EF4BDE5EC}"/>
            </a:ext>
          </a:extLst>
        </xdr:cNvPr>
        <xdr:cNvPicPr/>
      </xdr:nvPicPr>
      <xdr:blipFill>
        <a:blip xmlns:r="http://schemas.openxmlformats.org/officeDocument/2006/relationships" r:embed="rId4" cstate="print"/>
        <a:srcRect l="7055" t="10257" r="8648" b="8696"/>
        <a:stretch>
          <a:fillRect/>
        </a:stretch>
      </xdr:blipFill>
      <xdr:spPr>
        <a:xfrm>
          <a:off x="2829560" y="9382125"/>
          <a:ext cx="608330" cy="714375"/>
        </a:xfrm>
        <a:prstGeom prst="rect">
          <a:avLst/>
        </a:prstGeom>
      </xdr:spPr>
    </xdr:pic>
    <xdr:clientData/>
  </xdr:twoCellAnchor>
  <xdr:twoCellAnchor>
    <xdr:from>
      <xdr:col>5</xdr:col>
      <xdr:colOff>19050</xdr:colOff>
      <xdr:row>45</xdr:row>
      <xdr:rowOff>85725</xdr:rowOff>
    </xdr:from>
    <xdr:to>
      <xdr:col>5</xdr:col>
      <xdr:colOff>620395</xdr:colOff>
      <xdr:row>49</xdr:row>
      <xdr:rowOff>12700</xdr:rowOff>
    </xdr:to>
    <xdr:pic>
      <xdr:nvPicPr>
        <xdr:cNvPr id="6" name="Image 1">
          <a:extLst>
            <a:ext uri="{FF2B5EF4-FFF2-40B4-BE49-F238E27FC236}">
              <a16:creationId xmlns:a16="http://schemas.microsoft.com/office/drawing/2014/main" id="{C5FA09B9-3BDF-4A70-BCA5-59604945FB34}"/>
            </a:ext>
          </a:extLst>
        </xdr:cNvPr>
        <xdr:cNvPicPr/>
      </xdr:nvPicPr>
      <xdr:blipFill>
        <a:blip xmlns:r="http://schemas.openxmlformats.org/officeDocument/2006/relationships" r:embed="rId5" cstate="print"/>
        <a:srcRect l="7876" t="9155" r="10759"/>
        <a:stretch>
          <a:fillRect/>
        </a:stretch>
      </xdr:blipFill>
      <xdr:spPr>
        <a:xfrm>
          <a:off x="4048125" y="9429750"/>
          <a:ext cx="601345" cy="688975"/>
        </a:xfrm>
        <a:prstGeom prst="rect">
          <a:avLst/>
        </a:prstGeom>
      </xdr:spPr>
    </xdr:pic>
    <xdr:clientData/>
  </xdr:twoCellAnchor>
  <xdr:twoCellAnchor>
    <xdr:from>
      <xdr:col>6</xdr:col>
      <xdr:colOff>47625</xdr:colOff>
      <xdr:row>45</xdr:row>
      <xdr:rowOff>47625</xdr:rowOff>
    </xdr:from>
    <xdr:to>
      <xdr:col>6</xdr:col>
      <xdr:colOff>638175</xdr:colOff>
      <xdr:row>49</xdr:row>
      <xdr:rowOff>30480</xdr:rowOff>
    </xdr:to>
    <xdr:pic>
      <xdr:nvPicPr>
        <xdr:cNvPr id="7" name="Image 1">
          <a:extLst>
            <a:ext uri="{FF2B5EF4-FFF2-40B4-BE49-F238E27FC236}">
              <a16:creationId xmlns:a16="http://schemas.microsoft.com/office/drawing/2014/main" id="{473B47F0-1127-4DAE-9992-F32A9BD06EBD}"/>
            </a:ext>
          </a:extLst>
        </xdr:cNvPr>
        <xdr:cNvPicPr/>
      </xdr:nvPicPr>
      <xdr:blipFill>
        <a:blip xmlns:r="http://schemas.openxmlformats.org/officeDocument/2006/relationships" r:embed="rId6" cstate="print"/>
        <a:srcRect l="10346" r="24429"/>
        <a:stretch>
          <a:fillRect/>
        </a:stretch>
      </xdr:blipFill>
      <xdr:spPr>
        <a:xfrm>
          <a:off x="4819650" y="9391650"/>
          <a:ext cx="590550" cy="744855"/>
        </a:xfrm>
        <a:prstGeom prst="rect">
          <a:avLst/>
        </a:prstGeom>
      </xdr:spPr>
    </xdr:pic>
    <xdr:clientData/>
  </xdr:twoCellAnchor>
  <xdr:twoCellAnchor>
    <xdr:from>
      <xdr:col>3</xdr:col>
      <xdr:colOff>57150</xdr:colOff>
      <xdr:row>45</xdr:row>
      <xdr:rowOff>28575</xdr:rowOff>
    </xdr:from>
    <xdr:to>
      <xdr:col>3</xdr:col>
      <xdr:colOff>770255</xdr:colOff>
      <xdr:row>48</xdr:row>
      <xdr:rowOff>166370</xdr:rowOff>
    </xdr:to>
    <xdr:pic>
      <xdr:nvPicPr>
        <xdr:cNvPr id="8" name="Image 1">
          <a:extLst>
            <a:ext uri="{FF2B5EF4-FFF2-40B4-BE49-F238E27FC236}">
              <a16:creationId xmlns:a16="http://schemas.microsoft.com/office/drawing/2014/main" id="{DF6725C8-7551-4182-BA0D-E64D2F730952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533525" y="9372600"/>
          <a:ext cx="713105" cy="7092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workbookViewId="0">
      <selection sqref="A1:XFD1048576"/>
    </sheetView>
  </sheetViews>
  <sheetFormatPr defaultColWidth="9" defaultRowHeight="15"/>
  <cols>
    <col min="1" max="1" width="6.85546875" customWidth="1"/>
    <col min="2" max="2" width="3.42578125" customWidth="1"/>
    <col min="3" max="3" width="11.85546875" customWidth="1"/>
    <col min="4" max="4" width="12.85546875" customWidth="1"/>
    <col min="5" max="5" width="17.28515625" customWidth="1"/>
    <col min="6" max="6" width="15.42578125" customWidth="1"/>
    <col min="7" max="7" width="15.28515625" customWidth="1"/>
    <col min="8" max="8" width="2.5703125" customWidth="1"/>
  </cols>
  <sheetData>
    <row r="1" spans="1:7">
      <c r="A1" s="38" t="s">
        <v>0</v>
      </c>
      <c r="B1" s="38"/>
      <c r="C1" s="38"/>
      <c r="D1" s="38"/>
      <c r="E1" s="38"/>
      <c r="F1" s="38"/>
      <c r="G1" s="38"/>
    </row>
    <row r="2" spans="1:7">
      <c r="A2" s="29" t="s">
        <v>1</v>
      </c>
      <c r="B2" s="29"/>
      <c r="C2" s="29"/>
      <c r="D2" s="29"/>
      <c r="E2" s="29"/>
      <c r="F2" s="29"/>
      <c r="G2" s="29"/>
    </row>
    <row r="3" spans="1:7">
      <c r="A3" s="29" t="s">
        <v>2</v>
      </c>
      <c r="B3" s="29"/>
      <c r="C3" s="29"/>
      <c r="D3" s="29"/>
      <c r="E3" s="29"/>
      <c r="F3" s="29"/>
      <c r="G3" s="29"/>
    </row>
    <row r="4" spans="1:7">
      <c r="A4" s="29" t="s">
        <v>3</v>
      </c>
      <c r="B4" s="29"/>
      <c r="C4" s="29"/>
      <c r="D4" s="29"/>
      <c r="E4" s="29"/>
      <c r="F4" s="29"/>
      <c r="G4" s="29"/>
    </row>
    <row r="5" spans="1:7">
      <c r="A5" s="2"/>
      <c r="B5" s="2"/>
      <c r="C5" s="2"/>
      <c r="D5" s="2"/>
      <c r="E5" s="2"/>
      <c r="F5" s="2"/>
      <c r="G5" s="2"/>
    </row>
    <row r="6" spans="1:7">
      <c r="A6" s="1"/>
      <c r="B6" s="1"/>
      <c r="C6" s="1"/>
      <c r="D6" s="1"/>
      <c r="E6" s="1"/>
      <c r="F6" s="1"/>
      <c r="G6" s="1"/>
    </row>
    <row r="7" spans="1:7">
      <c r="A7" s="38" t="s">
        <v>4</v>
      </c>
      <c r="B7" s="38"/>
      <c r="C7" s="38"/>
      <c r="D7" s="38"/>
      <c r="E7" s="38"/>
      <c r="F7" s="38"/>
      <c r="G7" s="38"/>
    </row>
    <row r="8" spans="1:7">
      <c r="A8" s="29" t="s">
        <v>5</v>
      </c>
      <c r="B8" s="29"/>
      <c r="C8" s="29"/>
      <c r="D8" s="29"/>
      <c r="E8" s="29"/>
      <c r="F8" s="29"/>
      <c r="G8" s="29"/>
    </row>
    <row r="10" spans="1:7">
      <c r="A10" s="30" t="s">
        <v>6</v>
      </c>
      <c r="B10" s="32" t="s">
        <v>7</v>
      </c>
      <c r="C10" s="33"/>
      <c r="D10" s="33"/>
      <c r="E10" s="34"/>
      <c r="F10" s="3" t="s">
        <v>8</v>
      </c>
      <c r="G10" s="3" t="s">
        <v>9</v>
      </c>
    </row>
    <row r="11" spans="1:7">
      <c r="A11" s="31"/>
      <c r="B11" s="35"/>
      <c r="C11" s="36"/>
      <c r="D11" s="36"/>
      <c r="E11" s="37"/>
      <c r="F11" s="4" t="s">
        <v>10</v>
      </c>
      <c r="G11" s="4" t="s">
        <v>10</v>
      </c>
    </row>
    <row r="12" spans="1:7">
      <c r="A12" s="27" t="s">
        <v>11</v>
      </c>
      <c r="B12" s="5" t="s">
        <v>12</v>
      </c>
      <c r="C12" s="6"/>
      <c r="D12" s="6"/>
      <c r="E12" s="6"/>
      <c r="F12" s="7">
        <v>9924394</v>
      </c>
      <c r="G12" s="7"/>
    </row>
    <row r="13" spans="1:7">
      <c r="A13" s="28" t="s">
        <v>13</v>
      </c>
      <c r="B13" s="8" t="s">
        <v>14</v>
      </c>
      <c r="C13" s="9"/>
      <c r="D13" s="9"/>
      <c r="E13" s="9"/>
      <c r="F13" s="10">
        <v>2314065</v>
      </c>
      <c r="G13" s="10"/>
    </row>
    <row r="14" spans="1:7">
      <c r="A14" s="28" t="s">
        <v>15</v>
      </c>
      <c r="B14" s="8" t="s">
        <v>16</v>
      </c>
      <c r="C14" s="9"/>
      <c r="D14" s="9"/>
      <c r="E14" s="9"/>
      <c r="F14" s="10"/>
      <c r="G14" s="10"/>
    </row>
    <row r="15" spans="1:7">
      <c r="A15" s="11"/>
      <c r="B15" s="8"/>
      <c r="C15" s="9"/>
      <c r="D15" s="9"/>
      <c r="E15" s="9"/>
      <c r="F15" s="10"/>
      <c r="G15" s="10"/>
    </row>
    <row r="16" spans="1:7">
      <c r="A16" s="11"/>
      <c r="B16" s="8"/>
      <c r="C16" s="9"/>
      <c r="D16" s="9"/>
      <c r="E16" s="9"/>
      <c r="F16" s="10"/>
      <c r="G16" s="10"/>
    </row>
    <row r="17" spans="1:7">
      <c r="A17" s="11"/>
      <c r="B17" s="8"/>
      <c r="C17" s="9"/>
      <c r="D17" s="9"/>
      <c r="E17" s="9"/>
      <c r="F17" s="10"/>
      <c r="G17" s="10"/>
    </row>
    <row r="18" spans="1:7">
      <c r="A18" s="11"/>
      <c r="B18" s="8"/>
      <c r="C18" s="9"/>
      <c r="D18" s="9"/>
      <c r="E18" s="9"/>
      <c r="F18" s="10"/>
      <c r="G18" s="10"/>
    </row>
    <row r="19" spans="1:7">
      <c r="A19" s="11"/>
      <c r="B19" s="8"/>
      <c r="C19" s="9"/>
      <c r="D19" s="9"/>
      <c r="E19" s="9"/>
      <c r="F19" s="10"/>
      <c r="G19" s="10"/>
    </row>
    <row r="20" spans="1:7">
      <c r="A20" s="11"/>
      <c r="B20" s="8"/>
      <c r="C20" s="9"/>
      <c r="D20" s="9"/>
      <c r="E20" s="9"/>
      <c r="F20" s="10"/>
      <c r="G20" s="10"/>
    </row>
    <row r="21" spans="1:7">
      <c r="A21" s="11"/>
      <c r="B21" s="8"/>
      <c r="C21" s="9"/>
      <c r="D21" s="9"/>
      <c r="E21" s="9"/>
      <c r="F21" s="10"/>
      <c r="G21" s="10"/>
    </row>
    <row r="22" spans="1:7">
      <c r="A22" s="11"/>
      <c r="B22" s="8"/>
      <c r="C22" s="9"/>
      <c r="D22" s="9"/>
      <c r="E22" s="9"/>
      <c r="F22" s="10"/>
      <c r="G22" s="10"/>
    </row>
    <row r="23" spans="1:7">
      <c r="A23" s="11"/>
      <c r="B23" s="8"/>
      <c r="C23" s="9"/>
      <c r="D23" s="9"/>
      <c r="E23" s="9"/>
      <c r="F23" s="10"/>
      <c r="G23" s="10"/>
    </row>
    <row r="24" spans="1:7">
      <c r="A24" s="11"/>
      <c r="B24" s="8"/>
      <c r="C24" s="9"/>
      <c r="D24" s="9"/>
      <c r="E24" s="9"/>
      <c r="F24" s="10"/>
      <c r="G24" s="10"/>
    </row>
    <row r="25" spans="1:7">
      <c r="A25" s="11"/>
      <c r="B25" s="8"/>
      <c r="C25" s="9"/>
      <c r="D25" s="9"/>
      <c r="E25" s="9"/>
      <c r="F25" s="10"/>
      <c r="G25" s="10"/>
    </row>
    <row r="26" spans="1:7">
      <c r="A26" s="11"/>
      <c r="B26" s="8"/>
      <c r="C26" s="9"/>
      <c r="D26" s="9"/>
      <c r="E26" s="9"/>
      <c r="F26" s="10"/>
      <c r="G26" s="10"/>
    </row>
    <row r="27" spans="1:7">
      <c r="A27" s="11"/>
      <c r="B27" s="8"/>
      <c r="C27" s="9"/>
      <c r="D27" s="9"/>
      <c r="E27" s="9"/>
      <c r="F27" s="10"/>
      <c r="G27" s="10"/>
    </row>
    <row r="28" spans="1:7">
      <c r="A28" s="11"/>
      <c r="B28" s="8"/>
      <c r="C28" s="9"/>
      <c r="D28" s="9"/>
      <c r="E28" s="9"/>
      <c r="F28" s="10"/>
      <c r="G28" s="10"/>
    </row>
    <row r="29" spans="1:7">
      <c r="A29" s="11"/>
      <c r="B29" s="8"/>
      <c r="C29" s="9"/>
      <c r="D29" s="9"/>
      <c r="E29" s="9"/>
      <c r="F29" s="10"/>
      <c r="G29" s="10"/>
    </row>
    <row r="30" spans="1:7">
      <c r="A30" s="11"/>
      <c r="B30" s="8"/>
      <c r="C30" s="9"/>
      <c r="D30" s="9"/>
      <c r="E30" s="9"/>
      <c r="F30" s="10"/>
      <c r="G30" s="10"/>
    </row>
    <row r="31" spans="1:7">
      <c r="A31" s="11"/>
      <c r="B31" s="8"/>
      <c r="C31" s="9"/>
      <c r="D31" s="9"/>
      <c r="E31" s="9"/>
      <c r="F31" s="10"/>
      <c r="G31" s="10"/>
    </row>
    <row r="32" spans="1:7">
      <c r="A32" s="11"/>
      <c r="B32" s="8"/>
      <c r="C32" s="9"/>
      <c r="D32" s="9"/>
      <c r="E32" s="9"/>
      <c r="F32" s="11"/>
      <c r="G32" s="11"/>
    </row>
    <row r="33" spans="1:7">
      <c r="A33" s="11"/>
      <c r="B33" s="12"/>
      <c r="C33" s="13"/>
      <c r="D33" s="13"/>
      <c r="E33" s="13"/>
      <c r="F33" s="14"/>
      <c r="G33" s="14"/>
    </row>
    <row r="34" spans="1:7">
      <c r="A34" s="14"/>
      <c r="B34" s="15"/>
      <c r="C34" s="16" t="s">
        <v>17</v>
      </c>
      <c r="D34" s="16"/>
      <c r="E34" s="16"/>
      <c r="F34" s="17">
        <f>SUM(F12:F33)</f>
        <v>12238459</v>
      </c>
      <c r="G34" s="17">
        <f>SUM(G12:G33)</f>
        <v>0</v>
      </c>
    </row>
    <row r="35" spans="1:7">
      <c r="A35" s="11"/>
      <c r="B35" s="18"/>
      <c r="C35" s="19"/>
      <c r="D35" s="19"/>
      <c r="E35" s="19"/>
      <c r="F35" s="20"/>
      <c r="G35" s="20"/>
    </row>
    <row r="36" spans="1:7">
      <c r="A36" s="11"/>
      <c r="B36" s="15"/>
      <c r="C36" s="21" t="s">
        <v>18</v>
      </c>
      <c r="D36" s="21"/>
      <c r="E36" s="21"/>
      <c r="F36" s="22"/>
      <c r="G36" s="23">
        <f>G38-G34</f>
        <v>12238459</v>
      </c>
    </row>
    <row r="37" spans="1:7">
      <c r="A37" s="11"/>
      <c r="B37" s="24"/>
      <c r="F37" s="25"/>
      <c r="G37" s="25"/>
    </row>
    <row r="38" spans="1:7">
      <c r="A38" s="26"/>
      <c r="B38" s="15"/>
      <c r="C38" s="16" t="s">
        <v>17</v>
      </c>
      <c r="D38" s="16"/>
      <c r="E38" s="16"/>
      <c r="F38" s="17">
        <f>F34</f>
        <v>12238459</v>
      </c>
      <c r="G38" s="17">
        <f>F38</f>
        <v>12238459</v>
      </c>
    </row>
    <row r="40" spans="1:7">
      <c r="B40" s="29" t="s">
        <v>19</v>
      </c>
      <c r="C40" s="29"/>
      <c r="D40" s="29"/>
      <c r="E40" s="29"/>
      <c r="F40" s="29"/>
      <c r="G40" s="29"/>
    </row>
    <row r="41" spans="1:7">
      <c r="B41" s="29" t="s">
        <v>20</v>
      </c>
      <c r="C41" s="29"/>
      <c r="D41" s="29"/>
      <c r="E41" s="29"/>
      <c r="F41" s="29"/>
      <c r="G41" s="29"/>
    </row>
    <row r="42" spans="1:7">
      <c r="B42" t="s">
        <v>21</v>
      </c>
      <c r="D42" t="s">
        <v>22</v>
      </c>
      <c r="E42" t="s">
        <v>23</v>
      </c>
      <c r="F42" t="s">
        <v>24</v>
      </c>
      <c r="G42" t="s">
        <v>25</v>
      </c>
    </row>
    <row r="47" spans="1:7">
      <c r="B47" t="s">
        <v>26</v>
      </c>
      <c r="D47" t="s">
        <v>27</v>
      </c>
      <c r="E47" t="s">
        <v>28</v>
      </c>
      <c r="F47" t="s">
        <v>29</v>
      </c>
      <c r="G47" t="s">
        <v>30</v>
      </c>
    </row>
    <row r="51" spans="5:5">
      <c r="E51" s="1">
        <v>31</v>
      </c>
    </row>
  </sheetData>
  <mergeCells count="10">
    <mergeCell ref="A1:G1"/>
    <mergeCell ref="A2:G2"/>
    <mergeCell ref="A3:G3"/>
    <mergeCell ref="A4:G4"/>
    <mergeCell ref="A7:G7"/>
    <mergeCell ref="A8:G8"/>
    <mergeCell ref="B40:G40"/>
    <mergeCell ref="B41:G41"/>
    <mergeCell ref="A10:A11"/>
    <mergeCell ref="B10:E11"/>
  </mergeCells>
  <pageMargins left="1.2" right="0.7" top="0.75" bottom="0.25" header="0.3" footer="0.3"/>
  <pageSetup paperSize="5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4"/>
  <sheetViews>
    <sheetView tabSelected="1" zoomScale="120" zoomScaleNormal="120" workbookViewId="0">
      <selection activeCell="E54" sqref="E54"/>
    </sheetView>
  </sheetViews>
  <sheetFormatPr defaultColWidth="9" defaultRowHeight="15"/>
  <cols>
    <col min="1" max="1" width="6.85546875" customWidth="1"/>
    <col min="2" max="2" width="3.42578125" customWidth="1"/>
    <col min="3" max="3" width="11.85546875" customWidth="1"/>
    <col min="4" max="4" width="12.85546875" customWidth="1"/>
    <col min="5" max="5" width="17.28515625" customWidth="1"/>
    <col min="6" max="6" width="15.42578125" customWidth="1"/>
    <col min="7" max="7" width="15.28515625" customWidth="1"/>
    <col min="8" max="8" width="2.5703125" customWidth="1"/>
    <col min="12" max="14" width="9" customWidth="1"/>
    <col min="16" max="17" width="9" customWidth="1"/>
    <col min="19" max="19" width="9" customWidth="1"/>
  </cols>
  <sheetData>
    <row r="1" spans="1:7">
      <c r="A1" s="38" t="s">
        <v>0</v>
      </c>
      <c r="B1" s="38"/>
      <c r="C1" s="38"/>
      <c r="D1" s="38"/>
      <c r="E1" s="38"/>
      <c r="F1" s="38"/>
      <c r="G1" s="38"/>
    </row>
    <row r="2" spans="1:7">
      <c r="A2" s="29" t="s">
        <v>1</v>
      </c>
      <c r="B2" s="29"/>
      <c r="C2" s="29"/>
      <c r="D2" s="29"/>
      <c r="E2" s="29"/>
      <c r="F2" s="29"/>
      <c r="G2" s="29"/>
    </row>
    <row r="3" spans="1:7">
      <c r="A3" s="29" t="s">
        <v>2</v>
      </c>
      <c r="B3" s="29"/>
      <c r="C3" s="29"/>
      <c r="D3" s="29"/>
      <c r="E3" s="29"/>
      <c r="F3" s="29"/>
      <c r="G3" s="29"/>
    </row>
    <row r="4" spans="1:7">
      <c r="A4" s="29" t="s">
        <v>3</v>
      </c>
      <c r="B4" s="29"/>
      <c r="C4" s="29"/>
      <c r="D4" s="29"/>
      <c r="E4" s="29"/>
      <c r="F4" s="29"/>
      <c r="G4" s="29"/>
    </row>
    <row r="5" spans="1:7">
      <c r="A5" s="2"/>
      <c r="B5" s="2"/>
      <c r="C5" s="2"/>
      <c r="D5" s="2"/>
      <c r="E5" s="2"/>
      <c r="F5" s="2"/>
      <c r="G5" s="2"/>
    </row>
    <row r="6" spans="1:7">
      <c r="A6" s="1"/>
      <c r="B6" s="1"/>
      <c r="C6" s="1"/>
      <c r="D6" s="1"/>
      <c r="E6" s="1"/>
      <c r="F6" s="1"/>
      <c r="G6" s="1"/>
    </row>
    <row r="7" spans="1:7">
      <c r="A7" s="38" t="s">
        <v>4</v>
      </c>
      <c r="B7" s="38"/>
      <c r="C7" s="38"/>
      <c r="D7" s="38"/>
      <c r="E7" s="38"/>
      <c r="F7" s="38"/>
      <c r="G7" s="38"/>
    </row>
    <row r="8" spans="1:7">
      <c r="A8" s="29" t="s">
        <v>32</v>
      </c>
      <c r="B8" s="29"/>
      <c r="C8" s="29"/>
      <c r="D8" s="29"/>
      <c r="E8" s="29"/>
      <c r="F8" s="29"/>
      <c r="G8" s="29"/>
    </row>
    <row r="10" spans="1:7">
      <c r="A10" s="30" t="s">
        <v>6</v>
      </c>
      <c r="B10" s="30" t="s">
        <v>7</v>
      </c>
      <c r="C10" s="30"/>
      <c r="D10" s="30"/>
      <c r="E10" s="30"/>
      <c r="F10" s="3" t="s">
        <v>8</v>
      </c>
      <c r="G10" s="3" t="s">
        <v>9</v>
      </c>
    </row>
    <row r="11" spans="1:7">
      <c r="A11" s="31"/>
      <c r="B11" s="31"/>
      <c r="C11" s="31"/>
      <c r="D11" s="31"/>
      <c r="E11" s="31"/>
      <c r="F11" s="4" t="s">
        <v>10</v>
      </c>
      <c r="G11" s="4" t="s">
        <v>10</v>
      </c>
    </row>
    <row r="12" spans="1:7">
      <c r="A12" s="39" t="s">
        <v>11</v>
      </c>
      <c r="B12" s="5" t="s">
        <v>33</v>
      </c>
      <c r="C12" s="6"/>
      <c r="D12" s="6"/>
      <c r="E12" s="44"/>
      <c r="F12" s="40">
        <v>9265478</v>
      </c>
      <c r="G12" s="40"/>
    </row>
    <row r="13" spans="1:7">
      <c r="A13" s="41" t="s">
        <v>13</v>
      </c>
      <c r="B13" s="8" t="s">
        <v>34</v>
      </c>
      <c r="C13" s="9"/>
      <c r="D13" s="9"/>
      <c r="E13" s="43"/>
      <c r="F13" s="42">
        <v>1476998</v>
      </c>
      <c r="G13" s="42"/>
    </row>
    <row r="14" spans="1:7">
      <c r="A14" s="41" t="s">
        <v>35</v>
      </c>
      <c r="B14" s="8" t="s">
        <v>39</v>
      </c>
      <c r="C14" s="9"/>
      <c r="D14" s="9"/>
      <c r="E14" s="43"/>
      <c r="F14" s="42">
        <v>2152750</v>
      </c>
      <c r="G14" s="42"/>
    </row>
    <row r="15" spans="1:7">
      <c r="A15" s="41" t="s">
        <v>36</v>
      </c>
      <c r="B15" s="8" t="s">
        <v>16</v>
      </c>
      <c r="C15" s="9"/>
      <c r="D15" s="9"/>
      <c r="E15" s="43"/>
      <c r="F15" s="42"/>
      <c r="G15" s="42"/>
    </row>
    <row r="16" spans="1:7">
      <c r="A16" s="8"/>
      <c r="B16" s="8" t="s">
        <v>40</v>
      </c>
      <c r="C16" s="9"/>
      <c r="D16" s="9"/>
      <c r="E16" s="43"/>
      <c r="F16" s="42"/>
      <c r="G16" s="42">
        <v>75000</v>
      </c>
    </row>
    <row r="17" spans="1:7">
      <c r="A17" s="8"/>
      <c r="B17" s="8" t="s">
        <v>41</v>
      </c>
      <c r="C17" s="9"/>
      <c r="D17" s="9"/>
      <c r="E17" s="43"/>
      <c r="F17" s="42"/>
      <c r="G17" s="42">
        <v>1037500</v>
      </c>
    </row>
    <row r="18" spans="1:7">
      <c r="A18" s="8"/>
      <c r="B18" s="8" t="s">
        <v>42</v>
      </c>
      <c r="C18" s="9"/>
      <c r="D18" s="9"/>
      <c r="E18" s="43"/>
      <c r="F18" s="42"/>
      <c r="G18" s="42">
        <v>400000</v>
      </c>
    </row>
    <row r="19" spans="1:7">
      <c r="A19" s="8"/>
      <c r="B19" s="8" t="s">
        <v>43</v>
      </c>
      <c r="C19" s="9"/>
      <c r="D19" s="9"/>
      <c r="E19" s="43"/>
      <c r="F19" s="42"/>
      <c r="G19" s="42">
        <v>400000</v>
      </c>
    </row>
    <row r="20" spans="1:7">
      <c r="A20" s="8"/>
      <c r="B20" s="8" t="s">
        <v>44</v>
      </c>
      <c r="C20" s="9"/>
      <c r="D20" s="9"/>
      <c r="E20" s="43"/>
      <c r="F20" s="42"/>
      <c r="G20" s="42">
        <v>16000</v>
      </c>
    </row>
    <row r="21" spans="1:7">
      <c r="A21" s="8"/>
      <c r="B21" s="8" t="s">
        <v>45</v>
      </c>
      <c r="C21" s="9"/>
      <c r="D21" s="9"/>
      <c r="E21" s="43"/>
      <c r="F21" s="43"/>
      <c r="G21" s="42">
        <v>1599000</v>
      </c>
    </row>
    <row r="22" spans="1:7">
      <c r="A22" s="8"/>
      <c r="B22" s="8" t="s">
        <v>46</v>
      </c>
      <c r="C22" s="9"/>
      <c r="D22" s="9"/>
      <c r="E22" s="43"/>
      <c r="F22" s="42"/>
      <c r="G22" s="42">
        <v>433500</v>
      </c>
    </row>
    <row r="23" spans="1:7">
      <c r="A23" s="8"/>
      <c r="B23" s="8" t="s">
        <v>47</v>
      </c>
      <c r="C23" s="9"/>
      <c r="D23" s="9"/>
      <c r="E23" s="43"/>
      <c r="F23" s="42"/>
      <c r="G23" s="42">
        <v>1071500</v>
      </c>
    </row>
    <row r="24" spans="1:7">
      <c r="A24" s="8"/>
      <c r="B24" s="8" t="s">
        <v>48</v>
      </c>
      <c r="C24" s="9"/>
      <c r="D24" s="9"/>
      <c r="E24" s="43"/>
      <c r="F24" s="42"/>
      <c r="G24" s="42">
        <v>220000</v>
      </c>
    </row>
    <row r="25" spans="1:7">
      <c r="A25" s="8"/>
      <c r="B25" s="8"/>
      <c r="C25" s="9"/>
      <c r="D25" s="9"/>
      <c r="E25" s="43"/>
      <c r="F25" s="42"/>
      <c r="G25" s="42"/>
    </row>
    <row r="26" spans="1:7">
      <c r="A26" s="8"/>
      <c r="B26" s="8"/>
      <c r="C26" s="9"/>
      <c r="D26" s="9"/>
      <c r="E26" s="43"/>
      <c r="F26" s="42"/>
      <c r="G26" s="42"/>
    </row>
    <row r="27" spans="1:7">
      <c r="A27" s="8"/>
      <c r="B27" s="8"/>
      <c r="C27" s="9"/>
      <c r="D27" s="9"/>
      <c r="E27" s="43"/>
      <c r="F27" s="42"/>
      <c r="G27" s="42"/>
    </row>
    <row r="28" spans="1:7">
      <c r="A28" s="8"/>
      <c r="B28" s="8"/>
      <c r="C28" s="9"/>
      <c r="D28" s="9"/>
      <c r="E28" s="43"/>
      <c r="F28" s="42"/>
      <c r="G28" s="42"/>
    </row>
    <row r="29" spans="1:7">
      <c r="A29" s="8"/>
      <c r="B29" s="8"/>
      <c r="C29" s="9"/>
      <c r="D29" s="9"/>
      <c r="E29" s="43"/>
      <c r="F29" s="42"/>
      <c r="G29" s="42"/>
    </row>
    <row r="30" spans="1:7">
      <c r="A30" s="8"/>
      <c r="B30" s="8"/>
      <c r="C30" s="9"/>
      <c r="D30" s="9"/>
      <c r="E30" s="43"/>
      <c r="F30" s="42"/>
      <c r="G30" s="42"/>
    </row>
    <row r="31" spans="1:7">
      <c r="A31" s="8"/>
      <c r="B31" s="8"/>
      <c r="C31" s="9"/>
      <c r="D31" s="9"/>
      <c r="E31" s="43"/>
      <c r="F31" s="42"/>
      <c r="G31" s="42"/>
    </row>
    <row r="32" spans="1:7">
      <c r="A32" s="8"/>
      <c r="B32" s="8"/>
      <c r="C32" s="9"/>
      <c r="D32" s="9"/>
      <c r="E32" s="43"/>
      <c r="F32" s="42"/>
      <c r="G32" s="42"/>
    </row>
    <row r="33" spans="1:7">
      <c r="A33" s="8"/>
      <c r="B33" s="8"/>
      <c r="C33" s="9"/>
      <c r="D33" s="9"/>
      <c r="E33" s="43"/>
      <c r="F33" s="42"/>
      <c r="G33" s="42"/>
    </row>
    <row r="34" spans="1:7">
      <c r="A34" s="8"/>
      <c r="B34" s="8"/>
      <c r="C34" s="9"/>
      <c r="D34" s="9"/>
      <c r="E34" s="43"/>
      <c r="F34" s="42"/>
      <c r="G34" s="42"/>
    </row>
    <row r="35" spans="1:7">
      <c r="A35" s="8"/>
      <c r="B35" s="8"/>
      <c r="C35" s="9"/>
      <c r="D35" s="9"/>
      <c r="E35" s="43"/>
      <c r="F35" s="43"/>
      <c r="G35" s="43"/>
    </row>
    <row r="36" spans="1:7">
      <c r="A36" s="12"/>
      <c r="B36" s="12"/>
      <c r="C36" s="13"/>
      <c r="D36" s="13"/>
      <c r="E36" s="45"/>
      <c r="F36" s="45"/>
      <c r="G36" s="45"/>
    </row>
    <row r="37" spans="1:7">
      <c r="A37" s="15"/>
      <c r="B37" s="15"/>
      <c r="C37" s="16" t="s">
        <v>17</v>
      </c>
      <c r="D37" s="16"/>
      <c r="E37" s="46"/>
      <c r="F37" s="47">
        <f>SUM(F12:F36)</f>
        <v>12895226</v>
      </c>
      <c r="G37" s="47">
        <f>SUM(G16:G36)</f>
        <v>5252500</v>
      </c>
    </row>
    <row r="38" spans="1:7">
      <c r="A38" s="15"/>
      <c r="B38" s="15"/>
      <c r="C38" s="16"/>
      <c r="D38" s="16"/>
      <c r="E38" s="46"/>
      <c r="F38" s="46"/>
      <c r="G38" s="46"/>
    </row>
    <row r="39" spans="1:7">
      <c r="A39" s="15"/>
      <c r="B39" s="15"/>
      <c r="C39" s="21" t="s">
        <v>38</v>
      </c>
      <c r="D39" s="21"/>
      <c r="E39" s="48"/>
      <c r="F39" s="46"/>
      <c r="G39" s="49">
        <f>SUM(F37-G37)</f>
        <v>7642726</v>
      </c>
    </row>
    <row r="40" spans="1:7">
      <c r="A40" s="15"/>
      <c r="B40" s="15"/>
      <c r="C40" s="16"/>
      <c r="D40" s="16"/>
      <c r="E40" s="46"/>
      <c r="F40" s="46"/>
      <c r="G40" s="46"/>
    </row>
    <row r="41" spans="1:7">
      <c r="A41" s="15"/>
      <c r="B41" s="15"/>
      <c r="C41" s="16" t="s">
        <v>17</v>
      </c>
      <c r="D41" s="16"/>
      <c r="E41" s="46"/>
      <c r="F41" s="47">
        <f>F37</f>
        <v>12895226</v>
      </c>
      <c r="G41" s="47">
        <f>F41</f>
        <v>12895226</v>
      </c>
    </row>
    <row r="43" spans="1:7">
      <c r="B43" s="29" t="s">
        <v>37</v>
      </c>
      <c r="C43" s="29"/>
      <c r="D43" s="29"/>
      <c r="E43" s="29"/>
      <c r="F43" s="29"/>
      <c r="G43" s="29"/>
    </row>
    <row r="44" spans="1:7">
      <c r="B44" s="29" t="s">
        <v>20</v>
      </c>
      <c r="C44" s="29"/>
      <c r="D44" s="29"/>
      <c r="E44" s="29"/>
      <c r="F44" s="29"/>
      <c r="G44" s="29"/>
    </row>
    <row r="45" spans="1:7">
      <c r="B45" s="50" t="s">
        <v>49</v>
      </c>
      <c r="E45" s="51" t="s">
        <v>23</v>
      </c>
      <c r="F45" s="52" t="s">
        <v>24</v>
      </c>
      <c r="G45" s="53" t="s">
        <v>25</v>
      </c>
    </row>
    <row r="46" spans="1:7">
      <c r="B46" s="54"/>
      <c r="E46" s="51"/>
      <c r="F46" s="52"/>
      <c r="G46" s="53"/>
    </row>
    <row r="47" spans="1:7">
      <c r="B47" s="54"/>
      <c r="E47" s="51"/>
      <c r="F47" s="52"/>
      <c r="G47" s="53"/>
    </row>
    <row r="48" spans="1:7">
      <c r="B48" s="54"/>
      <c r="E48" s="51"/>
      <c r="F48" s="52"/>
      <c r="G48" s="53"/>
    </row>
    <row r="49" spans="2:7">
      <c r="B49" s="54"/>
      <c r="E49" s="51"/>
      <c r="F49" s="52"/>
      <c r="G49" s="53"/>
    </row>
    <row r="50" spans="2:7">
      <c r="B50" s="50" t="s">
        <v>50</v>
      </c>
      <c r="E50" s="51" t="s">
        <v>28</v>
      </c>
      <c r="F50" s="52" t="s">
        <v>29</v>
      </c>
      <c r="G50" s="53" t="s">
        <v>31</v>
      </c>
    </row>
    <row r="54" spans="2:7">
      <c r="E54" s="1">
        <v>35</v>
      </c>
    </row>
  </sheetData>
  <mergeCells count="10">
    <mergeCell ref="A1:G1"/>
    <mergeCell ref="A2:G2"/>
    <mergeCell ref="A3:G3"/>
    <mergeCell ref="A4:G4"/>
    <mergeCell ref="A7:G7"/>
    <mergeCell ref="A8:G8"/>
    <mergeCell ref="B43:G43"/>
    <mergeCell ref="B44:G44"/>
    <mergeCell ref="A10:A11"/>
    <mergeCell ref="B10:E11"/>
  </mergeCells>
  <pageMargins left="1.2" right="0.69930555555555596" top="0.75" bottom="0.75" header="0.3" footer="0.3"/>
  <pageSetup paperSize="5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2020</vt:lpstr>
      <vt:lpstr>2023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 P2420L</dc:creator>
  <cp:lastModifiedBy>ASUS</cp:lastModifiedBy>
  <cp:lastPrinted>2026-02-09T15:18:19Z</cp:lastPrinted>
  <dcterms:created xsi:type="dcterms:W3CDTF">2020-04-06T10:17:00Z</dcterms:created>
  <dcterms:modified xsi:type="dcterms:W3CDTF">2026-02-09T17:20:31Z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0EBD3BE1D2B849F7BC9AB25272A7DE7B_12</vt:lpwstr>
  </property>
  <property fmtid="{D5CDD505-2E9C-101B-9397-08002B2CF9AE}" pid="3" name="KSOProductBuildVer">
    <vt:lpwstr>1033-12.2.0.13538</vt:lpwstr>
  </property>
</Properties>
</file>