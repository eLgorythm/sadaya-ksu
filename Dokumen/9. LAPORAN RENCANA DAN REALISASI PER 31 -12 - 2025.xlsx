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DOKUMEN KSU CAHAYA DHAMMA PHALA 2025\BUKU  LAPORAN  PERTANGGUNGJAWABAN  TAHUN BUKU 2025\RISALAH  KSU CAHAYA DHAMMA PHALA PER 31 DES 2025\"/>
    </mc:Choice>
  </mc:AlternateContent>
  <xr:revisionPtr revIDLastSave="0" documentId="13_ncr:1_{D7DA8944-9695-4CA9-A66F-4DE208EA00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1" l="1"/>
  <c r="J23" i="1"/>
  <c r="I23" i="1"/>
  <c r="H23" i="1"/>
  <c r="G23" i="1"/>
  <c r="F23" i="1"/>
  <c r="E23" i="1"/>
  <c r="D23" i="1"/>
</calcChain>
</file>

<file path=xl/sharedStrings.xml><?xml version="1.0" encoding="utf-8"?>
<sst xmlns="http://schemas.openxmlformats.org/spreadsheetml/2006/main" count="57" uniqueCount="44">
  <si>
    <t>LAPORAN  RENCANA  DAN  REALISASI  BELANJA</t>
  </si>
  <si>
    <t>KSU  CAHAYA  DHAMMA  PHALA</t>
  </si>
  <si>
    <t>NO.</t>
  </si>
  <si>
    <t>URAIAN  BELANJA</t>
  </si>
  <si>
    <t>TAHUN  2024</t>
  </si>
  <si>
    <t>TAHUN  2023</t>
  </si>
  <si>
    <t>TAHUN  2022</t>
  </si>
  <si>
    <t>Rencana</t>
  </si>
  <si>
    <t>Realisasi</t>
  </si>
  <si>
    <t>I.</t>
  </si>
  <si>
    <t>Biaya Rapat</t>
  </si>
  <si>
    <t>1.</t>
  </si>
  <si>
    <t>Rapat Pengurus Rutin</t>
  </si>
  <si>
    <t>2.</t>
  </si>
  <si>
    <t>Rapat Pengawas</t>
  </si>
  <si>
    <t>3.</t>
  </si>
  <si>
    <t>Rapat Gabungan</t>
  </si>
  <si>
    <t>II.</t>
  </si>
  <si>
    <t>Biaya Lembur dan ATK</t>
  </si>
  <si>
    <t>Lembur Pengurus</t>
  </si>
  <si>
    <t>Sarana Administrasi</t>
  </si>
  <si>
    <t>III.</t>
  </si>
  <si>
    <t>Biaya Pembinaan dan Transportasi</t>
  </si>
  <si>
    <t>Pembinaan</t>
  </si>
  <si>
    <t>Transport Pengurus/Pengawas</t>
  </si>
  <si>
    <t>IV.</t>
  </si>
  <si>
    <t>Biaya Jasa dan RAT</t>
  </si>
  <si>
    <t>Jasa Simpanan Manasuka</t>
  </si>
  <si>
    <t>Biaya RAT</t>
  </si>
  <si>
    <t>Jumlah</t>
  </si>
  <si>
    <t>Pengurus KSU Cahaya Dhamma Phala</t>
  </si>
  <si>
    <t>Ketua</t>
  </si>
  <si>
    <t>Wakil Ketua</t>
  </si>
  <si>
    <t>Sekretaris</t>
  </si>
  <si>
    <t>Bendahara</t>
  </si>
  <si>
    <t>Waridi</t>
  </si>
  <si>
    <t>Juliyah</t>
  </si>
  <si>
    <t>Dwi Vijjayanti</t>
  </si>
  <si>
    <t>Oruwasaton</t>
  </si>
  <si>
    <t>Wanto</t>
  </si>
  <si>
    <t>Slamet Sutir</t>
  </si>
  <si>
    <t>Per 31 Desember  2025</t>
  </si>
  <si>
    <t>TAHUN  2022, 2023, 2024 DAN 2025</t>
  </si>
  <si>
    <t>Pembantu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</si>
</sst>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indexed="8"/>
      <name val="Calibri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/>
    <xf numFmtId="0" fontId="3" fillId="0" borderId="1" xfId="0" applyFont="1" applyBorder="1"/>
    <xf numFmtId="3" fontId="3" fillId="0" borderId="1" xfId="0" applyNumberFormat="1" applyFont="1" applyBorder="1"/>
    <xf numFmtId="3" fontId="0" fillId="0" borderId="1" xfId="0" applyNumberFormat="1" applyBorder="1" applyAlignment="1">
      <alignment horizontal="left"/>
    </xf>
    <xf numFmtId="3" fontId="0" fillId="0" borderId="1" xfId="0" applyNumberFormat="1" applyBorder="1"/>
    <xf numFmtId="3" fontId="0" fillId="0" borderId="1" xfId="0" applyNumberFormat="1" applyBorder="1" applyAlignment="1">
      <alignment horizontal="right"/>
    </xf>
    <xf numFmtId="3" fontId="0" fillId="0" borderId="0" xfId="0" applyNumberFormat="1"/>
    <xf numFmtId="49" fontId="0" fillId="0" borderId="0" xfId="0" applyNumberFormat="1"/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7"/>
    </xf>
    <xf numFmtId="0" fontId="3" fillId="0" borderId="0" xfId="0" applyFont="1" applyAlignment="1">
      <alignment horizontal="center"/>
    </xf>
    <xf numFmtId="3" fontId="4" fillId="0" borderId="4" xfId="0" applyNumberFormat="1" applyFont="1" applyBorder="1"/>
    <xf numFmtId="3" fontId="4" fillId="0" borderId="1" xfId="0" applyNumberFormat="1" applyFont="1" applyBorder="1"/>
    <xf numFmtId="3" fontId="5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942975</xdr:colOff>
      <xdr:row>26</xdr:row>
      <xdr:rowOff>47625</xdr:rowOff>
    </xdr:from>
    <xdr:to>
      <xdr:col>3</xdr:col>
      <xdr:colOff>161925</xdr:colOff>
      <xdr:row>29</xdr:row>
      <xdr:rowOff>123190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5029200"/>
          <a:ext cx="1047750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95250</xdr:colOff>
      <xdr:row>26</xdr:row>
      <xdr:rowOff>95250</xdr:rowOff>
    </xdr:from>
    <xdr:to>
      <xdr:col>4</xdr:col>
      <xdr:colOff>32385</xdr:colOff>
      <xdr:row>30</xdr:row>
      <xdr:rowOff>12700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33650" y="5076825"/>
          <a:ext cx="870585" cy="679450"/>
        </a:xfrm>
        <a:prstGeom prst="rect">
          <a:avLst/>
        </a:prstGeom>
      </xdr:spPr>
    </xdr:pic>
    <xdr:clientData/>
  </xdr:twoCellAnchor>
  <xdr:twoCellAnchor>
    <xdr:from>
      <xdr:col>4</xdr:col>
      <xdr:colOff>847725</xdr:colOff>
      <xdr:row>26</xdr:row>
      <xdr:rowOff>38100</xdr:rowOff>
    </xdr:from>
    <xdr:to>
      <xdr:col>5</xdr:col>
      <xdr:colOff>706755</xdr:colOff>
      <xdr:row>30</xdr:row>
      <xdr:rowOff>6350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 l="7055" t="10257" r="8648" b="8696"/>
        <a:stretch>
          <a:fillRect/>
        </a:stretch>
      </xdr:blipFill>
      <xdr:spPr>
        <a:xfrm>
          <a:off x="4219575" y="5019675"/>
          <a:ext cx="802005" cy="730250"/>
        </a:xfrm>
        <a:prstGeom prst="rect">
          <a:avLst/>
        </a:prstGeom>
      </xdr:spPr>
    </xdr:pic>
    <xdr:clientData/>
  </xdr:twoCellAnchor>
  <xdr:twoCellAnchor>
    <xdr:from>
      <xdr:col>7</xdr:col>
      <xdr:colOff>838200</xdr:colOff>
      <xdr:row>26</xdr:row>
      <xdr:rowOff>47625</xdr:rowOff>
    </xdr:from>
    <xdr:to>
      <xdr:col>9</xdr:col>
      <xdr:colOff>93345</xdr:colOff>
      <xdr:row>29</xdr:row>
      <xdr:rowOff>127635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l="7876" t="9155" r="10759"/>
        <a:stretch>
          <a:fillRect/>
        </a:stretch>
      </xdr:blipFill>
      <xdr:spPr>
        <a:xfrm>
          <a:off x="6848475" y="5029200"/>
          <a:ext cx="950595" cy="651510"/>
        </a:xfrm>
        <a:prstGeom prst="rect">
          <a:avLst/>
        </a:prstGeom>
      </xdr:spPr>
    </xdr:pic>
    <xdr:clientData/>
  </xdr:twoCellAnchor>
  <xdr:twoCellAnchor>
    <xdr:from>
      <xdr:col>9</xdr:col>
      <xdr:colOff>771526</xdr:colOff>
      <xdr:row>26</xdr:row>
      <xdr:rowOff>38100</xdr:rowOff>
    </xdr:from>
    <xdr:to>
      <xdr:col>10</xdr:col>
      <xdr:colOff>666751</xdr:colOff>
      <xdr:row>29</xdr:row>
      <xdr:rowOff>177165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 l="10346" r="24429"/>
        <a:stretch>
          <a:fillRect/>
        </a:stretch>
      </xdr:blipFill>
      <xdr:spPr>
        <a:xfrm>
          <a:off x="8477251" y="5019675"/>
          <a:ext cx="742950" cy="71056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23</xdr:row>
      <xdr:rowOff>114300</xdr:rowOff>
    </xdr:from>
    <xdr:ext cx="1464450" cy="1419225"/>
    <xdr:pic>
      <xdr:nvPicPr>
        <xdr:cNvPr id="8" name="image1.jpeg">
          <a:extLst>
            <a:ext uri="{FF2B5EF4-FFF2-40B4-BE49-F238E27FC236}">
              <a16:creationId xmlns:a16="http://schemas.microsoft.com/office/drawing/2014/main" id="{4D414909-F64B-441F-B838-1625B9286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24375"/>
          <a:ext cx="1464450" cy="1419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4" workbookViewId="0">
      <selection activeCell="H31" sqref="H31"/>
    </sheetView>
  </sheetViews>
  <sheetFormatPr defaultColWidth="9" defaultRowHeight="15"/>
  <cols>
    <col min="1" max="1" width="4.140625" customWidth="1"/>
    <col min="2" max="2" width="5" customWidth="1"/>
    <col min="3" max="3" width="27.42578125" customWidth="1"/>
    <col min="4" max="4" width="14" customWidth="1"/>
    <col min="5" max="5" width="14.140625" customWidth="1"/>
    <col min="6" max="11" width="12.7109375" customWidth="1"/>
    <col min="12" max="12" width="6.85546875" customWidth="1"/>
    <col min="14" max="14" width="13.5703125" customWidth="1"/>
  </cols>
  <sheetData>
    <row r="1" spans="1:11" ht="15.7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.75">
      <c r="A2" s="23" t="s">
        <v>42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5.75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4" t="s">
        <v>41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6" spans="1:11">
      <c r="A6" s="32" t="s">
        <v>2</v>
      </c>
      <c r="B6" s="32" t="s">
        <v>3</v>
      </c>
      <c r="C6" s="32"/>
      <c r="D6" s="26" t="s">
        <v>4</v>
      </c>
      <c r="E6" s="27"/>
      <c r="F6" s="26" t="s">
        <v>4</v>
      </c>
      <c r="G6" s="27"/>
      <c r="H6" s="26" t="s">
        <v>5</v>
      </c>
      <c r="I6" s="27"/>
      <c r="J6" s="26" t="s">
        <v>6</v>
      </c>
      <c r="K6" s="27"/>
    </row>
    <row r="7" spans="1:11">
      <c r="A7" s="32"/>
      <c r="B7" s="32"/>
      <c r="C7" s="32"/>
      <c r="D7" s="3" t="s">
        <v>7</v>
      </c>
      <c r="E7" s="3" t="s">
        <v>8</v>
      </c>
      <c r="F7" s="3" t="s">
        <v>7</v>
      </c>
      <c r="G7" s="3" t="s">
        <v>8</v>
      </c>
      <c r="H7" s="3" t="s">
        <v>7</v>
      </c>
      <c r="I7" s="3" t="s">
        <v>8</v>
      </c>
      <c r="J7" s="3" t="s">
        <v>7</v>
      </c>
      <c r="K7" s="3" t="s">
        <v>8</v>
      </c>
    </row>
    <row r="8" spans="1:11">
      <c r="A8" s="2" t="s">
        <v>9</v>
      </c>
      <c r="B8" s="28" t="s">
        <v>10</v>
      </c>
      <c r="C8" s="28"/>
      <c r="D8" s="4"/>
      <c r="E8" s="4"/>
      <c r="F8" s="4"/>
      <c r="G8" s="4"/>
      <c r="H8" s="4"/>
      <c r="I8" s="4"/>
      <c r="J8" s="4"/>
      <c r="K8" s="4"/>
    </row>
    <row r="9" spans="1:11">
      <c r="A9" s="5"/>
      <c r="B9" s="6" t="s">
        <v>11</v>
      </c>
      <c r="C9" s="7" t="s">
        <v>12</v>
      </c>
      <c r="D9" s="21">
        <v>2700000</v>
      </c>
      <c r="E9" s="22">
        <v>2700000</v>
      </c>
      <c r="F9" s="8">
        <v>2700000</v>
      </c>
      <c r="G9" s="8">
        <v>2700000</v>
      </c>
      <c r="H9" s="8">
        <v>2700000</v>
      </c>
      <c r="I9" s="8">
        <v>2700000</v>
      </c>
      <c r="J9" s="8">
        <v>2700000</v>
      </c>
      <c r="K9" s="8">
        <v>2700000</v>
      </c>
    </row>
    <row r="10" spans="1:11">
      <c r="A10" s="5"/>
      <c r="B10" s="6" t="s">
        <v>13</v>
      </c>
      <c r="C10" s="7" t="s">
        <v>14</v>
      </c>
      <c r="D10" s="21">
        <v>960000</v>
      </c>
      <c r="E10" s="22">
        <v>960000</v>
      </c>
      <c r="F10" s="8">
        <v>960000</v>
      </c>
      <c r="G10" s="8">
        <v>960000</v>
      </c>
      <c r="H10" s="8">
        <v>960000</v>
      </c>
      <c r="I10" s="8">
        <v>960000</v>
      </c>
      <c r="J10" s="8">
        <v>960000</v>
      </c>
      <c r="K10" s="8">
        <v>960000</v>
      </c>
    </row>
    <row r="11" spans="1:11">
      <c r="A11" s="5"/>
      <c r="B11" s="6" t="s">
        <v>15</v>
      </c>
      <c r="C11" s="7" t="s">
        <v>16</v>
      </c>
      <c r="D11" s="21">
        <v>3120000</v>
      </c>
      <c r="E11" s="22">
        <v>3120000</v>
      </c>
      <c r="F11" s="8">
        <v>3120000</v>
      </c>
      <c r="G11" s="8">
        <v>3120000</v>
      </c>
      <c r="H11" s="8">
        <v>3210000</v>
      </c>
      <c r="I11" s="8">
        <v>3210000</v>
      </c>
      <c r="J11" s="8">
        <v>3210000</v>
      </c>
      <c r="K11" s="8">
        <v>3210000</v>
      </c>
    </row>
    <row r="12" spans="1:11">
      <c r="A12" s="5" t="s">
        <v>17</v>
      </c>
      <c r="B12" s="29" t="s">
        <v>18</v>
      </c>
      <c r="C12" s="29"/>
      <c r="D12" s="9"/>
      <c r="E12" s="9"/>
      <c r="F12" s="9"/>
      <c r="G12" s="9"/>
      <c r="H12" s="9"/>
      <c r="I12" s="9"/>
      <c r="J12" s="9"/>
      <c r="K12" s="9"/>
    </row>
    <row r="13" spans="1:11">
      <c r="A13" s="5"/>
      <c r="B13" s="6" t="s">
        <v>11</v>
      </c>
      <c r="C13" s="7" t="s">
        <v>19</v>
      </c>
      <c r="D13" s="21">
        <v>3075000</v>
      </c>
      <c r="E13" s="22">
        <v>3075000</v>
      </c>
      <c r="F13" s="8">
        <v>3075000</v>
      </c>
      <c r="G13" s="8">
        <v>3075000</v>
      </c>
      <c r="H13" s="8">
        <v>3075000</v>
      </c>
      <c r="I13" s="8">
        <v>3075000</v>
      </c>
      <c r="J13" s="8">
        <v>3075000</v>
      </c>
      <c r="K13" s="8">
        <v>3075000</v>
      </c>
    </row>
    <row r="14" spans="1:11">
      <c r="A14" s="5"/>
      <c r="B14" s="6" t="s">
        <v>13</v>
      </c>
      <c r="C14" s="7" t="s">
        <v>20</v>
      </c>
      <c r="D14" s="21">
        <v>1500000</v>
      </c>
      <c r="E14" s="22">
        <v>1500000</v>
      </c>
      <c r="F14" s="8">
        <v>1500000</v>
      </c>
      <c r="G14" s="8">
        <v>1500000</v>
      </c>
      <c r="H14" s="8">
        <v>1500000</v>
      </c>
      <c r="I14" s="8">
        <v>1500000</v>
      </c>
      <c r="J14" s="8">
        <v>1500000</v>
      </c>
      <c r="K14" s="8">
        <v>1500000</v>
      </c>
    </row>
    <row r="15" spans="1:11">
      <c r="A15" s="5" t="s">
        <v>21</v>
      </c>
      <c r="B15" s="6" t="s">
        <v>22</v>
      </c>
      <c r="C15" s="7"/>
      <c r="D15" s="8"/>
      <c r="E15" s="8"/>
      <c r="F15" s="8"/>
      <c r="G15" s="8"/>
      <c r="H15" s="8"/>
      <c r="I15" s="8"/>
      <c r="J15" s="8"/>
      <c r="K15" s="8"/>
    </row>
    <row r="16" spans="1:11">
      <c r="A16" s="5"/>
      <c r="B16" s="6" t="s">
        <v>11</v>
      </c>
      <c r="C16" s="7" t="s">
        <v>23</v>
      </c>
      <c r="D16" s="21">
        <v>1140000</v>
      </c>
      <c r="E16" s="22">
        <v>1140000</v>
      </c>
      <c r="F16" s="8">
        <v>1140000</v>
      </c>
      <c r="G16" s="8">
        <v>1140000</v>
      </c>
      <c r="H16" s="8">
        <v>1140000</v>
      </c>
      <c r="I16" s="8">
        <v>1140000</v>
      </c>
      <c r="J16" s="8">
        <v>1140000</v>
      </c>
      <c r="K16" s="8">
        <v>1140000</v>
      </c>
    </row>
    <row r="17" spans="1:14">
      <c r="A17" s="5"/>
      <c r="B17" s="6" t="s">
        <v>13</v>
      </c>
      <c r="C17" s="7" t="s">
        <v>24</v>
      </c>
      <c r="D17" s="21">
        <v>2700000</v>
      </c>
      <c r="E17" s="22">
        <v>2700000</v>
      </c>
      <c r="F17" s="8">
        <v>2700000</v>
      </c>
      <c r="G17" s="8">
        <v>2700000</v>
      </c>
      <c r="H17" s="8">
        <v>2700000</v>
      </c>
      <c r="I17" s="8">
        <v>2700000</v>
      </c>
      <c r="J17" s="8">
        <v>2700000</v>
      </c>
      <c r="K17" s="8">
        <v>2700000</v>
      </c>
    </row>
    <row r="18" spans="1:14">
      <c r="A18" s="5" t="s">
        <v>25</v>
      </c>
      <c r="B18" s="6" t="s">
        <v>26</v>
      </c>
      <c r="C18" s="7"/>
      <c r="D18" s="8"/>
      <c r="E18" s="8"/>
      <c r="F18" s="8"/>
      <c r="G18" s="8"/>
      <c r="H18" s="8"/>
      <c r="I18" s="8"/>
      <c r="J18" s="8"/>
      <c r="K18" s="8"/>
    </row>
    <row r="19" spans="1:14">
      <c r="A19" s="5"/>
      <c r="B19" s="6" t="s">
        <v>11</v>
      </c>
      <c r="C19" s="7" t="s">
        <v>27</v>
      </c>
      <c r="D19" s="21">
        <v>19000000</v>
      </c>
      <c r="E19" s="8">
        <v>12100000</v>
      </c>
      <c r="F19" s="8">
        <v>16000000</v>
      </c>
      <c r="G19" s="8">
        <v>19000000</v>
      </c>
      <c r="H19" s="8">
        <v>20000000</v>
      </c>
      <c r="I19" s="8">
        <v>10000000</v>
      </c>
      <c r="J19" s="8">
        <v>10000000</v>
      </c>
      <c r="K19" s="8">
        <v>10000000</v>
      </c>
    </row>
    <row r="20" spans="1:14">
      <c r="A20" s="5"/>
      <c r="B20" s="6" t="s">
        <v>13</v>
      </c>
      <c r="C20" s="7" t="s">
        <v>28</v>
      </c>
      <c r="D20" s="10">
        <v>15694000</v>
      </c>
      <c r="E20" s="22">
        <v>15694000</v>
      </c>
      <c r="F20" s="8">
        <v>23500000</v>
      </c>
      <c r="G20" s="8">
        <v>8500000</v>
      </c>
      <c r="H20" s="8">
        <v>23050000</v>
      </c>
      <c r="I20" s="8">
        <v>23050000</v>
      </c>
      <c r="J20" s="8">
        <v>21100000</v>
      </c>
      <c r="K20" s="8">
        <v>21100000</v>
      </c>
      <c r="N20" s="20"/>
    </row>
    <row r="21" spans="1:14">
      <c r="A21" s="5"/>
      <c r="B21" s="6"/>
      <c r="C21" s="5"/>
      <c r="D21" s="10"/>
      <c r="E21" s="10"/>
      <c r="F21" s="10"/>
      <c r="G21" s="10"/>
      <c r="H21" s="10"/>
      <c r="I21" s="10"/>
      <c r="J21" s="10"/>
      <c r="K21" s="5"/>
      <c r="N21" s="20"/>
    </row>
    <row r="22" spans="1:14">
      <c r="A22" s="5"/>
      <c r="B22" s="6"/>
      <c r="C22" s="5"/>
      <c r="D22" s="10"/>
      <c r="E22" s="10"/>
      <c r="F22" s="10"/>
      <c r="G22" s="10"/>
      <c r="H22" s="10"/>
      <c r="I22" s="10"/>
      <c r="J22" s="10"/>
      <c r="K22" s="5"/>
      <c r="N22" s="20"/>
    </row>
    <row r="23" spans="1:14">
      <c r="A23" s="30" t="s">
        <v>29</v>
      </c>
      <c r="B23" s="30"/>
      <c r="C23" s="30"/>
      <c r="D23" s="11">
        <f t="shared" ref="D23" si="0">SUM(D9:D22)</f>
        <v>49889000</v>
      </c>
      <c r="E23" s="11">
        <f t="shared" ref="E23:K23" si="1">SUM(E9:E22)</f>
        <v>42989000</v>
      </c>
      <c r="F23" s="11">
        <f t="shared" si="1"/>
        <v>54695000</v>
      </c>
      <c r="G23" s="11">
        <f t="shared" si="1"/>
        <v>42695000</v>
      </c>
      <c r="H23" s="11">
        <f t="shared" si="1"/>
        <v>58335000</v>
      </c>
      <c r="I23" s="11">
        <f t="shared" si="1"/>
        <v>48335000</v>
      </c>
      <c r="J23" s="11">
        <f t="shared" si="1"/>
        <v>46385000</v>
      </c>
      <c r="K23" s="11">
        <f t="shared" si="1"/>
        <v>46385000</v>
      </c>
      <c r="N23" s="20"/>
    </row>
    <row r="24" spans="1:14">
      <c r="A24" s="1"/>
      <c r="B24" s="1"/>
      <c r="C24" s="1"/>
      <c r="D24" s="1"/>
      <c r="E24" s="1"/>
      <c r="F24" s="12"/>
      <c r="G24" s="12"/>
      <c r="H24" s="12"/>
      <c r="I24" s="12"/>
      <c r="J24" s="12"/>
      <c r="K24" s="12"/>
      <c r="N24" s="12"/>
    </row>
    <row r="25" spans="1:14">
      <c r="B25" s="13"/>
      <c r="C25" s="31" t="s">
        <v>30</v>
      </c>
      <c r="D25" s="31"/>
      <c r="E25" s="31"/>
      <c r="F25" s="31"/>
      <c r="G25" s="31"/>
      <c r="H25" s="31"/>
      <c r="I25" s="31"/>
      <c r="J25" s="31"/>
      <c r="K25" s="31"/>
    </row>
    <row r="26" spans="1:14">
      <c r="B26" s="13"/>
      <c r="C26" s="33" t="s">
        <v>31</v>
      </c>
      <c r="D26" s="14" t="s">
        <v>32</v>
      </c>
      <c r="F26" s="19" t="s">
        <v>33</v>
      </c>
      <c r="I26" s="17" t="s">
        <v>34</v>
      </c>
      <c r="J26" s="18" t="s">
        <v>43</v>
      </c>
    </row>
    <row r="27" spans="1:14">
      <c r="B27" s="13"/>
      <c r="C27" s="33"/>
      <c r="D27" s="14"/>
      <c r="F27" s="15"/>
      <c r="I27" s="17"/>
      <c r="J27" s="18"/>
    </row>
    <row r="28" spans="1:14">
      <c r="B28" s="13"/>
      <c r="C28" s="33"/>
      <c r="D28" s="14"/>
      <c r="F28" s="15"/>
      <c r="I28" s="17"/>
      <c r="J28" s="18"/>
    </row>
    <row r="29" spans="1:14">
      <c r="B29" s="13"/>
      <c r="C29" s="33"/>
      <c r="D29" s="14"/>
      <c r="F29" s="15"/>
      <c r="I29" s="17"/>
      <c r="J29" s="18"/>
    </row>
    <row r="30" spans="1:14">
      <c r="B30" s="13"/>
      <c r="C30" s="33"/>
      <c r="D30" s="14"/>
      <c r="F30" s="15"/>
      <c r="I30" s="17"/>
      <c r="J30" s="18"/>
    </row>
    <row r="31" spans="1:14">
      <c r="B31" s="13"/>
      <c r="C31" s="33" t="s">
        <v>35</v>
      </c>
      <c r="D31" s="14" t="s">
        <v>36</v>
      </c>
      <c r="F31" s="15" t="s">
        <v>37</v>
      </c>
      <c r="I31" s="17" t="s">
        <v>38</v>
      </c>
      <c r="J31" s="18" t="s">
        <v>39</v>
      </c>
      <c r="K31" t="s">
        <v>40</v>
      </c>
    </row>
    <row r="33" spans="7:7">
      <c r="G33" s="16">
        <v>10</v>
      </c>
    </row>
  </sheetData>
  <mergeCells count="14">
    <mergeCell ref="B8:C8"/>
    <mergeCell ref="B12:C12"/>
    <mergeCell ref="A23:C23"/>
    <mergeCell ref="C25:K25"/>
    <mergeCell ref="A6:A7"/>
    <mergeCell ref="B6:C7"/>
    <mergeCell ref="A1:K1"/>
    <mergeCell ref="A2:K2"/>
    <mergeCell ref="A3:K3"/>
    <mergeCell ref="A4:K4"/>
    <mergeCell ref="D6:E6"/>
    <mergeCell ref="F6:G6"/>
    <mergeCell ref="H6:I6"/>
    <mergeCell ref="J6:K6"/>
  </mergeCells>
  <pageMargins left="1.2" right="0.69930555555555596" top="0.5" bottom="0.2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P2420L</dc:creator>
  <cp:lastModifiedBy>ASUS</cp:lastModifiedBy>
  <cp:lastPrinted>2026-02-09T13:17:54Z</cp:lastPrinted>
  <dcterms:created xsi:type="dcterms:W3CDTF">2019-03-30T13:38:00Z</dcterms:created>
  <dcterms:modified xsi:type="dcterms:W3CDTF">2026-02-09T17:22:49Z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47C6EE5D440E481990263531A6572A2E_12</vt:lpwstr>
  </property>
  <property fmtid="{D5CDD505-2E9C-101B-9397-08002B2CF9AE}" pid="3" name="KSOProductBuildVer">
    <vt:lpwstr>1033-12.2.0.20326</vt:lpwstr>
  </property>
</Properties>
</file>