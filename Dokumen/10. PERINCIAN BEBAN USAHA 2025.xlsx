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DOKUMEN KSU CAHAYA DHAMMA PHALA 2025\BUKU  LAPORAN  PERTANGGUNGJAWABAN  TAHUN BUKU 2025\RISALAH  KSU CAHAYA DHAMMA PHALA PER 31 DES 2025\"/>
    </mc:Choice>
  </mc:AlternateContent>
  <xr:revisionPtr revIDLastSave="0" documentId="13_ncr:1_{F60C823B-D13A-4C81-BFEE-49C358C1557A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2018" sheetId="1" r:id="rId1"/>
    <sheet name="2019" sheetId="2" r:id="rId2"/>
    <sheet name="2020" sheetId="3" r:id="rId3"/>
    <sheet name="202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4" l="1"/>
  <c r="H26" i="4"/>
  <c r="H21" i="4"/>
  <c r="H16" i="4"/>
  <c r="H38" i="3"/>
  <c r="H26" i="3"/>
  <c r="H21" i="3"/>
  <c r="H16" i="3"/>
  <c r="H37" i="2"/>
  <c r="H35" i="2"/>
  <c r="H26" i="2"/>
  <c r="H21" i="2"/>
  <c r="H16" i="2"/>
  <c r="E32" i="1"/>
  <c r="E30" i="1"/>
  <c r="E21" i="1"/>
  <c r="E16" i="1"/>
  <c r="E11" i="1"/>
  <c r="H40" i="4" l="1"/>
  <c r="H40" i="3"/>
</calcChain>
</file>

<file path=xl/sharedStrings.xml><?xml version="1.0" encoding="utf-8"?>
<sst xmlns="http://schemas.openxmlformats.org/spreadsheetml/2006/main" count="218" uniqueCount="58">
  <si>
    <t>PERINCIAN  BIAYA USAHA</t>
  </si>
  <si>
    <t>KSU  CAHAYA  DHAMMA  PHALA</t>
  </si>
  <si>
    <t>Periode 1 Januari sampai dengan 31 Desember  2018</t>
  </si>
  <si>
    <t>NO.</t>
  </si>
  <si>
    <t>URAIAN</t>
  </si>
  <si>
    <t>JUMLAH</t>
  </si>
  <si>
    <t>i.</t>
  </si>
  <si>
    <t>Biaya Rapat</t>
  </si>
  <si>
    <t>1.</t>
  </si>
  <si>
    <t>Rapat Pengurus Rutin</t>
  </si>
  <si>
    <t>2.</t>
  </si>
  <si>
    <t>Rapat Pengawas</t>
  </si>
  <si>
    <t>3.</t>
  </si>
  <si>
    <t>Rapat Gabungan</t>
  </si>
  <si>
    <t>Jumlah biaya rapat</t>
  </si>
  <si>
    <t>II.</t>
  </si>
  <si>
    <t>Biaya Lembur serta Alat Tulis dan Kantor</t>
  </si>
  <si>
    <t>Lembur Pengurus</t>
  </si>
  <si>
    <t>Sarana Administrasi</t>
  </si>
  <si>
    <t>Jumlah biaya lembur serta alat tulis dan kantor</t>
  </si>
  <si>
    <t>III.</t>
  </si>
  <si>
    <t>Biaya Pembinaan dan Transportasi</t>
  </si>
  <si>
    <t>Pembinaan</t>
  </si>
  <si>
    <t>Transport Pengurus/Pengawas</t>
  </si>
  <si>
    <t>IV.</t>
  </si>
  <si>
    <t>Biaya Jasa dan RAT</t>
  </si>
  <si>
    <t>Jasa Simpanan Manasuka</t>
  </si>
  <si>
    <t>Biaya Rapat Aanggota Tahunan</t>
  </si>
  <si>
    <t>Penyusunan Laporan</t>
  </si>
  <si>
    <t>Konsumsi</t>
  </si>
  <si>
    <t>Uang Sidang</t>
  </si>
  <si>
    <t>Akomodasi</t>
  </si>
  <si>
    <t>Jumlah biaya jasa simpanan dan biaya RAT</t>
  </si>
  <si>
    <t>Jumlah biaya perusahaan</t>
  </si>
  <si>
    <t>Pagentan, 31 Desember 2018</t>
  </si>
  <si>
    <t>Pengurus  KSU Cahaya Dhamma Phala</t>
  </si>
  <si>
    <t>Ketua</t>
  </si>
  <si>
    <t>Bendahara</t>
  </si>
  <si>
    <t>Waridi</t>
  </si>
  <si>
    <t>Oruwasaton</t>
  </si>
  <si>
    <t>KOPERASI  SERBA  USAHA  CAHAYA  DHAMMA  PHALA</t>
  </si>
  <si>
    <t>Badan Hukum No. 2/BH/XIV.1/II/2016 Tanggal 5 Februari  2016</t>
  </si>
  <si>
    <t xml:space="preserve">Alamat: Dukuh Windusari, Desa Sokaraja, Kec. Pagentan, </t>
  </si>
  <si>
    <t>Kab. Banjarnegara, Prov. Jawa Tengah,  Pos 53455</t>
  </si>
  <si>
    <t>Periode 1 Januari sampai dengan 31 Desember  2019</t>
  </si>
  <si>
    <t>Pagentan, 31 Desember 2019</t>
  </si>
  <si>
    <t>Wk. Ketua</t>
  </si>
  <si>
    <t>Sekretaris</t>
  </si>
  <si>
    <t>Pembantu</t>
  </si>
  <si>
    <t>Juliyah</t>
  </si>
  <si>
    <t>Dwi Vijjayanti</t>
  </si>
  <si>
    <t>Wanto</t>
  </si>
  <si>
    <t>Dekorasi</t>
  </si>
  <si>
    <t>Dokumentasi</t>
  </si>
  <si>
    <t>Slamet Sutir</t>
  </si>
  <si>
    <t>Periode 1 Januari sampai dengan 31 Desember  2025</t>
  </si>
  <si>
    <t>Pagentan, 31 Desember 2025</t>
  </si>
  <si>
    <t>Pembantu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</si>
</sst>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>
      <alignment vertical="center"/>
    </xf>
  </cellStyleXfs>
  <cellXfs count="1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3" xfId="0" applyBorder="1"/>
    <xf numFmtId="49" fontId="0" fillId="0" borderId="11" xfId="0" applyNumberFormat="1" applyBorder="1"/>
    <xf numFmtId="0" fontId="4" fillId="0" borderId="12" xfId="0" applyFont="1" applyBorder="1"/>
    <xf numFmtId="3" fontId="4" fillId="0" borderId="14" xfId="0" applyNumberFormat="1" applyFont="1" applyBorder="1"/>
    <xf numFmtId="0" fontId="0" fillId="0" borderId="15" xfId="0" applyBorder="1"/>
    <xf numFmtId="49" fontId="0" fillId="0" borderId="16" xfId="0" applyNumberFormat="1" applyBorder="1"/>
    <xf numFmtId="0" fontId="4" fillId="0" borderId="17" xfId="0" applyFont="1" applyBorder="1"/>
    <xf numFmtId="0" fontId="0" fillId="0" borderId="17" xfId="0" applyBorder="1"/>
    <xf numFmtId="0" fontId="0" fillId="0" borderId="18" xfId="0" applyBorder="1"/>
    <xf numFmtId="0" fontId="2" fillId="0" borderId="2" xfId="0" applyFont="1" applyBorder="1"/>
    <xf numFmtId="49" fontId="2" fillId="0" borderId="3" xfId="0" applyNumberFormat="1" applyFont="1" applyBorder="1"/>
    <xf numFmtId="0" fontId="5" fillId="0" borderId="4" xfId="0" applyFont="1" applyBorder="1"/>
    <xf numFmtId="0" fontId="2" fillId="0" borderId="4" xfId="0" applyFont="1" applyBorder="1"/>
    <xf numFmtId="0" fontId="2" fillId="0" borderId="5" xfId="0" applyFont="1" applyBorder="1"/>
    <xf numFmtId="3" fontId="5" fillId="0" borderId="2" xfId="0" applyNumberFormat="1" applyFont="1" applyBorder="1"/>
    <xf numFmtId="0" fontId="0" fillId="0" borderId="14" xfId="0" applyBorder="1"/>
    <xf numFmtId="49" fontId="0" fillId="0" borderId="20" xfId="0" applyNumberFormat="1" applyBorder="1"/>
    <xf numFmtId="0" fontId="4" fillId="0" borderId="21" xfId="0" applyFont="1" applyBorder="1"/>
    <xf numFmtId="0" fontId="0" fillId="0" borderId="21" xfId="0" applyBorder="1"/>
    <xf numFmtId="0" fontId="0" fillId="0" borderId="22" xfId="0" applyBorder="1"/>
    <xf numFmtId="49" fontId="0" fillId="0" borderId="12" xfId="0" applyNumberFormat="1" applyBorder="1"/>
    <xf numFmtId="49" fontId="0" fillId="0" borderId="13" xfId="0" applyNumberFormat="1" applyBorder="1"/>
    <xf numFmtId="3" fontId="4" fillId="0" borderId="10" xfId="0" applyNumberFormat="1" applyFont="1" applyBorder="1"/>
    <xf numFmtId="0" fontId="0" fillId="0" borderId="11" xfId="0" applyBorder="1"/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3" fontId="0" fillId="0" borderId="24" xfId="0" applyNumberFormat="1" applyBorder="1"/>
    <xf numFmtId="0" fontId="0" fillId="0" borderId="3" xfId="0" applyBorder="1"/>
    <xf numFmtId="0" fontId="0" fillId="0" borderId="2" xfId="0" applyBorder="1"/>
    <xf numFmtId="0" fontId="0" fillId="0" borderId="25" xfId="0" applyBorder="1"/>
    <xf numFmtId="0" fontId="0" fillId="0" borderId="23" xfId="0" applyBorder="1"/>
    <xf numFmtId="0" fontId="0" fillId="0" borderId="19" xfId="0" applyBorder="1"/>
    <xf numFmtId="0" fontId="0" fillId="0" borderId="4" xfId="0" applyBorder="1"/>
    <xf numFmtId="3" fontId="2" fillId="0" borderId="2" xfId="0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7"/>
    </xf>
    <xf numFmtId="0" fontId="0" fillId="0" borderId="5" xfId="0" applyBorder="1"/>
    <xf numFmtId="0" fontId="0" fillId="0" borderId="0" xfId="0" applyAlignment="1">
      <alignment horizontal="left" indent="9"/>
    </xf>
    <xf numFmtId="3" fontId="4" fillId="0" borderId="15" xfId="0" applyNumberFormat="1" applyFont="1" applyBorder="1"/>
    <xf numFmtId="3" fontId="0" fillId="0" borderId="10" xfId="0" applyNumberFormat="1" applyBorder="1"/>
    <xf numFmtId="0" fontId="0" fillId="0" borderId="16" xfId="0" applyBorder="1"/>
    <xf numFmtId="0" fontId="0" fillId="0" borderId="17" xfId="0" applyBorder="1" applyAlignment="1">
      <alignment horizontal="center"/>
    </xf>
    <xf numFmtId="3" fontId="0" fillId="0" borderId="17" xfId="0" applyNumberFormat="1" applyBorder="1"/>
    <xf numFmtId="3" fontId="0" fillId="0" borderId="18" xfId="0" applyNumberFormat="1" applyBorder="1"/>
    <xf numFmtId="3" fontId="0" fillId="0" borderId="15" xfId="0" applyNumberFormat="1" applyBorder="1"/>
    <xf numFmtId="3" fontId="0" fillId="0" borderId="2" xfId="0" applyNumberFormat="1" applyBorder="1"/>
    <xf numFmtId="0" fontId="0" fillId="0" borderId="26" xfId="0" applyBorder="1"/>
    <xf numFmtId="0" fontId="2" fillId="0" borderId="3" xfId="0" applyFont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3" xfId="0" applyNumberFormat="1" applyBorder="1"/>
    <xf numFmtId="0" fontId="4" fillId="0" borderId="4" xfId="0" applyFont="1" applyBorder="1"/>
    <xf numFmtId="49" fontId="0" fillId="0" borderId="4" xfId="0" applyNumberFormat="1" applyBorder="1"/>
    <xf numFmtId="49" fontId="0" fillId="0" borderId="5" xfId="0" applyNumberFormat="1" applyBorder="1"/>
    <xf numFmtId="3" fontId="0" fillId="0" borderId="4" xfId="0" applyNumberFormat="1" applyBorder="1"/>
    <xf numFmtId="3" fontId="0" fillId="0" borderId="5" xfId="0" applyNumberFormat="1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0" fillId="0" borderId="30" xfId="0" applyBorder="1" applyAlignment="1">
      <alignment horizontal="center"/>
    </xf>
    <xf numFmtId="3" fontId="0" fillId="0" borderId="30" xfId="0" applyNumberFormat="1" applyBorder="1"/>
    <xf numFmtId="3" fontId="5" fillId="0" borderId="27" xfId="0" applyNumberFormat="1" applyFont="1" applyBorder="1"/>
    <xf numFmtId="3" fontId="5" fillId="0" borderId="5" xfId="0" applyNumberFormat="1" applyFont="1" applyBorder="1"/>
    <xf numFmtId="165" fontId="7" fillId="0" borderId="2" xfId="1" applyNumberFormat="1" applyFont="1" applyBorder="1" applyAlignment="1"/>
    <xf numFmtId="3" fontId="7" fillId="0" borderId="2" xfId="0" applyNumberFormat="1" applyFont="1" applyBorder="1"/>
    <xf numFmtId="0" fontId="9" fillId="0" borderId="0" xfId="0" applyFont="1"/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49" fontId="9" fillId="0" borderId="3" xfId="0" applyNumberFormat="1" applyFont="1" applyBorder="1"/>
    <xf numFmtId="0" fontId="10" fillId="0" borderId="2" xfId="0" applyFont="1" applyBorder="1"/>
    <xf numFmtId="49" fontId="10" fillId="0" borderId="3" xfId="0" applyNumberFormat="1" applyFont="1" applyBorder="1"/>
    <xf numFmtId="0" fontId="10" fillId="0" borderId="4" xfId="0" applyFont="1" applyBorder="1"/>
    <xf numFmtId="0" fontId="10" fillId="0" borderId="5" xfId="0" applyFont="1" applyBorder="1"/>
    <xf numFmtId="49" fontId="9" fillId="0" borderId="4" xfId="0" applyNumberFormat="1" applyFont="1" applyBorder="1"/>
    <xf numFmtId="49" fontId="9" fillId="0" borderId="5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0" fontId="9" fillId="0" borderId="28" xfId="0" applyFont="1" applyBorder="1"/>
    <xf numFmtId="165" fontId="5" fillId="0" borderId="2" xfId="1" applyNumberFormat="1" applyFont="1" applyBorder="1" applyAlignment="1"/>
    <xf numFmtId="0" fontId="9" fillId="0" borderId="27" xfId="0" applyFont="1" applyBorder="1"/>
    <xf numFmtId="0" fontId="9" fillId="0" borderId="29" xfId="0" applyFont="1" applyBorder="1"/>
    <xf numFmtId="0" fontId="9" fillId="0" borderId="30" xfId="0" applyFont="1" applyBorder="1" applyAlignment="1">
      <alignment horizontal="center"/>
    </xf>
    <xf numFmtId="3" fontId="9" fillId="0" borderId="30" xfId="0" applyNumberFormat="1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indent="7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76200</xdr:rowOff>
    </xdr:from>
    <xdr:to>
      <xdr:col>2</xdr:col>
      <xdr:colOff>123825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76200"/>
          <a:ext cx="561975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76200</xdr:rowOff>
    </xdr:from>
    <xdr:to>
      <xdr:col>2</xdr:col>
      <xdr:colOff>257175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76200"/>
          <a:ext cx="695325" cy="60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228600</xdr:colOff>
      <xdr:row>45</xdr:row>
      <xdr:rowOff>28575</xdr:rowOff>
    </xdr:from>
    <xdr:to>
      <xdr:col>3</xdr:col>
      <xdr:colOff>581660</xdr:colOff>
      <xdr:row>49</xdr:row>
      <xdr:rowOff>17780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8658225"/>
          <a:ext cx="686435" cy="751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752475</xdr:colOff>
      <xdr:row>45</xdr:row>
      <xdr:rowOff>38100</xdr:rowOff>
    </xdr:from>
    <xdr:to>
      <xdr:col>4</xdr:col>
      <xdr:colOff>661670</xdr:colOff>
      <xdr:row>49</xdr:row>
      <xdr:rowOff>31115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38300" y="8667750"/>
          <a:ext cx="747395" cy="755015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45</xdr:row>
      <xdr:rowOff>0</xdr:rowOff>
    </xdr:from>
    <xdr:to>
      <xdr:col>5</xdr:col>
      <xdr:colOff>669290</xdr:colOff>
      <xdr:row>48</xdr:row>
      <xdr:rowOff>158750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l="7055" t="10257" r="8648" b="8696"/>
        <a:stretch>
          <a:fillRect/>
        </a:stretch>
      </xdr:blipFill>
      <xdr:spPr>
        <a:xfrm>
          <a:off x="2676525" y="8629650"/>
          <a:ext cx="602615" cy="730250"/>
        </a:xfrm>
        <a:prstGeom prst="rect">
          <a:avLst/>
        </a:prstGeom>
      </xdr:spPr>
    </xdr:pic>
    <xdr:clientData/>
  </xdr:twoCellAnchor>
  <xdr:twoCellAnchor>
    <xdr:from>
      <xdr:col>5</xdr:col>
      <xdr:colOff>1028700</xdr:colOff>
      <xdr:row>44</xdr:row>
      <xdr:rowOff>161925</xdr:rowOff>
    </xdr:from>
    <xdr:to>
      <xdr:col>6</xdr:col>
      <xdr:colOff>588645</xdr:colOff>
      <xdr:row>48</xdr:row>
      <xdr:rowOff>165735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rcRect l="7876" t="9155" r="10759"/>
        <a:stretch>
          <a:fillRect/>
        </a:stretch>
      </xdr:blipFill>
      <xdr:spPr>
        <a:xfrm>
          <a:off x="3638550" y="8601075"/>
          <a:ext cx="645795" cy="765810"/>
        </a:xfrm>
        <a:prstGeom prst="rect">
          <a:avLst/>
        </a:prstGeom>
      </xdr:spPr>
    </xdr:pic>
    <xdr:clientData/>
  </xdr:twoCellAnchor>
  <xdr:twoCellAnchor>
    <xdr:from>
      <xdr:col>6</xdr:col>
      <xdr:colOff>800100</xdr:colOff>
      <xdr:row>45</xdr:row>
      <xdr:rowOff>85725</xdr:rowOff>
    </xdr:from>
    <xdr:to>
      <xdr:col>7</xdr:col>
      <xdr:colOff>730250</xdr:colOff>
      <xdr:row>49</xdr:row>
      <xdr:rowOff>5080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rcRect l="10346" r="24429"/>
        <a:stretch>
          <a:fillRect/>
        </a:stretch>
      </xdr:blipFill>
      <xdr:spPr>
        <a:xfrm>
          <a:off x="4495800" y="8715375"/>
          <a:ext cx="825500" cy="6813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76200</xdr:rowOff>
    </xdr:from>
    <xdr:to>
      <xdr:col>2</xdr:col>
      <xdr:colOff>247650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8E5C6-D679-4284-851C-5282809D3BA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1" y="76200"/>
          <a:ext cx="695324" cy="60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228600</xdr:colOff>
      <xdr:row>45</xdr:row>
      <xdr:rowOff>28575</xdr:rowOff>
    </xdr:from>
    <xdr:to>
      <xdr:col>3</xdr:col>
      <xdr:colOff>572135</xdr:colOff>
      <xdr:row>49</xdr:row>
      <xdr:rowOff>17780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870E8F-F008-43F2-A6A2-190BB8BF9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8648700"/>
          <a:ext cx="686435" cy="751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752475</xdr:colOff>
      <xdr:row>45</xdr:row>
      <xdr:rowOff>38100</xdr:rowOff>
    </xdr:from>
    <xdr:to>
      <xdr:col>4</xdr:col>
      <xdr:colOff>661670</xdr:colOff>
      <xdr:row>49</xdr:row>
      <xdr:rowOff>31115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5F3AA79A-CFC8-47F0-8836-3932B9670BDA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38300" y="8658225"/>
          <a:ext cx="747395" cy="755015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45</xdr:row>
      <xdr:rowOff>0</xdr:rowOff>
    </xdr:from>
    <xdr:to>
      <xdr:col>5</xdr:col>
      <xdr:colOff>669290</xdr:colOff>
      <xdr:row>48</xdr:row>
      <xdr:rowOff>158750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F6D0F1FE-223F-42DA-A2B9-569473417EEB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l="7055" t="10257" r="8648" b="8696"/>
        <a:stretch>
          <a:fillRect/>
        </a:stretch>
      </xdr:blipFill>
      <xdr:spPr>
        <a:xfrm>
          <a:off x="2676525" y="8620125"/>
          <a:ext cx="602615" cy="730250"/>
        </a:xfrm>
        <a:prstGeom prst="rect">
          <a:avLst/>
        </a:prstGeom>
      </xdr:spPr>
    </xdr:pic>
    <xdr:clientData/>
  </xdr:twoCellAnchor>
  <xdr:twoCellAnchor>
    <xdr:from>
      <xdr:col>5</xdr:col>
      <xdr:colOff>1028700</xdr:colOff>
      <xdr:row>44</xdr:row>
      <xdr:rowOff>161925</xdr:rowOff>
    </xdr:from>
    <xdr:to>
      <xdr:col>6</xdr:col>
      <xdr:colOff>588645</xdr:colOff>
      <xdr:row>48</xdr:row>
      <xdr:rowOff>165735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979659A1-6DC4-4FBD-970A-5FE36382CA67}"/>
            </a:ext>
          </a:extLst>
        </xdr:cNvPr>
        <xdr:cNvPicPr/>
      </xdr:nvPicPr>
      <xdr:blipFill>
        <a:blip xmlns:r="http://schemas.openxmlformats.org/officeDocument/2006/relationships" r:embed="rId5" cstate="print"/>
        <a:srcRect l="7876" t="9155" r="10759"/>
        <a:stretch>
          <a:fillRect/>
        </a:stretch>
      </xdr:blipFill>
      <xdr:spPr>
        <a:xfrm>
          <a:off x="3638550" y="8591550"/>
          <a:ext cx="645795" cy="765810"/>
        </a:xfrm>
        <a:prstGeom prst="rect">
          <a:avLst/>
        </a:prstGeom>
      </xdr:spPr>
    </xdr:pic>
    <xdr:clientData/>
  </xdr:twoCellAnchor>
  <xdr:twoCellAnchor>
    <xdr:from>
      <xdr:col>6</xdr:col>
      <xdr:colOff>800100</xdr:colOff>
      <xdr:row>45</xdr:row>
      <xdr:rowOff>85725</xdr:rowOff>
    </xdr:from>
    <xdr:to>
      <xdr:col>7</xdr:col>
      <xdr:colOff>730250</xdr:colOff>
      <xdr:row>49</xdr:row>
      <xdr:rowOff>5080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92B9A5E9-C441-433A-A1AA-EE73C8B30F52}"/>
            </a:ext>
          </a:extLst>
        </xdr:cNvPr>
        <xdr:cNvPicPr/>
      </xdr:nvPicPr>
      <xdr:blipFill>
        <a:blip xmlns:r="http://schemas.openxmlformats.org/officeDocument/2006/relationships" r:embed="rId6" cstate="print"/>
        <a:srcRect l="10346" r="24429"/>
        <a:stretch>
          <a:fillRect/>
        </a:stretch>
      </xdr:blipFill>
      <xdr:spPr>
        <a:xfrm>
          <a:off x="4495800" y="8705850"/>
          <a:ext cx="825500" cy="681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workbookViewId="0">
      <selection sqref="A1:XFD1048576"/>
    </sheetView>
  </sheetViews>
  <sheetFormatPr defaultColWidth="9" defaultRowHeight="15"/>
  <cols>
    <col min="1" max="1" width="5" customWidth="1"/>
    <col min="2" max="2" width="3.28515625" customWidth="1"/>
    <col min="3" max="3" width="5" customWidth="1"/>
    <col min="4" max="4" width="42.85546875" customWidth="1"/>
    <col min="5" max="5" width="25.28515625" customWidth="1"/>
    <col min="6" max="6" width="1.5703125" customWidth="1"/>
  </cols>
  <sheetData>
    <row r="1" spans="1:5" ht="18.75">
      <c r="A1" s="106" t="s">
        <v>0</v>
      </c>
      <c r="B1" s="106"/>
      <c r="C1" s="106"/>
      <c r="D1" s="106"/>
      <c r="E1" s="106"/>
    </row>
    <row r="2" spans="1:5" ht="18.75">
      <c r="A2" s="106" t="s">
        <v>1</v>
      </c>
      <c r="B2" s="106"/>
      <c r="C2" s="106"/>
      <c r="D2" s="106"/>
      <c r="E2" s="106"/>
    </row>
    <row r="3" spans="1:5">
      <c r="A3" s="105" t="s">
        <v>2</v>
      </c>
      <c r="B3" s="105"/>
      <c r="C3" s="105"/>
      <c r="D3" s="105"/>
      <c r="E3" s="105"/>
    </row>
    <row r="5" spans="1:5">
      <c r="A5" s="3" t="s">
        <v>3</v>
      </c>
      <c r="B5" s="107" t="s">
        <v>4</v>
      </c>
      <c r="C5" s="107"/>
      <c r="D5" s="107"/>
      <c r="E5" s="3" t="s">
        <v>5</v>
      </c>
    </row>
    <row r="6" spans="1:5">
      <c r="A6" s="5"/>
      <c r="B6" s="6"/>
      <c r="C6" s="7"/>
      <c r="D6" s="8"/>
      <c r="E6" s="5"/>
    </row>
    <row r="7" spans="1:5">
      <c r="A7" s="9" t="s">
        <v>6</v>
      </c>
      <c r="B7" s="10" t="s">
        <v>7</v>
      </c>
      <c r="C7" s="11"/>
      <c r="D7" s="13"/>
      <c r="E7" s="9"/>
    </row>
    <row r="8" spans="1:5">
      <c r="A8" s="9"/>
      <c r="B8" s="14" t="s">
        <v>8</v>
      </c>
      <c r="C8" s="15" t="s">
        <v>9</v>
      </c>
      <c r="D8" s="13"/>
      <c r="E8" s="35">
        <v>1350000</v>
      </c>
    </row>
    <row r="9" spans="1:5">
      <c r="A9" s="9"/>
      <c r="B9" s="14" t="s">
        <v>10</v>
      </c>
      <c r="C9" s="15" t="s">
        <v>11</v>
      </c>
      <c r="D9" s="13"/>
      <c r="E9" s="35">
        <v>500000</v>
      </c>
    </row>
    <row r="10" spans="1:5">
      <c r="A10" s="17"/>
      <c r="B10" s="18" t="s">
        <v>12</v>
      </c>
      <c r="C10" s="19" t="s">
        <v>13</v>
      </c>
      <c r="D10" s="21"/>
      <c r="E10" s="52">
        <v>1250000</v>
      </c>
    </row>
    <row r="11" spans="1:5">
      <c r="A11" s="22"/>
      <c r="B11" s="23" t="s">
        <v>14</v>
      </c>
      <c r="C11" s="24"/>
      <c r="D11" s="26"/>
      <c r="E11" s="27">
        <f>SUM(E8:E10)</f>
        <v>3100000</v>
      </c>
    </row>
    <row r="12" spans="1:5">
      <c r="A12" s="28"/>
      <c r="B12" s="29"/>
      <c r="C12" s="30"/>
      <c r="D12" s="32"/>
      <c r="E12" s="16"/>
    </row>
    <row r="13" spans="1:5">
      <c r="A13" s="9" t="s">
        <v>15</v>
      </c>
      <c r="B13" s="14" t="s">
        <v>16</v>
      </c>
      <c r="C13" s="33"/>
      <c r="D13" s="13"/>
      <c r="E13" s="35"/>
    </row>
    <row r="14" spans="1:5">
      <c r="A14" s="9"/>
      <c r="B14" s="14" t="s">
        <v>8</v>
      </c>
      <c r="C14" s="15" t="s">
        <v>17</v>
      </c>
      <c r="D14" s="13"/>
      <c r="E14" s="35">
        <v>805000</v>
      </c>
    </row>
    <row r="15" spans="1:5">
      <c r="A15" s="17"/>
      <c r="B15" s="18" t="s">
        <v>10</v>
      </c>
      <c r="C15" s="19" t="s">
        <v>18</v>
      </c>
      <c r="D15" s="21"/>
      <c r="E15" s="52">
        <v>393000</v>
      </c>
    </row>
    <row r="16" spans="1:5">
      <c r="A16" s="22"/>
      <c r="B16" s="23" t="s">
        <v>19</v>
      </c>
      <c r="C16" s="24"/>
      <c r="D16" s="26"/>
      <c r="E16" s="27">
        <f>SUM(E14:E15)</f>
        <v>1198000</v>
      </c>
    </row>
    <row r="17" spans="1:5">
      <c r="A17" s="28"/>
      <c r="B17" s="29"/>
      <c r="C17" s="30"/>
      <c r="D17" s="32"/>
      <c r="E17" s="16"/>
    </row>
    <row r="18" spans="1:5">
      <c r="A18" s="9" t="s">
        <v>20</v>
      </c>
      <c r="B18" s="14" t="s">
        <v>21</v>
      </c>
      <c r="C18" s="33"/>
      <c r="D18" s="34"/>
      <c r="E18" s="35"/>
    </row>
    <row r="19" spans="1:5">
      <c r="A19" s="9"/>
      <c r="B19" s="14" t="s">
        <v>8</v>
      </c>
      <c r="C19" s="15" t="s">
        <v>22</v>
      </c>
      <c r="D19" s="13"/>
      <c r="E19" s="35">
        <v>150000</v>
      </c>
    </row>
    <row r="20" spans="1:5">
      <c r="A20" s="17"/>
      <c r="B20" s="18" t="s">
        <v>10</v>
      </c>
      <c r="C20" s="19" t="s">
        <v>23</v>
      </c>
      <c r="D20" s="21"/>
      <c r="E20" s="52">
        <v>1250000</v>
      </c>
    </row>
    <row r="21" spans="1:5">
      <c r="A21" s="22"/>
      <c r="B21" s="23" t="s">
        <v>21</v>
      </c>
      <c r="C21" s="24"/>
      <c r="D21" s="26"/>
      <c r="E21" s="27">
        <f>SUM(E19:E20)</f>
        <v>1400000</v>
      </c>
    </row>
    <row r="22" spans="1:5">
      <c r="A22" s="28"/>
      <c r="B22" s="29"/>
      <c r="C22" s="30"/>
      <c r="D22" s="32"/>
      <c r="E22" s="16"/>
    </row>
    <row r="23" spans="1:5">
      <c r="A23" s="9" t="s">
        <v>24</v>
      </c>
      <c r="B23" s="14" t="s">
        <v>25</v>
      </c>
      <c r="C23" s="15"/>
      <c r="D23" s="13"/>
      <c r="E23" s="35"/>
    </row>
    <row r="24" spans="1:5">
      <c r="A24" s="9"/>
      <c r="B24" s="14" t="s">
        <v>8</v>
      </c>
      <c r="C24" s="15" t="s">
        <v>26</v>
      </c>
      <c r="D24" s="13"/>
      <c r="E24" s="35">
        <v>3300000</v>
      </c>
    </row>
    <row r="25" spans="1:5">
      <c r="A25" s="9"/>
      <c r="B25" s="14" t="s">
        <v>10</v>
      </c>
      <c r="C25" s="15" t="s">
        <v>27</v>
      </c>
      <c r="D25" s="13"/>
      <c r="E25" s="35"/>
    </row>
    <row r="26" spans="1:5">
      <c r="A26" s="9"/>
      <c r="B26" s="36"/>
      <c r="C26" s="37">
        <v>2.1</v>
      </c>
      <c r="D26" s="39" t="s">
        <v>28</v>
      </c>
      <c r="E26" s="53">
        <v>800000</v>
      </c>
    </row>
    <row r="27" spans="1:5">
      <c r="A27" s="9"/>
      <c r="B27" s="36"/>
      <c r="C27" s="37">
        <v>2.2000000000000002</v>
      </c>
      <c r="D27" s="39" t="s">
        <v>29</v>
      </c>
      <c r="E27" s="53">
        <v>1500000</v>
      </c>
    </row>
    <row r="28" spans="1:5">
      <c r="A28" s="9"/>
      <c r="B28" s="36"/>
      <c r="C28" s="37">
        <v>2.2999999999999998</v>
      </c>
      <c r="D28" s="39" t="s">
        <v>30</v>
      </c>
      <c r="E28" s="53">
        <v>5000000</v>
      </c>
    </row>
    <row r="29" spans="1:5">
      <c r="A29" s="17"/>
      <c r="B29" s="54"/>
      <c r="C29" s="55">
        <v>2.4</v>
      </c>
      <c r="D29" s="57" t="s">
        <v>31</v>
      </c>
      <c r="E29" s="58">
        <v>300000</v>
      </c>
    </row>
    <row r="30" spans="1:5">
      <c r="A30" s="42"/>
      <c r="B30" s="41" t="s">
        <v>32</v>
      </c>
      <c r="C30" s="46"/>
      <c r="D30" s="50"/>
      <c r="E30" s="59">
        <f>SUM(E24:E29)</f>
        <v>10900000</v>
      </c>
    </row>
    <row r="31" spans="1:5">
      <c r="A31" s="45"/>
      <c r="B31" s="60"/>
      <c r="C31" s="44"/>
      <c r="D31" s="43"/>
      <c r="E31" s="45"/>
    </row>
    <row r="32" spans="1:5">
      <c r="A32" s="22"/>
      <c r="B32" s="22" t="s">
        <v>33</v>
      </c>
      <c r="C32" s="22"/>
      <c r="D32" s="22"/>
      <c r="E32" s="47">
        <f>SUM(E11,E16,E21,E30)</f>
        <v>16598000</v>
      </c>
    </row>
    <row r="35" spans="2:5">
      <c r="B35" s="105" t="s">
        <v>34</v>
      </c>
      <c r="C35" s="105"/>
      <c r="D35" s="105"/>
      <c r="E35" s="105"/>
    </row>
    <row r="36" spans="2:5">
      <c r="B36" s="105" t="s">
        <v>35</v>
      </c>
      <c r="C36" s="105"/>
      <c r="D36" s="105"/>
      <c r="E36" s="105"/>
    </row>
    <row r="37" spans="2:5">
      <c r="D37" s="49" t="s">
        <v>36</v>
      </c>
      <c r="E37" s="48" t="s">
        <v>37</v>
      </c>
    </row>
    <row r="41" spans="2:5">
      <c r="D41" s="49" t="s">
        <v>38</v>
      </c>
      <c r="E41" t="s">
        <v>39</v>
      </c>
    </row>
    <row r="58" spans="4:4">
      <c r="D58" s="51">
        <v>11</v>
      </c>
    </row>
  </sheetData>
  <mergeCells count="6">
    <mergeCell ref="B36:E36"/>
    <mergeCell ref="A1:E1"/>
    <mergeCell ref="A2:E2"/>
    <mergeCell ref="A3:E3"/>
    <mergeCell ref="B5:D5"/>
    <mergeCell ref="B35:E35"/>
  </mergeCells>
  <pageMargins left="1.2" right="0.7" top="0.5" bottom="0.2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opLeftCell="A30" workbookViewId="0">
      <selection activeCell="H50" sqref="H50"/>
    </sheetView>
  </sheetViews>
  <sheetFormatPr defaultColWidth="9" defaultRowHeight="15"/>
  <cols>
    <col min="1" max="1" width="5" customWidth="1"/>
    <col min="2" max="2" width="3.28515625" customWidth="1"/>
    <col min="3" max="3" width="5" customWidth="1"/>
    <col min="4" max="4" width="12.5703125" customWidth="1"/>
    <col min="5" max="5" width="13.28515625" customWidth="1"/>
    <col min="6" max="6" width="16.28515625" customWidth="1"/>
    <col min="7" max="7" width="13.42578125" customWidth="1"/>
    <col min="8" max="8" width="17.42578125" customWidth="1"/>
    <col min="9" max="9" width="1.5703125" customWidth="1"/>
  </cols>
  <sheetData>
    <row r="1" spans="1:8">
      <c r="A1" s="111" t="s">
        <v>40</v>
      </c>
      <c r="B1" s="111"/>
      <c r="C1" s="111"/>
      <c r="D1" s="111"/>
      <c r="E1" s="111"/>
      <c r="F1" s="111"/>
      <c r="G1" s="111"/>
      <c r="H1" s="111"/>
    </row>
    <row r="2" spans="1:8">
      <c r="A2" s="105" t="s">
        <v>41</v>
      </c>
      <c r="B2" s="105"/>
      <c r="C2" s="105"/>
      <c r="D2" s="105"/>
      <c r="E2" s="105"/>
      <c r="F2" s="105"/>
      <c r="G2" s="105"/>
      <c r="H2" s="105"/>
    </row>
    <row r="3" spans="1:8">
      <c r="A3" s="105" t="s">
        <v>42</v>
      </c>
      <c r="B3" s="105"/>
      <c r="C3" s="105"/>
      <c r="D3" s="105"/>
      <c r="E3" s="105"/>
      <c r="F3" s="105"/>
      <c r="G3" s="105"/>
      <c r="H3" s="105"/>
    </row>
    <row r="4" spans="1:8">
      <c r="A4" s="105" t="s">
        <v>43</v>
      </c>
      <c r="B4" s="105"/>
      <c r="C4" s="105"/>
      <c r="D4" s="105"/>
      <c r="E4" s="105"/>
      <c r="F4" s="105"/>
      <c r="G4" s="105"/>
      <c r="H4" s="105"/>
    </row>
    <row r="5" spans="1:8">
      <c r="A5" s="1"/>
      <c r="B5" s="1"/>
      <c r="C5" s="1"/>
      <c r="D5" s="1"/>
      <c r="E5" s="1"/>
      <c r="F5" s="1"/>
      <c r="G5" s="1"/>
      <c r="H5" s="2"/>
    </row>
    <row r="7" spans="1:8" ht="18.75">
      <c r="A7" s="106" t="s">
        <v>0</v>
      </c>
      <c r="B7" s="106"/>
      <c r="C7" s="106"/>
      <c r="D7" s="106"/>
      <c r="E7" s="106"/>
      <c r="F7" s="106"/>
      <c r="G7" s="106"/>
      <c r="H7" s="106"/>
    </row>
    <row r="8" spans="1:8">
      <c r="A8" s="105" t="s">
        <v>44</v>
      </c>
      <c r="B8" s="105"/>
      <c r="C8" s="105"/>
      <c r="D8" s="105"/>
      <c r="E8" s="105"/>
      <c r="F8" s="105"/>
      <c r="G8" s="105"/>
      <c r="H8" s="105"/>
    </row>
    <row r="10" spans="1:8">
      <c r="A10" s="3" t="s">
        <v>3</v>
      </c>
      <c r="B10" s="108" t="s">
        <v>4</v>
      </c>
      <c r="C10" s="109"/>
      <c r="D10" s="109"/>
      <c r="E10" s="109"/>
      <c r="F10" s="109"/>
      <c r="G10" s="110"/>
      <c r="H10" s="3" t="s">
        <v>5</v>
      </c>
    </row>
    <row r="11" spans="1:8">
      <c r="A11" s="5"/>
      <c r="B11" s="6"/>
      <c r="C11" s="7"/>
      <c r="D11" s="7"/>
      <c r="E11" s="7"/>
      <c r="F11" s="7"/>
      <c r="G11" s="8"/>
      <c r="H11" s="5"/>
    </row>
    <row r="12" spans="1:8">
      <c r="A12" s="9" t="s">
        <v>6</v>
      </c>
      <c r="B12" s="10" t="s">
        <v>7</v>
      </c>
      <c r="C12" s="11"/>
      <c r="D12" s="12"/>
      <c r="E12" s="12"/>
      <c r="F12" s="12"/>
      <c r="G12" s="13"/>
      <c r="H12" s="9"/>
    </row>
    <row r="13" spans="1:8">
      <c r="A13" s="9"/>
      <c r="B13" s="14" t="s">
        <v>8</v>
      </c>
      <c r="C13" s="15" t="s">
        <v>9</v>
      </c>
      <c r="D13" s="12"/>
      <c r="E13" s="12"/>
      <c r="F13" s="12"/>
      <c r="G13" s="13"/>
      <c r="H13" s="35">
        <v>2080000</v>
      </c>
    </row>
    <row r="14" spans="1:8">
      <c r="A14" s="9"/>
      <c r="B14" s="14" t="s">
        <v>10</v>
      </c>
      <c r="C14" s="15" t="s">
        <v>11</v>
      </c>
      <c r="D14" s="12"/>
      <c r="E14" s="12"/>
      <c r="F14" s="12"/>
      <c r="G14" s="13"/>
      <c r="H14" s="35">
        <v>738000</v>
      </c>
    </row>
    <row r="15" spans="1:8">
      <c r="A15" s="17"/>
      <c r="B15" s="18" t="s">
        <v>12</v>
      </c>
      <c r="C15" s="19" t="s">
        <v>13</v>
      </c>
      <c r="D15" s="20"/>
      <c r="E15" s="20"/>
      <c r="F15" s="20"/>
      <c r="G15" s="21"/>
      <c r="H15" s="52">
        <v>2400000</v>
      </c>
    </row>
    <row r="16" spans="1:8">
      <c r="A16" s="22"/>
      <c r="B16" s="23" t="s">
        <v>14</v>
      </c>
      <c r="C16" s="24"/>
      <c r="D16" s="25"/>
      <c r="E16" s="25"/>
      <c r="F16" s="25"/>
      <c r="G16" s="26"/>
      <c r="H16" s="27">
        <f>SUM(H13:H15)</f>
        <v>5218000</v>
      </c>
    </row>
    <row r="17" spans="1:8">
      <c r="A17" s="28"/>
      <c r="B17" s="29"/>
      <c r="C17" s="30"/>
      <c r="D17" s="31"/>
      <c r="E17" s="31"/>
      <c r="F17" s="31"/>
      <c r="G17" s="32"/>
      <c r="H17" s="16"/>
    </row>
    <row r="18" spans="1:8">
      <c r="A18" s="9" t="s">
        <v>15</v>
      </c>
      <c r="B18" s="14" t="s">
        <v>16</v>
      </c>
      <c r="C18" s="33"/>
      <c r="D18" s="12"/>
      <c r="E18" s="12"/>
      <c r="F18" s="12"/>
      <c r="G18" s="13"/>
      <c r="H18" s="35"/>
    </row>
    <row r="19" spans="1:8">
      <c r="A19" s="9"/>
      <c r="B19" s="14" t="s">
        <v>8</v>
      </c>
      <c r="C19" s="15" t="s">
        <v>17</v>
      </c>
      <c r="D19" s="12"/>
      <c r="E19" s="12"/>
      <c r="F19" s="12"/>
      <c r="G19" s="13"/>
      <c r="H19" s="35">
        <v>1896000</v>
      </c>
    </row>
    <row r="20" spans="1:8">
      <c r="A20" s="17"/>
      <c r="B20" s="18" t="s">
        <v>10</v>
      </c>
      <c r="C20" s="19" t="s">
        <v>18</v>
      </c>
      <c r="D20" s="20"/>
      <c r="E20" s="20"/>
      <c r="F20" s="20"/>
      <c r="G20" s="21"/>
      <c r="H20" s="52">
        <v>1140000</v>
      </c>
    </row>
    <row r="21" spans="1:8">
      <c r="A21" s="22"/>
      <c r="B21" s="23" t="s">
        <v>19</v>
      </c>
      <c r="C21" s="24"/>
      <c r="D21" s="25"/>
      <c r="E21" s="25"/>
      <c r="F21" s="25"/>
      <c r="G21" s="26"/>
      <c r="H21" s="27">
        <f>SUM(H19:H20)</f>
        <v>3036000</v>
      </c>
    </row>
    <row r="22" spans="1:8">
      <c r="A22" s="28"/>
      <c r="B22" s="29"/>
      <c r="C22" s="30"/>
      <c r="D22" s="31"/>
      <c r="E22" s="31"/>
      <c r="F22" s="31"/>
      <c r="G22" s="32"/>
      <c r="H22" s="16"/>
    </row>
    <row r="23" spans="1:8">
      <c r="A23" s="9" t="s">
        <v>20</v>
      </c>
      <c r="B23" s="14" t="s">
        <v>21</v>
      </c>
      <c r="C23" s="33"/>
      <c r="D23" s="33"/>
      <c r="E23" s="33"/>
      <c r="F23" s="33"/>
      <c r="G23" s="34"/>
      <c r="H23" s="35"/>
    </row>
    <row r="24" spans="1:8">
      <c r="A24" s="9"/>
      <c r="B24" s="14" t="s">
        <v>8</v>
      </c>
      <c r="C24" s="15" t="s">
        <v>22</v>
      </c>
      <c r="D24" s="12"/>
      <c r="E24" s="12"/>
      <c r="F24" s="12"/>
      <c r="G24" s="13"/>
      <c r="H24" s="35">
        <v>850000</v>
      </c>
    </row>
    <row r="25" spans="1:8">
      <c r="A25" s="17"/>
      <c r="B25" s="18" t="s">
        <v>10</v>
      </c>
      <c r="C25" s="19" t="s">
        <v>23</v>
      </c>
      <c r="D25" s="20"/>
      <c r="E25" s="20"/>
      <c r="F25" s="20"/>
      <c r="G25" s="21"/>
      <c r="H25" s="52">
        <v>2500000</v>
      </c>
    </row>
    <row r="26" spans="1:8">
      <c r="A26" s="22"/>
      <c r="B26" s="23" t="s">
        <v>21</v>
      </c>
      <c r="C26" s="24"/>
      <c r="D26" s="25"/>
      <c r="E26" s="25"/>
      <c r="F26" s="25"/>
      <c r="G26" s="26"/>
      <c r="H26" s="27">
        <f>SUM(H24:H25)</f>
        <v>3350000</v>
      </c>
    </row>
    <row r="27" spans="1:8">
      <c r="A27" s="28"/>
      <c r="B27" s="29"/>
      <c r="C27" s="30"/>
      <c r="D27" s="31"/>
      <c r="E27" s="31"/>
      <c r="F27" s="31"/>
      <c r="G27" s="32"/>
      <c r="H27" s="16"/>
    </row>
    <row r="28" spans="1:8">
      <c r="A28" s="9" t="s">
        <v>24</v>
      </c>
      <c r="B28" s="14" t="s">
        <v>25</v>
      </c>
      <c r="C28" s="15"/>
      <c r="D28" s="12"/>
      <c r="E28" s="12"/>
      <c r="F28" s="12"/>
      <c r="G28" s="13"/>
      <c r="H28" s="35"/>
    </row>
    <row r="29" spans="1:8">
      <c r="A29" s="9"/>
      <c r="B29" s="14" t="s">
        <v>8</v>
      </c>
      <c r="C29" s="15" t="s">
        <v>26</v>
      </c>
      <c r="D29" s="12"/>
      <c r="E29" s="12"/>
      <c r="F29" s="12"/>
      <c r="G29" s="13"/>
      <c r="H29" s="35">
        <v>5500000</v>
      </c>
    </row>
    <row r="30" spans="1:8">
      <c r="A30" s="9"/>
      <c r="B30" s="14" t="s">
        <v>10</v>
      </c>
      <c r="C30" s="15" t="s">
        <v>27</v>
      </c>
      <c r="D30" s="12"/>
      <c r="E30" s="12"/>
      <c r="F30" s="12"/>
      <c r="G30" s="13"/>
      <c r="H30" s="35"/>
    </row>
    <row r="31" spans="1:8">
      <c r="A31" s="9"/>
      <c r="B31" s="36"/>
      <c r="C31" s="37">
        <v>2.1</v>
      </c>
      <c r="D31" s="38" t="s">
        <v>28</v>
      </c>
      <c r="E31" s="38"/>
      <c r="F31" s="38"/>
      <c r="G31" s="39"/>
      <c r="H31" s="53">
        <v>700000</v>
      </c>
    </row>
    <row r="32" spans="1:8">
      <c r="A32" s="9"/>
      <c r="B32" s="36"/>
      <c r="C32" s="37">
        <v>2.2000000000000002</v>
      </c>
      <c r="D32" s="38" t="s">
        <v>29</v>
      </c>
      <c r="E32" s="38"/>
      <c r="F32" s="38"/>
      <c r="G32" s="39"/>
      <c r="H32" s="53">
        <v>2080000</v>
      </c>
    </row>
    <row r="33" spans="1:8">
      <c r="A33" s="9"/>
      <c r="B33" s="36"/>
      <c r="C33" s="37">
        <v>2.2999999999999998</v>
      </c>
      <c r="D33" s="38" t="s">
        <v>30</v>
      </c>
      <c r="E33" s="38"/>
      <c r="F33" s="38"/>
      <c r="G33" s="39"/>
      <c r="H33" s="53">
        <v>10400000</v>
      </c>
    </row>
    <row r="34" spans="1:8">
      <c r="A34" s="17"/>
      <c r="B34" s="54"/>
      <c r="C34" s="55">
        <v>2.4</v>
      </c>
      <c r="D34" s="56" t="s">
        <v>31</v>
      </c>
      <c r="E34" s="40"/>
      <c r="F34" s="40"/>
      <c r="G34" s="57"/>
      <c r="H34" s="58">
        <v>520000</v>
      </c>
    </row>
    <row r="35" spans="1:8">
      <c r="A35" s="42"/>
      <c r="B35" s="41" t="s">
        <v>32</v>
      </c>
      <c r="C35" s="46"/>
      <c r="D35" s="46"/>
      <c r="E35" s="46"/>
      <c r="F35" s="46"/>
      <c r="G35" s="50"/>
      <c r="H35" s="59">
        <f>SUM(H29:H34)</f>
        <v>19200000</v>
      </c>
    </row>
    <row r="36" spans="1:8">
      <c r="A36" s="45"/>
      <c r="B36" s="60"/>
      <c r="C36" s="44"/>
      <c r="D36" s="44"/>
      <c r="E36" s="44"/>
      <c r="F36" s="44"/>
      <c r="G36" s="43"/>
      <c r="H36" s="45"/>
    </row>
    <row r="37" spans="1:8">
      <c r="A37" s="22"/>
      <c r="B37" s="22" t="s">
        <v>33</v>
      </c>
      <c r="C37" s="22"/>
      <c r="D37" s="61"/>
      <c r="E37" s="25"/>
      <c r="F37" s="25"/>
      <c r="G37" s="26"/>
      <c r="H37" s="47">
        <f>SUM(H16,H21,H26,H35)</f>
        <v>30804000</v>
      </c>
    </row>
    <row r="40" spans="1:8">
      <c r="B40" s="105" t="s">
        <v>45</v>
      </c>
      <c r="C40" s="105"/>
      <c r="D40" s="105"/>
      <c r="E40" s="105"/>
      <c r="F40" s="105"/>
      <c r="G40" s="105"/>
      <c r="H40" s="105"/>
    </row>
    <row r="41" spans="1:8">
      <c r="B41" s="105" t="s">
        <v>35</v>
      </c>
      <c r="C41" s="105"/>
      <c r="D41" s="105"/>
      <c r="E41" s="105"/>
      <c r="F41" s="105"/>
      <c r="G41" s="105"/>
      <c r="H41" s="105"/>
    </row>
    <row r="42" spans="1:8">
      <c r="D42" s="48" t="s">
        <v>36</v>
      </c>
      <c r="E42" t="s">
        <v>46</v>
      </c>
      <c r="F42" t="s">
        <v>47</v>
      </c>
      <c r="G42" t="s">
        <v>37</v>
      </c>
      <c r="H42" t="s">
        <v>48</v>
      </c>
    </row>
    <row r="43" spans="1:8">
      <c r="D43" s="48"/>
    </row>
    <row r="44" spans="1:8">
      <c r="D44" s="48"/>
    </row>
    <row r="45" spans="1:8">
      <c r="D45" s="49"/>
      <c r="E45" s="49"/>
      <c r="F45" s="49"/>
      <c r="G45" s="49"/>
      <c r="H45" t="s">
        <v>39</v>
      </c>
    </row>
    <row r="47" spans="1:8">
      <c r="D47" t="s">
        <v>38</v>
      </c>
      <c r="E47" t="s">
        <v>49</v>
      </c>
      <c r="F47" t="s">
        <v>50</v>
      </c>
      <c r="G47" t="s">
        <v>39</v>
      </c>
      <c r="H47" t="s">
        <v>51</v>
      </c>
    </row>
    <row r="52" spans="4:7">
      <c r="F52" s="48">
        <v>11</v>
      </c>
    </row>
    <row r="62" spans="4:7">
      <c r="D62" s="51"/>
      <c r="E62" s="51"/>
      <c r="F62" s="51"/>
      <c r="G62" s="51"/>
    </row>
  </sheetData>
  <mergeCells count="9">
    <mergeCell ref="A8:H8"/>
    <mergeCell ref="B10:G10"/>
    <mergeCell ref="B40:H40"/>
    <mergeCell ref="B41:H41"/>
    <mergeCell ref="A1:H1"/>
    <mergeCell ref="A2:H2"/>
    <mergeCell ref="A3:H3"/>
    <mergeCell ref="A4:H4"/>
    <mergeCell ref="A7:H7"/>
  </mergeCells>
  <pageMargins left="1.2" right="0.45" top="0.5" bottom="0.25" header="0.3" footer="0.3"/>
  <pageSetup paperSize="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"/>
  <sheetViews>
    <sheetView workbookViewId="0">
      <selection sqref="A1:XFD1048576"/>
    </sheetView>
  </sheetViews>
  <sheetFormatPr defaultColWidth="9" defaultRowHeight="15"/>
  <cols>
    <col min="1" max="1" width="5" customWidth="1"/>
    <col min="2" max="2" width="3.28515625" customWidth="1"/>
    <col min="3" max="3" width="5" customWidth="1"/>
    <col min="4" max="4" width="12.5703125" customWidth="1"/>
    <col min="5" max="5" width="13.28515625" customWidth="1"/>
    <col min="6" max="6" width="16.28515625" customWidth="1"/>
    <col min="7" max="7" width="13.42578125" customWidth="1"/>
    <col min="8" max="8" width="17.42578125" customWidth="1"/>
    <col min="9" max="9" width="1.5703125" customWidth="1"/>
    <col min="10" max="10" width="10.5703125"/>
  </cols>
  <sheetData>
    <row r="1" spans="1:8">
      <c r="A1" s="111" t="s">
        <v>40</v>
      </c>
      <c r="B1" s="111"/>
      <c r="C1" s="111"/>
      <c r="D1" s="111"/>
      <c r="E1" s="111"/>
      <c r="F1" s="111"/>
      <c r="G1" s="111"/>
      <c r="H1" s="111"/>
    </row>
    <row r="2" spans="1:8">
      <c r="A2" s="105" t="s">
        <v>41</v>
      </c>
      <c r="B2" s="105"/>
      <c r="C2" s="105"/>
      <c r="D2" s="105"/>
      <c r="E2" s="105"/>
      <c r="F2" s="105"/>
      <c r="G2" s="105"/>
      <c r="H2" s="105"/>
    </row>
    <row r="3" spans="1:8">
      <c r="A3" s="105" t="s">
        <v>42</v>
      </c>
      <c r="B3" s="105"/>
      <c r="C3" s="105"/>
      <c r="D3" s="105"/>
      <c r="E3" s="105"/>
      <c r="F3" s="105"/>
      <c r="G3" s="105"/>
      <c r="H3" s="105"/>
    </row>
    <row r="4" spans="1:8">
      <c r="A4" s="105" t="s">
        <v>43</v>
      </c>
      <c r="B4" s="105"/>
      <c r="C4" s="105"/>
      <c r="D4" s="105"/>
      <c r="E4" s="105"/>
      <c r="F4" s="105"/>
      <c r="G4" s="105"/>
      <c r="H4" s="105"/>
    </row>
    <row r="5" spans="1:8">
      <c r="A5" s="1"/>
      <c r="B5" s="1"/>
      <c r="C5" s="1"/>
      <c r="D5" s="1"/>
      <c r="E5" s="1"/>
      <c r="F5" s="1"/>
      <c r="G5" s="1"/>
      <c r="H5" s="2"/>
    </row>
    <row r="7" spans="1:8" ht="18.75">
      <c r="A7" s="106" t="s">
        <v>0</v>
      </c>
      <c r="B7" s="106"/>
      <c r="C7" s="106"/>
      <c r="D7" s="106"/>
      <c r="E7" s="106"/>
      <c r="F7" s="106"/>
      <c r="G7" s="106"/>
      <c r="H7" s="106"/>
    </row>
    <row r="8" spans="1:8">
      <c r="A8" s="112" t="s">
        <v>55</v>
      </c>
      <c r="B8" s="105"/>
      <c r="C8" s="105"/>
      <c r="D8" s="105"/>
      <c r="E8" s="105"/>
      <c r="F8" s="105"/>
      <c r="G8" s="105"/>
      <c r="H8" s="105"/>
    </row>
    <row r="10" spans="1:8">
      <c r="A10" s="3" t="s">
        <v>3</v>
      </c>
      <c r="B10" s="108" t="s">
        <v>4</v>
      </c>
      <c r="C10" s="109"/>
      <c r="D10" s="109"/>
      <c r="E10" s="109"/>
      <c r="F10" s="109"/>
      <c r="G10" s="110"/>
      <c r="H10" s="3" t="s">
        <v>5</v>
      </c>
    </row>
    <row r="11" spans="1:8">
      <c r="A11" s="42"/>
      <c r="B11" s="41"/>
      <c r="C11" s="46"/>
      <c r="D11" s="46"/>
      <c r="E11" s="46"/>
      <c r="F11" s="46"/>
      <c r="G11" s="50"/>
      <c r="H11" s="42"/>
    </row>
    <row r="12" spans="1:8">
      <c r="A12" s="42" t="s">
        <v>6</v>
      </c>
      <c r="B12" s="62" t="s">
        <v>7</v>
      </c>
      <c r="C12" s="63"/>
      <c r="D12" s="46"/>
      <c r="E12" s="46"/>
      <c r="F12" s="46"/>
      <c r="G12" s="50"/>
      <c r="H12" s="42"/>
    </row>
    <row r="13" spans="1:8">
      <c r="A13" s="42"/>
      <c r="B13" s="64" t="s">
        <v>8</v>
      </c>
      <c r="C13" s="65" t="s">
        <v>9</v>
      </c>
      <c r="D13" s="46"/>
      <c r="E13" s="46"/>
      <c r="F13" s="46"/>
      <c r="G13" s="50"/>
      <c r="H13" s="76">
        <v>2700000</v>
      </c>
    </row>
    <row r="14" spans="1:8">
      <c r="A14" s="42"/>
      <c r="B14" s="64" t="s">
        <v>10</v>
      </c>
      <c r="C14" s="65" t="s">
        <v>11</v>
      </c>
      <c r="D14" s="46"/>
      <c r="E14" s="46"/>
      <c r="F14" s="46"/>
      <c r="G14" s="50"/>
      <c r="H14" s="76">
        <v>960000</v>
      </c>
    </row>
    <row r="15" spans="1:8">
      <c r="A15" s="42"/>
      <c r="B15" s="64" t="s">
        <v>12</v>
      </c>
      <c r="C15" s="65" t="s">
        <v>13</v>
      </c>
      <c r="D15" s="46"/>
      <c r="E15" s="46"/>
      <c r="F15" s="46"/>
      <c r="G15" s="50"/>
      <c r="H15" s="76">
        <v>3120000</v>
      </c>
    </row>
    <row r="16" spans="1:8">
      <c r="A16" s="22"/>
      <c r="B16" s="23" t="s">
        <v>14</v>
      </c>
      <c r="C16" s="24"/>
      <c r="D16" s="25"/>
      <c r="E16" s="25"/>
      <c r="F16" s="25"/>
      <c r="G16" s="26"/>
      <c r="H16" s="27">
        <f>SUM(H13:H15)</f>
        <v>6780000</v>
      </c>
    </row>
    <row r="17" spans="1:8">
      <c r="A17" s="42"/>
      <c r="B17" s="64"/>
      <c r="C17" s="65"/>
      <c r="D17" s="46"/>
      <c r="E17" s="46"/>
      <c r="F17" s="46"/>
      <c r="G17" s="50"/>
      <c r="H17" s="27"/>
    </row>
    <row r="18" spans="1:8">
      <c r="A18" s="42" t="s">
        <v>15</v>
      </c>
      <c r="B18" s="64" t="s">
        <v>16</v>
      </c>
      <c r="C18" s="66"/>
      <c r="D18" s="46"/>
      <c r="E18" s="46"/>
      <c r="F18" s="46"/>
      <c r="G18" s="46"/>
      <c r="H18" s="75"/>
    </row>
    <row r="19" spans="1:8">
      <c r="A19" s="42"/>
      <c r="B19" s="64" t="s">
        <v>8</v>
      </c>
      <c r="C19" s="65" t="s">
        <v>17</v>
      </c>
      <c r="D19" s="46"/>
      <c r="E19" s="46"/>
      <c r="F19" s="46"/>
      <c r="G19" s="50"/>
      <c r="H19" s="76">
        <v>3075000</v>
      </c>
    </row>
    <row r="20" spans="1:8">
      <c r="A20" s="42"/>
      <c r="B20" s="64" t="s">
        <v>10</v>
      </c>
      <c r="C20" s="65" t="s">
        <v>18</v>
      </c>
      <c r="D20" s="46"/>
      <c r="E20" s="46"/>
      <c r="F20" s="46"/>
      <c r="G20" s="50"/>
      <c r="H20" s="76">
        <v>1500000</v>
      </c>
    </row>
    <row r="21" spans="1:8">
      <c r="A21" s="22"/>
      <c r="B21" s="23" t="s">
        <v>19</v>
      </c>
      <c r="C21" s="24"/>
      <c r="D21" s="25"/>
      <c r="E21" s="25"/>
      <c r="F21" s="25"/>
      <c r="G21" s="26"/>
      <c r="H21" s="27">
        <f>SUM(H19:H20)</f>
        <v>4575000</v>
      </c>
    </row>
    <row r="22" spans="1:8">
      <c r="A22" s="42"/>
      <c r="B22" s="64"/>
      <c r="C22" s="65"/>
      <c r="D22" s="46"/>
      <c r="E22" s="46"/>
      <c r="F22" s="46"/>
      <c r="G22" s="50"/>
      <c r="H22" s="27"/>
    </row>
    <row r="23" spans="1:8">
      <c r="A23" s="42" t="s">
        <v>20</v>
      </c>
      <c r="B23" s="64" t="s">
        <v>21</v>
      </c>
      <c r="C23" s="66"/>
      <c r="D23" s="66"/>
      <c r="E23" s="66"/>
      <c r="F23" s="66"/>
      <c r="G23" s="67"/>
      <c r="H23" s="27"/>
    </row>
    <row r="24" spans="1:8">
      <c r="A24" s="42"/>
      <c r="B24" s="64" t="s">
        <v>8</v>
      </c>
      <c r="C24" s="65" t="s">
        <v>22</v>
      </c>
      <c r="D24" s="46"/>
      <c r="E24" s="46"/>
      <c r="F24" s="46"/>
      <c r="G24" s="50"/>
      <c r="H24" s="76">
        <v>1140000</v>
      </c>
    </row>
    <row r="25" spans="1:8">
      <c r="A25" s="42"/>
      <c r="B25" s="64" t="s">
        <v>10</v>
      </c>
      <c r="C25" s="65" t="s">
        <v>23</v>
      </c>
      <c r="D25" s="46"/>
      <c r="E25" s="46"/>
      <c r="F25" s="46"/>
      <c r="G25" s="50"/>
      <c r="H25" s="76">
        <v>2700000</v>
      </c>
    </row>
    <row r="26" spans="1:8">
      <c r="A26" s="22"/>
      <c r="B26" s="23" t="s">
        <v>21</v>
      </c>
      <c r="C26" s="24"/>
      <c r="D26" s="25"/>
      <c r="E26" s="25"/>
      <c r="F26" s="25"/>
      <c r="G26" s="26"/>
      <c r="H26" s="27">
        <f>SUM(H24:H25)</f>
        <v>3840000</v>
      </c>
    </row>
    <row r="27" spans="1:8">
      <c r="A27" s="42"/>
      <c r="B27" s="64"/>
      <c r="C27" s="65"/>
      <c r="D27" s="46"/>
      <c r="E27" s="46"/>
      <c r="F27" s="46"/>
      <c r="G27" s="50"/>
      <c r="H27" s="27"/>
    </row>
    <row r="28" spans="1:8">
      <c r="A28" s="42" t="s">
        <v>24</v>
      </c>
      <c r="B28" s="64" t="s">
        <v>25</v>
      </c>
      <c r="C28" s="65"/>
      <c r="D28" s="46"/>
      <c r="E28" s="46"/>
      <c r="F28" s="46"/>
      <c r="G28" s="50"/>
      <c r="H28" s="27"/>
    </row>
    <row r="29" spans="1:8">
      <c r="A29" s="42"/>
      <c r="B29" s="64" t="s">
        <v>8</v>
      </c>
      <c r="C29" s="65" t="s">
        <v>26</v>
      </c>
      <c r="D29" s="46"/>
      <c r="E29" s="46"/>
      <c r="F29" s="46"/>
      <c r="G29" s="50"/>
      <c r="H29" s="27">
        <v>12100000</v>
      </c>
    </row>
    <row r="30" spans="1:8">
      <c r="A30" s="42"/>
      <c r="B30" s="64" t="s">
        <v>10</v>
      </c>
      <c r="C30" s="65" t="s">
        <v>27</v>
      </c>
      <c r="D30" s="46"/>
      <c r="E30" s="46"/>
      <c r="F30" s="46"/>
      <c r="G30" s="50"/>
      <c r="H30" s="27"/>
    </row>
    <row r="31" spans="1:8">
      <c r="A31" s="42"/>
      <c r="B31" s="41"/>
      <c r="C31" s="4">
        <v>2.1</v>
      </c>
      <c r="D31" s="68" t="s">
        <v>28</v>
      </c>
      <c r="E31" s="68"/>
      <c r="F31" s="68"/>
      <c r="G31" s="69"/>
      <c r="H31" s="76">
        <v>1264000</v>
      </c>
    </row>
    <row r="32" spans="1:8">
      <c r="A32" s="42"/>
      <c r="B32" s="41"/>
      <c r="C32" s="4">
        <v>2.2000000000000002</v>
      </c>
      <c r="D32" s="68" t="s">
        <v>29</v>
      </c>
      <c r="E32" s="68"/>
      <c r="F32" s="68"/>
      <c r="G32" s="69"/>
      <c r="H32" s="76">
        <v>3950000</v>
      </c>
    </row>
    <row r="33" spans="1:8">
      <c r="A33" s="42"/>
      <c r="B33" s="41"/>
      <c r="C33" s="4">
        <v>2.2999999999999998</v>
      </c>
      <c r="D33" s="68" t="s">
        <v>30</v>
      </c>
      <c r="E33" s="68"/>
      <c r="F33" s="68"/>
      <c r="G33" s="69"/>
      <c r="H33" s="76">
        <v>9480000</v>
      </c>
    </row>
    <row r="34" spans="1:8">
      <c r="A34" s="70"/>
      <c r="B34" s="41"/>
      <c r="C34" s="4">
        <v>2.4</v>
      </c>
      <c r="D34" s="68" t="s">
        <v>52</v>
      </c>
      <c r="E34" s="68"/>
      <c r="F34" s="68"/>
      <c r="G34" s="69"/>
      <c r="H34" s="77">
        <v>300000</v>
      </c>
    </row>
    <row r="35" spans="1:8">
      <c r="A35" s="71"/>
      <c r="B35" s="41"/>
      <c r="C35" s="4">
        <v>2.5</v>
      </c>
      <c r="D35" s="68" t="s">
        <v>53</v>
      </c>
      <c r="E35" s="68"/>
      <c r="F35" s="68"/>
      <c r="G35" s="69"/>
      <c r="H35" s="77">
        <v>100000</v>
      </c>
    </row>
    <row r="36" spans="1:8">
      <c r="A36" s="70"/>
      <c r="B36" s="72"/>
      <c r="C36" s="73">
        <v>2.6</v>
      </c>
      <c r="D36" s="68" t="s">
        <v>31</v>
      </c>
      <c r="E36" s="68"/>
      <c r="F36" s="68"/>
      <c r="G36" s="74"/>
      <c r="H36" s="75">
        <v>600000</v>
      </c>
    </row>
    <row r="37" spans="1:8">
      <c r="A37" s="71"/>
      <c r="B37" s="46"/>
      <c r="C37" s="4"/>
      <c r="D37" s="68"/>
      <c r="E37" s="68"/>
      <c r="F37" s="68"/>
      <c r="G37" s="68"/>
      <c r="H37" s="77"/>
    </row>
    <row r="38" spans="1:8">
      <c r="A38" s="41"/>
      <c r="B38" s="42" t="s">
        <v>32</v>
      </c>
      <c r="C38" s="42"/>
      <c r="D38" s="50"/>
      <c r="E38" s="46"/>
      <c r="F38" s="46"/>
      <c r="G38" s="50"/>
      <c r="H38" s="77">
        <f>SUM(H29:H37)</f>
        <v>27794000</v>
      </c>
    </row>
    <row r="39" spans="1:8">
      <c r="A39" s="42"/>
      <c r="B39" s="41"/>
      <c r="C39" s="46"/>
      <c r="D39" s="46"/>
      <c r="E39" s="46"/>
      <c r="F39" s="46"/>
      <c r="G39" s="50"/>
      <c r="H39" s="77"/>
    </row>
    <row r="40" spans="1:8">
      <c r="A40" s="22"/>
      <c r="B40" s="22" t="s">
        <v>33</v>
      </c>
      <c r="C40" s="22"/>
      <c r="D40" s="25"/>
      <c r="E40" s="25"/>
      <c r="F40" s="25"/>
      <c r="G40" s="26"/>
      <c r="H40" s="78">
        <f>SUM(H16,H21,H26,H38)</f>
        <v>42989000</v>
      </c>
    </row>
    <row r="43" spans="1:8">
      <c r="B43" s="112" t="s">
        <v>56</v>
      </c>
      <c r="C43" s="105"/>
      <c r="D43" s="105"/>
      <c r="E43" s="105"/>
      <c r="F43" s="105"/>
      <c r="G43" s="105"/>
      <c r="H43" s="105"/>
    </row>
    <row r="44" spans="1:8">
      <c r="B44" s="105" t="s">
        <v>35</v>
      </c>
      <c r="C44" s="105"/>
      <c r="D44" s="105"/>
      <c r="E44" s="105"/>
      <c r="F44" s="105"/>
      <c r="G44" s="105"/>
      <c r="H44" s="105"/>
    </row>
    <row r="45" spans="1:8">
      <c r="D45" s="48" t="s">
        <v>36</v>
      </c>
      <c r="E45" t="s">
        <v>46</v>
      </c>
      <c r="F45" t="s">
        <v>47</v>
      </c>
      <c r="G45" t="s">
        <v>37</v>
      </c>
      <c r="H45" t="s">
        <v>57</v>
      </c>
    </row>
    <row r="46" spans="1:8">
      <c r="D46" s="48"/>
    </row>
    <row r="47" spans="1:8">
      <c r="D47" s="48"/>
    </row>
    <row r="48" spans="1:8">
      <c r="D48" s="49"/>
      <c r="E48" s="49"/>
      <c r="F48" s="49"/>
      <c r="G48" s="49"/>
    </row>
    <row r="50" spans="4:8">
      <c r="D50" t="s">
        <v>38</v>
      </c>
      <c r="E50" t="s">
        <v>49</v>
      </c>
      <c r="F50" t="s">
        <v>50</v>
      </c>
      <c r="G50" t="s">
        <v>39</v>
      </c>
      <c r="H50" t="s">
        <v>54</v>
      </c>
    </row>
    <row r="53" spans="4:8">
      <c r="F53" s="48">
        <v>11</v>
      </c>
    </row>
    <row r="65" spans="4:7">
      <c r="D65" s="51"/>
      <c r="E65" s="51"/>
      <c r="F65" s="51"/>
      <c r="G65" s="51"/>
    </row>
  </sheetData>
  <mergeCells count="9">
    <mergeCell ref="A8:H8"/>
    <mergeCell ref="B10:G10"/>
    <mergeCell ref="B43:H43"/>
    <mergeCell ref="B44:H44"/>
    <mergeCell ref="A1:H1"/>
    <mergeCell ref="A2:H2"/>
    <mergeCell ref="A3:H3"/>
    <mergeCell ref="A4:H4"/>
    <mergeCell ref="A7:H7"/>
  </mergeCells>
  <pageMargins left="1.2" right="0.45" top="0.75" bottom="0.5" header="0.3" footer="0.3"/>
  <pageSetup paperSize="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1A5B-F560-4720-AD88-E9CE8F8FDE32}">
  <dimension ref="A1:H65"/>
  <sheetViews>
    <sheetView tabSelected="1" topLeftCell="A35" workbookViewId="0">
      <selection activeCell="L38" sqref="L38"/>
    </sheetView>
  </sheetViews>
  <sheetFormatPr defaultColWidth="9" defaultRowHeight="15"/>
  <cols>
    <col min="1" max="1" width="5" customWidth="1"/>
    <col min="2" max="2" width="3.28515625" customWidth="1"/>
    <col min="3" max="3" width="5" customWidth="1"/>
    <col min="4" max="4" width="12.5703125" customWidth="1"/>
    <col min="5" max="5" width="13.28515625" customWidth="1"/>
    <col min="6" max="6" width="16.28515625" customWidth="1"/>
    <col min="7" max="7" width="13.42578125" customWidth="1"/>
    <col min="8" max="8" width="17.42578125" customWidth="1"/>
    <col min="9" max="9" width="1.5703125" customWidth="1"/>
  </cols>
  <sheetData>
    <row r="1" spans="1:8">
      <c r="A1" s="111" t="s">
        <v>40</v>
      </c>
      <c r="B1" s="111"/>
      <c r="C1" s="111"/>
      <c r="D1" s="111"/>
      <c r="E1" s="111"/>
      <c r="F1" s="111"/>
      <c r="G1" s="111"/>
      <c r="H1" s="111"/>
    </row>
    <row r="2" spans="1:8">
      <c r="A2" s="105" t="s">
        <v>41</v>
      </c>
      <c r="B2" s="105"/>
      <c r="C2" s="105"/>
      <c r="D2" s="105"/>
      <c r="E2" s="105"/>
      <c r="F2" s="105"/>
      <c r="G2" s="105"/>
      <c r="H2" s="105"/>
    </row>
    <row r="3" spans="1:8">
      <c r="A3" s="105" t="s">
        <v>42</v>
      </c>
      <c r="B3" s="105"/>
      <c r="C3" s="105"/>
      <c r="D3" s="105"/>
      <c r="E3" s="105"/>
      <c r="F3" s="105"/>
      <c r="G3" s="105"/>
      <c r="H3" s="105"/>
    </row>
    <row r="4" spans="1:8" ht="15.75" thickBot="1">
      <c r="A4" s="105" t="s">
        <v>43</v>
      </c>
      <c r="B4" s="105"/>
      <c r="C4" s="105"/>
      <c r="D4" s="105"/>
      <c r="E4" s="105"/>
      <c r="F4" s="105"/>
      <c r="G4" s="105"/>
      <c r="H4" s="105"/>
    </row>
    <row r="5" spans="1:8">
      <c r="A5" s="1"/>
      <c r="B5" s="1"/>
      <c r="C5" s="1"/>
      <c r="D5" s="1"/>
      <c r="E5" s="1"/>
      <c r="F5" s="1"/>
      <c r="G5" s="1"/>
      <c r="H5" s="2"/>
    </row>
    <row r="7" spans="1:8" ht="18.75">
      <c r="A7" s="117" t="s">
        <v>0</v>
      </c>
      <c r="B7" s="117"/>
      <c r="C7" s="117"/>
      <c r="D7" s="117"/>
      <c r="E7" s="117"/>
      <c r="F7" s="117"/>
      <c r="G7" s="117"/>
      <c r="H7" s="117"/>
    </row>
    <row r="8" spans="1:8">
      <c r="A8" s="116" t="s">
        <v>55</v>
      </c>
      <c r="B8" s="116"/>
      <c r="C8" s="116"/>
      <c r="D8" s="116"/>
      <c r="E8" s="116"/>
      <c r="F8" s="116"/>
      <c r="G8" s="116"/>
      <c r="H8" s="116"/>
    </row>
    <row r="9" spans="1:8">
      <c r="A9" s="79"/>
      <c r="B9" s="79"/>
      <c r="C9" s="79"/>
      <c r="D9" s="79"/>
      <c r="E9" s="79"/>
      <c r="F9" s="79"/>
      <c r="G9" s="79"/>
      <c r="H9" s="79"/>
    </row>
    <row r="10" spans="1:8">
      <c r="A10" s="80" t="s">
        <v>3</v>
      </c>
      <c r="B10" s="113" t="s">
        <v>4</v>
      </c>
      <c r="C10" s="114"/>
      <c r="D10" s="114"/>
      <c r="E10" s="114"/>
      <c r="F10" s="114"/>
      <c r="G10" s="115"/>
      <c r="H10" s="80" t="s">
        <v>5</v>
      </c>
    </row>
    <row r="11" spans="1:8">
      <c r="A11" s="82"/>
      <c r="B11" s="83"/>
      <c r="C11" s="84"/>
      <c r="D11" s="84"/>
      <c r="E11" s="84"/>
      <c r="F11" s="84"/>
      <c r="G11" s="85"/>
      <c r="H11" s="82"/>
    </row>
    <row r="12" spans="1:8">
      <c r="A12" s="82" t="s">
        <v>6</v>
      </c>
      <c r="B12" s="86" t="s">
        <v>7</v>
      </c>
      <c r="C12" s="87"/>
      <c r="D12" s="84"/>
      <c r="E12" s="84"/>
      <c r="F12" s="84"/>
      <c r="G12" s="85"/>
      <c r="H12" s="82"/>
    </row>
    <row r="13" spans="1:8">
      <c r="A13" s="82"/>
      <c r="B13" s="88" t="s">
        <v>8</v>
      </c>
      <c r="C13" s="65" t="s">
        <v>9</v>
      </c>
      <c r="D13" s="84"/>
      <c r="E13" s="84"/>
      <c r="F13" s="84"/>
      <c r="G13" s="85"/>
      <c r="H13" s="76">
        <v>2700000</v>
      </c>
    </row>
    <row r="14" spans="1:8">
      <c r="A14" s="82"/>
      <c r="B14" s="88" t="s">
        <v>10</v>
      </c>
      <c r="C14" s="65" t="s">
        <v>11</v>
      </c>
      <c r="D14" s="84"/>
      <c r="E14" s="84"/>
      <c r="F14" s="84"/>
      <c r="G14" s="85"/>
      <c r="H14" s="76">
        <v>960000</v>
      </c>
    </row>
    <row r="15" spans="1:8">
      <c r="A15" s="82"/>
      <c r="B15" s="88" t="s">
        <v>12</v>
      </c>
      <c r="C15" s="65" t="s">
        <v>13</v>
      </c>
      <c r="D15" s="84"/>
      <c r="E15" s="84"/>
      <c r="F15" s="84"/>
      <c r="G15" s="85"/>
      <c r="H15" s="76">
        <v>3120000</v>
      </c>
    </row>
    <row r="16" spans="1:8">
      <c r="A16" s="89"/>
      <c r="B16" s="90" t="s">
        <v>14</v>
      </c>
      <c r="C16" s="24"/>
      <c r="D16" s="91"/>
      <c r="E16" s="91"/>
      <c r="F16" s="91"/>
      <c r="G16" s="92"/>
      <c r="H16" s="27">
        <f>SUM(H13:H15)</f>
        <v>6780000</v>
      </c>
    </row>
    <row r="17" spans="1:8">
      <c r="A17" s="82"/>
      <c r="B17" s="88"/>
      <c r="C17" s="65"/>
      <c r="D17" s="84"/>
      <c r="E17" s="84"/>
      <c r="F17" s="84"/>
      <c r="G17" s="85"/>
      <c r="H17" s="27"/>
    </row>
    <row r="18" spans="1:8">
      <c r="A18" s="82" t="s">
        <v>15</v>
      </c>
      <c r="B18" s="88" t="s">
        <v>16</v>
      </c>
      <c r="C18" s="93"/>
      <c r="D18" s="84"/>
      <c r="E18" s="84"/>
      <c r="F18" s="84"/>
      <c r="G18" s="84"/>
      <c r="H18" s="75"/>
    </row>
    <row r="19" spans="1:8">
      <c r="A19" s="82"/>
      <c r="B19" s="88" t="s">
        <v>8</v>
      </c>
      <c r="C19" s="65" t="s">
        <v>17</v>
      </c>
      <c r="D19" s="84"/>
      <c r="E19" s="84"/>
      <c r="F19" s="84"/>
      <c r="G19" s="85"/>
      <c r="H19" s="76">
        <v>3075000</v>
      </c>
    </row>
    <row r="20" spans="1:8">
      <c r="A20" s="82"/>
      <c r="B20" s="88" t="s">
        <v>10</v>
      </c>
      <c r="C20" s="65" t="s">
        <v>18</v>
      </c>
      <c r="D20" s="84"/>
      <c r="E20" s="84"/>
      <c r="F20" s="84"/>
      <c r="G20" s="85"/>
      <c r="H20" s="76">
        <v>1500000</v>
      </c>
    </row>
    <row r="21" spans="1:8">
      <c r="A21" s="89"/>
      <c r="B21" s="90" t="s">
        <v>19</v>
      </c>
      <c r="C21" s="24"/>
      <c r="D21" s="91"/>
      <c r="E21" s="91"/>
      <c r="F21" s="91"/>
      <c r="G21" s="92"/>
      <c r="H21" s="27">
        <f>SUM(H19:H20)</f>
        <v>4575000</v>
      </c>
    </row>
    <row r="22" spans="1:8">
      <c r="A22" s="82"/>
      <c r="B22" s="88"/>
      <c r="C22" s="65"/>
      <c r="D22" s="84"/>
      <c r="E22" s="84"/>
      <c r="F22" s="84"/>
      <c r="G22" s="85"/>
      <c r="H22" s="27"/>
    </row>
    <row r="23" spans="1:8">
      <c r="A23" s="82" t="s">
        <v>20</v>
      </c>
      <c r="B23" s="88" t="s">
        <v>21</v>
      </c>
      <c r="C23" s="93"/>
      <c r="D23" s="93"/>
      <c r="E23" s="93"/>
      <c r="F23" s="93"/>
      <c r="G23" s="94"/>
      <c r="H23" s="27"/>
    </row>
    <row r="24" spans="1:8">
      <c r="A24" s="82"/>
      <c r="B24" s="88" t="s">
        <v>8</v>
      </c>
      <c r="C24" s="65" t="s">
        <v>22</v>
      </c>
      <c r="D24" s="84"/>
      <c r="E24" s="84"/>
      <c r="F24" s="84"/>
      <c r="G24" s="85"/>
      <c r="H24" s="76">
        <v>1140000</v>
      </c>
    </row>
    <row r="25" spans="1:8">
      <c r="A25" s="82"/>
      <c r="B25" s="88" t="s">
        <v>10</v>
      </c>
      <c r="C25" s="65" t="s">
        <v>23</v>
      </c>
      <c r="D25" s="84"/>
      <c r="E25" s="84"/>
      <c r="F25" s="84"/>
      <c r="G25" s="85"/>
      <c r="H25" s="76">
        <v>2700000</v>
      </c>
    </row>
    <row r="26" spans="1:8">
      <c r="A26" s="89"/>
      <c r="B26" s="90" t="s">
        <v>21</v>
      </c>
      <c r="C26" s="24"/>
      <c r="D26" s="91"/>
      <c r="E26" s="91"/>
      <c r="F26" s="91"/>
      <c r="G26" s="92"/>
      <c r="H26" s="27">
        <f>SUM(H24:H25)</f>
        <v>3840000</v>
      </c>
    </row>
    <row r="27" spans="1:8">
      <c r="A27" s="82"/>
      <c r="B27" s="88"/>
      <c r="C27" s="65"/>
      <c r="D27" s="84"/>
      <c r="E27" s="84"/>
      <c r="F27" s="84"/>
      <c r="G27" s="85"/>
      <c r="H27" s="27"/>
    </row>
    <row r="28" spans="1:8">
      <c r="A28" s="82" t="s">
        <v>24</v>
      </c>
      <c r="B28" s="88" t="s">
        <v>25</v>
      </c>
      <c r="C28" s="65"/>
      <c r="D28" s="84"/>
      <c r="E28" s="84"/>
      <c r="F28" s="84"/>
      <c r="G28" s="85"/>
      <c r="H28" s="27"/>
    </row>
    <row r="29" spans="1:8">
      <c r="A29" s="82"/>
      <c r="B29" s="88" t="s">
        <v>8</v>
      </c>
      <c r="C29" s="65" t="s">
        <v>26</v>
      </c>
      <c r="D29" s="84"/>
      <c r="E29" s="84"/>
      <c r="F29" s="84"/>
      <c r="G29" s="85"/>
      <c r="H29" s="27">
        <v>12100000</v>
      </c>
    </row>
    <row r="30" spans="1:8">
      <c r="A30" s="82"/>
      <c r="B30" s="88" t="s">
        <v>10</v>
      </c>
      <c r="C30" s="65" t="s">
        <v>27</v>
      </c>
      <c r="D30" s="84"/>
      <c r="E30" s="84"/>
      <c r="F30" s="84"/>
      <c r="G30" s="85"/>
      <c r="H30" s="27"/>
    </row>
    <row r="31" spans="1:8">
      <c r="A31" s="82"/>
      <c r="B31" s="83"/>
      <c r="C31" s="81">
        <v>2.1</v>
      </c>
      <c r="D31" s="95" t="s">
        <v>28</v>
      </c>
      <c r="E31" s="95"/>
      <c r="F31" s="95"/>
      <c r="G31" s="96"/>
      <c r="H31" s="76">
        <v>1264000</v>
      </c>
    </row>
    <row r="32" spans="1:8">
      <c r="A32" s="82"/>
      <c r="B32" s="83"/>
      <c r="C32" s="81">
        <v>2.2000000000000002</v>
      </c>
      <c r="D32" s="95" t="s">
        <v>29</v>
      </c>
      <c r="E32" s="95"/>
      <c r="F32" s="95"/>
      <c r="G32" s="96"/>
      <c r="H32" s="76">
        <v>3950000</v>
      </c>
    </row>
    <row r="33" spans="1:8">
      <c r="A33" s="82"/>
      <c r="B33" s="83"/>
      <c r="C33" s="81">
        <v>2.2999999999999998</v>
      </c>
      <c r="D33" s="95" t="s">
        <v>30</v>
      </c>
      <c r="E33" s="95"/>
      <c r="F33" s="95"/>
      <c r="G33" s="96"/>
      <c r="H33" s="76">
        <v>9480000</v>
      </c>
    </row>
    <row r="34" spans="1:8">
      <c r="A34" s="97"/>
      <c r="B34" s="83"/>
      <c r="C34" s="81">
        <v>2.4</v>
      </c>
      <c r="D34" s="95" t="s">
        <v>31</v>
      </c>
      <c r="E34" s="95"/>
      <c r="F34" s="95"/>
      <c r="G34" s="96"/>
      <c r="H34" s="98">
        <v>1000000</v>
      </c>
    </row>
    <row r="35" spans="1:8">
      <c r="A35" s="99"/>
      <c r="B35" s="83"/>
      <c r="C35" s="81"/>
      <c r="D35" s="95"/>
      <c r="E35" s="95"/>
      <c r="F35" s="95"/>
      <c r="G35" s="96"/>
      <c r="H35" s="98"/>
    </row>
    <row r="36" spans="1:8">
      <c r="A36" s="97"/>
      <c r="B36" s="100"/>
      <c r="C36" s="101"/>
      <c r="D36" s="95"/>
      <c r="E36" s="95"/>
      <c r="F36" s="95"/>
      <c r="G36" s="102"/>
      <c r="H36" s="75"/>
    </row>
    <row r="37" spans="1:8">
      <c r="A37" s="99"/>
      <c r="B37" s="84"/>
      <c r="C37" s="81"/>
      <c r="D37" s="95"/>
      <c r="E37" s="95"/>
      <c r="F37" s="95"/>
      <c r="G37" s="95"/>
      <c r="H37" s="98"/>
    </row>
    <row r="38" spans="1:8">
      <c r="A38" s="83"/>
      <c r="B38" s="82" t="s">
        <v>32</v>
      </c>
      <c r="C38" s="82"/>
      <c r="D38" s="85"/>
      <c r="E38" s="84"/>
      <c r="F38" s="84"/>
      <c r="G38" s="85"/>
      <c r="H38" s="98">
        <f>SUM(H29:H37)</f>
        <v>27794000</v>
      </c>
    </row>
    <row r="39" spans="1:8">
      <c r="A39" s="82"/>
      <c r="B39" s="83"/>
      <c r="C39" s="84"/>
      <c r="D39" s="84"/>
      <c r="E39" s="84"/>
      <c r="F39" s="84"/>
      <c r="G39" s="85"/>
      <c r="H39" s="98"/>
    </row>
    <row r="40" spans="1:8">
      <c r="A40" s="89"/>
      <c r="B40" s="89" t="s">
        <v>33</v>
      </c>
      <c r="C40" s="89"/>
      <c r="D40" s="91"/>
      <c r="E40" s="91"/>
      <c r="F40" s="91"/>
      <c r="G40" s="92"/>
      <c r="H40" s="27">
        <f>SUM(H16,H21,H26,H38)</f>
        <v>42989000</v>
      </c>
    </row>
    <row r="41" spans="1:8">
      <c r="A41" s="79"/>
      <c r="B41" s="79"/>
      <c r="C41" s="79"/>
      <c r="D41" s="79"/>
      <c r="E41" s="79"/>
      <c r="F41" s="79"/>
      <c r="G41" s="79"/>
      <c r="H41" s="79"/>
    </row>
    <row r="42" spans="1:8">
      <c r="A42" s="79"/>
      <c r="B42" s="79"/>
      <c r="C42" s="79"/>
      <c r="D42" s="79"/>
      <c r="E42" s="79"/>
      <c r="F42" s="79"/>
      <c r="G42" s="79"/>
      <c r="H42" s="79"/>
    </row>
    <row r="43" spans="1:8">
      <c r="A43" s="79"/>
      <c r="B43" s="116" t="s">
        <v>56</v>
      </c>
      <c r="C43" s="116"/>
      <c r="D43" s="116"/>
      <c r="E43" s="116"/>
      <c r="F43" s="116"/>
      <c r="G43" s="116"/>
      <c r="H43" s="116"/>
    </row>
    <row r="44" spans="1:8">
      <c r="A44" s="79"/>
      <c r="B44" s="116" t="s">
        <v>35</v>
      </c>
      <c r="C44" s="116"/>
      <c r="D44" s="116"/>
      <c r="E44" s="116"/>
      <c r="F44" s="116"/>
      <c r="G44" s="116"/>
      <c r="H44" s="116"/>
    </row>
    <row r="45" spans="1:8">
      <c r="A45" s="79"/>
      <c r="B45" s="79"/>
      <c r="C45" s="79"/>
      <c r="D45" s="103" t="s">
        <v>36</v>
      </c>
      <c r="E45" s="79" t="s">
        <v>46</v>
      </c>
      <c r="F45" s="79" t="s">
        <v>47</v>
      </c>
      <c r="G45" s="79" t="s">
        <v>37</v>
      </c>
      <c r="H45" s="79" t="s">
        <v>57</v>
      </c>
    </row>
    <row r="46" spans="1:8">
      <c r="A46" s="79"/>
      <c r="B46" s="79"/>
      <c r="C46" s="79"/>
      <c r="D46" s="103"/>
      <c r="E46" s="79"/>
      <c r="F46" s="79"/>
      <c r="G46" s="79"/>
      <c r="H46" s="79"/>
    </row>
    <row r="47" spans="1:8">
      <c r="A47" s="79"/>
      <c r="B47" s="79"/>
      <c r="C47" s="79"/>
      <c r="D47" s="103"/>
      <c r="E47" s="79"/>
      <c r="F47" s="79"/>
      <c r="G47" s="79"/>
      <c r="H47" s="79"/>
    </row>
    <row r="48" spans="1:8">
      <c r="A48" s="79"/>
      <c r="B48" s="79"/>
      <c r="C48" s="79"/>
      <c r="D48" s="104"/>
      <c r="E48" s="104"/>
      <c r="F48" s="104"/>
      <c r="G48" s="104"/>
      <c r="H48" s="79"/>
    </row>
    <row r="49" spans="1:8">
      <c r="A49" s="79"/>
      <c r="B49" s="79"/>
      <c r="C49" s="79"/>
      <c r="D49" s="79"/>
      <c r="E49" s="79"/>
      <c r="F49" s="79"/>
      <c r="G49" s="79"/>
      <c r="H49" s="79"/>
    </row>
    <row r="50" spans="1:8">
      <c r="A50" s="79"/>
      <c r="B50" s="79"/>
      <c r="C50" s="79"/>
      <c r="D50" s="79" t="s">
        <v>38</v>
      </c>
      <c r="E50" s="79" t="s">
        <v>49</v>
      </c>
      <c r="F50" s="79" t="s">
        <v>50</v>
      </c>
      <c r="G50" s="79" t="s">
        <v>39</v>
      </c>
      <c r="H50" s="79" t="s">
        <v>54</v>
      </c>
    </row>
    <row r="53" spans="1:8">
      <c r="F53" s="48">
        <v>11</v>
      </c>
    </row>
    <row r="65" spans="4:7">
      <c r="D65" s="51"/>
      <c r="E65" s="51"/>
      <c r="F65" s="51"/>
      <c r="G65" s="51"/>
    </row>
  </sheetData>
  <mergeCells count="9">
    <mergeCell ref="B10:G10"/>
    <mergeCell ref="B43:H43"/>
    <mergeCell ref="B44:H44"/>
    <mergeCell ref="A1:H1"/>
    <mergeCell ref="A2:H2"/>
    <mergeCell ref="A3:H3"/>
    <mergeCell ref="A4:H4"/>
    <mergeCell ref="A7:H7"/>
    <mergeCell ref="A8:H8"/>
  </mergeCells>
  <pageMargins left="0.95" right="0.45" top="0.75" bottom="0.75" header="0.3" footer="0.3"/>
  <pageSetup paperSize="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2018</vt:lpstr>
      <vt:lpstr>2019</vt:lpstr>
      <vt:lpstr>2020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P2420L</dc:creator>
  <cp:lastModifiedBy>ASUS</cp:lastModifiedBy>
  <cp:lastPrinted>2026-02-09T13:20:43Z</cp:lastPrinted>
  <dcterms:created xsi:type="dcterms:W3CDTF">2019-03-30T14:36:00Z</dcterms:created>
  <dcterms:modified xsi:type="dcterms:W3CDTF">2026-02-09T17:22:43Z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476F9DC862284E42948BC7D0D9F432A1_12</vt:lpwstr>
  </property>
  <property fmtid="{D5CDD505-2E9C-101B-9397-08002B2CF9AE}" pid="3" name="KSOProductBuildVer">
    <vt:lpwstr>1033-12.2.0.20326</vt:lpwstr>
  </property>
</Properties>
</file>