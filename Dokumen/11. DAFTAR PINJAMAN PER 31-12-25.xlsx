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 activeTab="1"/>
  </bookViews>
  <sheets>
    <sheet name="MASTER 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<sst xmlns="http://schemas.openxmlformats.org/spreadsheetml/2006/main" count="413" uniqueCount="267">
  <si>
    <t>KOPERASI  SERBA  USAHA  "CAHAYA DHAMMA PHALA"</t>
  </si>
  <si>
    <r>
      <rPr>
        <b/>
        <sz val="12"/>
        <color theme="1"/>
        <rFont val="Footlight MT Light"/>
        <charset val="134"/>
      </rPr>
      <t xml:space="preserve">Badan Hukum No. </t>
    </r>
    <r>
      <rPr>
        <b/>
        <sz val="12"/>
        <color theme="1"/>
        <rFont val="Times New Roman"/>
        <charset val="134"/>
      </rPr>
      <t>2/BH/XIV.1/II/2016 Tanggal 5 Februari 2016</t>
    </r>
  </si>
  <si>
    <t>Dukuh Windusari, Desa Sokaraja, Kec. Pagentan, Kab. Banjarnegara 53455</t>
  </si>
  <si>
    <t>DAFTAR  PINJAMAN  ANGGOTA</t>
  </si>
  <si>
    <t>Per 31  Desember    2021</t>
  </si>
  <si>
    <t>NO.</t>
  </si>
  <si>
    <t>NAMA</t>
  </si>
  <si>
    <t>TGL</t>
  </si>
  <si>
    <t>PINJAMAN</t>
  </si>
  <si>
    <t>KETERANGAN</t>
  </si>
  <si>
    <t>Rusmiyati</t>
  </si>
  <si>
    <t>19-4-16</t>
  </si>
  <si>
    <t>Suryadi</t>
  </si>
  <si>
    <t>4-4-17</t>
  </si>
  <si>
    <t>Waginah</t>
  </si>
  <si>
    <t>16-5-17</t>
  </si>
  <si>
    <t>Sono</t>
  </si>
  <si>
    <t>20-11-18</t>
  </si>
  <si>
    <t>Minardi</t>
  </si>
  <si>
    <t>30-7-19</t>
  </si>
  <si>
    <t>Dwiyanto</t>
  </si>
  <si>
    <t>5-11-19</t>
  </si>
  <si>
    <t>Panjiyono</t>
  </si>
  <si>
    <t>14-1-20</t>
  </si>
  <si>
    <t xml:space="preserve"> </t>
  </si>
  <si>
    <t>Maryono</t>
  </si>
  <si>
    <t>Ranem</t>
  </si>
  <si>
    <t>25-2-20</t>
  </si>
  <si>
    <t>Winarti</t>
  </si>
  <si>
    <t>03-3- 20</t>
  </si>
  <si>
    <t>Kanti Paraswati</t>
  </si>
  <si>
    <t>Handi Cahyono</t>
  </si>
  <si>
    <t>5-5-20</t>
  </si>
  <si>
    <t>Darma Wirya</t>
  </si>
  <si>
    <t>26-5-20</t>
  </si>
  <si>
    <t>Kadi</t>
  </si>
  <si>
    <t>16-6-20</t>
  </si>
  <si>
    <t>Rusmini Cemles</t>
  </si>
  <si>
    <t>23-6-20</t>
  </si>
  <si>
    <t>Santosa</t>
  </si>
  <si>
    <t>Merri Kristanti</t>
  </si>
  <si>
    <t>21-7-20</t>
  </si>
  <si>
    <t>Kuswono Katam</t>
  </si>
  <si>
    <t>28-7-20</t>
  </si>
  <si>
    <t>Sarijem</t>
  </si>
  <si>
    <t>4-8-20</t>
  </si>
  <si>
    <t>Suroto</t>
  </si>
  <si>
    <t>18-8-20</t>
  </si>
  <si>
    <t>Tarmono</t>
  </si>
  <si>
    <t>Siyo Dwiroso</t>
  </si>
  <si>
    <t>25-8-20</t>
  </si>
  <si>
    <t xml:space="preserve">Nisem </t>
  </si>
  <si>
    <t>29-9-20</t>
  </si>
  <si>
    <t>Rahmadi</t>
  </si>
  <si>
    <t>20-10-20</t>
  </si>
  <si>
    <t>Kuat Siti Kirana</t>
  </si>
  <si>
    <t xml:space="preserve">Karsih </t>
  </si>
  <si>
    <t>17-11-20</t>
  </si>
  <si>
    <t>Darmanto</t>
  </si>
  <si>
    <t>8-12-20</t>
  </si>
  <si>
    <t>Sudirno</t>
  </si>
  <si>
    <t>22-12-20</t>
  </si>
  <si>
    <t>Wanto</t>
  </si>
  <si>
    <t>Kartina</t>
  </si>
  <si>
    <t>29-12-20</t>
  </si>
  <si>
    <t>Mursono</t>
  </si>
  <si>
    <t>12-1-20</t>
  </si>
  <si>
    <t>Juliyah</t>
  </si>
  <si>
    <t>2-2-21</t>
  </si>
  <si>
    <t>Wahyuni</t>
  </si>
  <si>
    <t>16-2-21</t>
  </si>
  <si>
    <t>Tasmono Tasman</t>
  </si>
  <si>
    <t>2-3-21</t>
  </si>
  <si>
    <t>Suminah</t>
  </si>
  <si>
    <t>9-3-21</t>
  </si>
  <si>
    <t>Vijja Ratano</t>
  </si>
  <si>
    <t>16-3-21</t>
  </si>
  <si>
    <t xml:space="preserve">Saimah </t>
  </si>
  <si>
    <t>30-03-21</t>
  </si>
  <si>
    <t>Purwadi</t>
  </si>
  <si>
    <t>14-03-21</t>
  </si>
  <si>
    <t>Tumijah (Bini Yanti)</t>
  </si>
  <si>
    <t>Diana Paramitta</t>
  </si>
  <si>
    <t>6-04-21</t>
  </si>
  <si>
    <t>Jumlah I</t>
  </si>
  <si>
    <t>TGL. CAIR</t>
  </si>
  <si>
    <t>JUMLAH        (Rp)</t>
  </si>
  <si>
    <t>Ratmi</t>
  </si>
  <si>
    <t>20-04-21</t>
  </si>
  <si>
    <t>Jumini</t>
  </si>
  <si>
    <t>27-04-21</t>
  </si>
  <si>
    <t>Waluyo Ragil</t>
  </si>
  <si>
    <t>Metta Candra Dewi</t>
  </si>
  <si>
    <t>Saroji</t>
  </si>
  <si>
    <t>04-04-21</t>
  </si>
  <si>
    <t>Parsih</t>
  </si>
  <si>
    <t>11-05-21</t>
  </si>
  <si>
    <t>Karjono</t>
  </si>
  <si>
    <t>Arif Setyadi</t>
  </si>
  <si>
    <t xml:space="preserve">Mudita </t>
  </si>
  <si>
    <t>18-05-21</t>
  </si>
  <si>
    <t>Mega Setiana</t>
  </si>
  <si>
    <t>25-5-21</t>
  </si>
  <si>
    <t>Kiwil</t>
  </si>
  <si>
    <t>Cipret</t>
  </si>
  <si>
    <t>08-06-21</t>
  </si>
  <si>
    <t>Oki Widyadarma</t>
  </si>
  <si>
    <t>22-6-21</t>
  </si>
  <si>
    <t>Samyono</t>
  </si>
  <si>
    <t>29-6-21</t>
  </si>
  <si>
    <t>Lithik</t>
  </si>
  <si>
    <t>Budiyono</t>
  </si>
  <si>
    <t>13-07-21</t>
  </si>
  <si>
    <t>Darmono</t>
  </si>
  <si>
    <t>20-07-21</t>
  </si>
  <si>
    <t>Padmo Susilo</t>
  </si>
  <si>
    <t>27-07-21</t>
  </si>
  <si>
    <t>Kamto</t>
  </si>
  <si>
    <t>Priyono</t>
  </si>
  <si>
    <t>Yogi Dwiyanto</t>
  </si>
  <si>
    <t>Sartin</t>
  </si>
  <si>
    <t>03-08-21</t>
  </si>
  <si>
    <t>Utami</t>
  </si>
  <si>
    <t>10-08-21</t>
  </si>
  <si>
    <t>Tarsini</t>
  </si>
  <si>
    <t>Aniyah</t>
  </si>
  <si>
    <t>17-8-21</t>
  </si>
  <si>
    <t>Saji</t>
  </si>
  <si>
    <t>24-8-21</t>
  </si>
  <si>
    <t>Darwito</t>
  </si>
  <si>
    <t>24-8-22</t>
  </si>
  <si>
    <t>Sapdono</t>
  </si>
  <si>
    <t>24-8-23</t>
  </si>
  <si>
    <t>Sri Hartati (Tarwadi)</t>
  </si>
  <si>
    <t>31-8-21</t>
  </si>
  <si>
    <t>Timba Suyono</t>
  </si>
  <si>
    <t>Tukimin</t>
  </si>
  <si>
    <t>07-09-21</t>
  </si>
  <si>
    <t>Sartiyah</t>
  </si>
  <si>
    <t>14-09-21</t>
  </si>
  <si>
    <t xml:space="preserve">Kasmi </t>
  </si>
  <si>
    <t>21-09-21</t>
  </si>
  <si>
    <t>Darmaji</t>
  </si>
  <si>
    <t>Suyono</t>
  </si>
  <si>
    <t>28-09-21</t>
  </si>
  <si>
    <t>Sudarma Widya</t>
  </si>
  <si>
    <t>Suwanto</t>
  </si>
  <si>
    <t>26-10-21</t>
  </si>
  <si>
    <t>Darwito &gt; Painten</t>
  </si>
  <si>
    <t>01-11-21</t>
  </si>
  <si>
    <t>Ristono</t>
  </si>
  <si>
    <t>Karni</t>
  </si>
  <si>
    <t>09-11-21</t>
  </si>
  <si>
    <t>Jumlah II</t>
  </si>
  <si>
    <t>Jumlah I + II</t>
  </si>
  <si>
    <t>Dwi Vijjayanti</t>
  </si>
  <si>
    <t>Suharjanto</t>
  </si>
  <si>
    <t>16-11-21</t>
  </si>
  <si>
    <t>Adi Wahyono</t>
  </si>
  <si>
    <t>23-11-21</t>
  </si>
  <si>
    <t>Slamet Suwanto</t>
  </si>
  <si>
    <t>Marno</t>
  </si>
  <si>
    <t>21-12-21</t>
  </si>
  <si>
    <t>Madiono</t>
  </si>
  <si>
    <t>22-12-21</t>
  </si>
  <si>
    <t>Veni Eka Aratiwi</t>
  </si>
  <si>
    <t>28-12-21</t>
  </si>
  <si>
    <t>Marsih</t>
  </si>
  <si>
    <t>Ginem</t>
  </si>
  <si>
    <t>Jumlah III</t>
  </si>
  <si>
    <t>Jumlah I + II + III</t>
  </si>
  <si>
    <t>Pengurus KSU Cahaya Dhamma Phala</t>
  </si>
  <si>
    <t>Ketua</t>
  </si>
  <si>
    <t>Wk. Ketua</t>
  </si>
  <si>
    <t>Sekretaris</t>
  </si>
  <si>
    <t>Bendahara</t>
  </si>
  <si>
    <t>Pembantu</t>
  </si>
  <si>
    <t>Waridi</t>
  </si>
  <si>
    <t>Oruwasaton</t>
  </si>
  <si>
    <t>Per 31  Desember    2024</t>
  </si>
  <si>
    <t>15-2-22</t>
  </si>
  <si>
    <t>8-3-22</t>
  </si>
  <si>
    <t>22-3-22</t>
  </si>
  <si>
    <t>26-4-22</t>
  </si>
  <si>
    <t>31-5-22</t>
  </si>
  <si>
    <t>21-6-22</t>
  </si>
  <si>
    <t>5-7-22</t>
  </si>
  <si>
    <t>Lebuh</t>
  </si>
  <si>
    <t>01-11-22</t>
  </si>
  <si>
    <t>Ika Kurniasih</t>
  </si>
  <si>
    <t>03-1-22</t>
  </si>
  <si>
    <t>28-2-23</t>
  </si>
  <si>
    <t>14-3-23</t>
  </si>
  <si>
    <t>Sri Hartati</t>
  </si>
  <si>
    <t>21-3-23</t>
  </si>
  <si>
    <t>04-04-23</t>
  </si>
  <si>
    <t>Hartati</t>
  </si>
  <si>
    <t>11-04-23</t>
  </si>
  <si>
    <t>Marsinem</t>
  </si>
  <si>
    <t>2-5-23</t>
  </si>
  <si>
    <t>Temi</t>
  </si>
  <si>
    <t>6-6-23</t>
  </si>
  <si>
    <t>Karnoto</t>
  </si>
  <si>
    <t>13-6-23</t>
  </si>
  <si>
    <t>11/7/23</t>
  </si>
  <si>
    <t>Saliyah</t>
  </si>
  <si>
    <t>18/7/23</t>
  </si>
  <si>
    <t>26-9-23</t>
  </si>
  <si>
    <t>10-10-23</t>
  </si>
  <si>
    <t xml:space="preserve">Leni </t>
  </si>
  <si>
    <t>Kasmi Purwadi</t>
  </si>
  <si>
    <t>24-10-23</t>
  </si>
  <si>
    <t>Gini Wanto</t>
  </si>
  <si>
    <t>31-10-23</t>
  </si>
  <si>
    <t>28-11-23</t>
  </si>
  <si>
    <t>2/1/24</t>
  </si>
  <si>
    <t>Triwidata</t>
  </si>
  <si>
    <t>Kami</t>
  </si>
  <si>
    <t>9/1/24</t>
  </si>
  <si>
    <t>Lewih</t>
  </si>
  <si>
    <t>23/1/24</t>
  </si>
  <si>
    <t>30/1/24</t>
  </si>
  <si>
    <t>Karsih</t>
  </si>
  <si>
    <t>6/2/24</t>
  </si>
  <si>
    <t>Painten Darwito</t>
  </si>
  <si>
    <t>16/2/24</t>
  </si>
  <si>
    <t>12/3/24</t>
  </si>
  <si>
    <t>2/4/24</t>
  </si>
  <si>
    <t>Marsito</t>
  </si>
  <si>
    <t>9/4/24</t>
  </si>
  <si>
    <t>Pardikin</t>
  </si>
  <si>
    <t>16/4/24</t>
  </si>
  <si>
    <t>Mislam</t>
  </si>
  <si>
    <t>17/4/24</t>
  </si>
  <si>
    <t>Metta Candra D.</t>
  </si>
  <si>
    <t>;30/4/24</t>
  </si>
  <si>
    <t>7/5/24</t>
  </si>
  <si>
    <t>14/5/24</t>
  </si>
  <si>
    <t>4/6/24</t>
  </si>
  <si>
    <t>Rusmini Bolot</t>
  </si>
  <si>
    <t>Manis</t>
  </si>
  <si>
    <t>Purwati</t>
  </si>
  <si>
    <t>Yanti Sono</t>
  </si>
  <si>
    <t>11/6/24</t>
  </si>
  <si>
    <t>2/7/24</t>
  </si>
  <si>
    <t>9/7/24</t>
  </si>
  <si>
    <t>16/7/24</t>
  </si>
  <si>
    <t>Sartini Timba Suyono</t>
  </si>
  <si>
    <t>23/7/24</t>
  </si>
  <si>
    <t>30/7/24</t>
  </si>
  <si>
    <t>Karyono</t>
  </si>
  <si>
    <t>6/8/24</t>
  </si>
  <si>
    <t>20/8/24</t>
  </si>
  <si>
    <t>Tato</t>
  </si>
  <si>
    <t>10/9/24</t>
  </si>
  <si>
    <t>24/9/24</t>
  </si>
  <si>
    <t>Sabar Suyanto</t>
  </si>
  <si>
    <t>5/11/24</t>
  </si>
  <si>
    <t>Turyanto Madiono</t>
  </si>
  <si>
    <t>26/11/24</t>
  </si>
  <si>
    <t>3/12/24</t>
  </si>
  <si>
    <t>17/12/24</t>
  </si>
  <si>
    <t>Hartini</t>
  </si>
  <si>
    <t>24/12/24</t>
  </si>
  <si>
    <t>Waluyo Kartina</t>
  </si>
  <si>
    <t>31/12/24</t>
  </si>
  <si>
    <t>Slamet Sutir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</si>
</sst>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;@"/>
  </numFmts>
  <fonts count="35">
    <font>
      <sz val="11"/>
      <color theme="1"/>
      <name val="Calibri"/>
      <charset val="134"/>
      <scheme val="minor"/>
    </font>
    <font>
      <sz val="11"/>
      <color theme="1"/>
      <name val="Bookman Old Style"/>
      <charset val="134"/>
    </font>
    <font>
      <sz val="8"/>
      <color theme="1"/>
      <name val="Bookman Old Style"/>
      <charset val="134"/>
    </font>
    <font>
      <b/>
      <sz val="11"/>
      <name val="Bookman Old Style"/>
      <charset val="134"/>
    </font>
    <font>
      <b/>
      <sz val="8"/>
      <name val="Bookman Old Style"/>
      <charset val="134"/>
    </font>
    <font>
      <b/>
      <sz val="12"/>
      <color theme="1"/>
      <name val="Footlight MT Light"/>
      <charset val="134"/>
    </font>
    <font>
      <b/>
      <sz val="8"/>
      <color theme="1"/>
      <name val="Footlight MT Light"/>
      <charset val="134"/>
    </font>
    <font>
      <b/>
      <sz val="9"/>
      <color theme="1"/>
      <name val="Footlight MT Light"/>
      <charset val="134"/>
    </font>
    <font>
      <sz val="9"/>
      <name val="Bookman Old Style"/>
      <charset val="134"/>
    </font>
    <font>
      <sz val="11"/>
      <name val="Bookman Old Style"/>
      <charset val="134"/>
    </font>
    <font>
      <sz val="8"/>
      <name val="Bookman Old Style"/>
      <charset val="134"/>
    </font>
    <font>
      <sz val="10"/>
      <color theme="1"/>
      <name val="Bookman Old Style"/>
      <charset val="134"/>
    </font>
    <font>
      <sz val="10"/>
      <name val="Bookman Old Style"/>
      <charset val="134"/>
    </font>
    <font>
      <sz val="9"/>
      <color theme="1"/>
      <name val="Bookman Old Style"/>
      <charset val="134"/>
    </font>
    <font>
      <b/>
      <sz val="11"/>
      <color theme="1"/>
      <name val="Bookman Old Style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3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1" fillId="0" borderId="39" applyNumberFormat="0" applyFill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41" applyNumberFormat="0" applyAlignment="0" applyProtection="0">
      <alignment vertical="center"/>
    </xf>
    <xf numFmtId="0" fontId="24" fillId="4" borderId="42" applyNumberFormat="0" applyAlignment="0" applyProtection="0">
      <alignment vertical="center"/>
    </xf>
    <xf numFmtId="0" fontId="25" fillId="4" borderId="41" applyNumberFormat="0" applyAlignment="0" applyProtection="0">
      <alignment vertical="center"/>
    </xf>
    <xf numFmtId="0" fontId="26" fillId="5" borderId="43" applyNumberFormat="0" applyAlignment="0" applyProtection="0">
      <alignment vertical="center"/>
    </xf>
    <xf numFmtId="0" fontId="27" fillId="0" borderId="44" applyNumberFormat="0" applyFill="0" applyAlignment="0" applyProtection="0">
      <alignment vertical="center"/>
    </xf>
    <xf numFmtId="0" fontId="28" fillId="0" borderId="4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166">
    <xf numFmtId="0" fontId="0" fillId="0" borderId="0" xfId="0"/>
    <xf numFmtId="3" fontId="1" fillId="0" borderId="0" xfId="0" applyNumberFormat="1" applyFont="1" applyFill="1"/>
    <xf numFmtId="3" fontId="2" fillId="0" borderId="0" xfId="0" applyNumberFormat="1" applyFont="1" applyFill="1"/>
    <xf numFmtId="3" fontId="3" fillId="0" borderId="0" xfId="0" applyNumberFormat="1" applyFont="1" applyFill="1" applyAlignment="1">
      <alignment horizontal="center"/>
    </xf>
    <xf numFmtId="3" fontId="4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3" fontId="8" fillId="0" borderId="0" xfId="0" applyNumberFormat="1" applyFont="1" applyFill="1" applyBorder="1" applyAlignment="1">
      <alignment horizontal="center"/>
    </xf>
    <xf numFmtId="3" fontId="9" fillId="0" borderId="1" xfId="0" applyNumberFormat="1" applyFont="1" applyFill="1" applyBorder="1"/>
    <xf numFmtId="3" fontId="10" fillId="0" borderId="1" xfId="0" applyNumberFormat="1" applyFont="1" applyFill="1" applyBorder="1"/>
    <xf numFmtId="3" fontId="1" fillId="0" borderId="1" xfId="0" applyNumberFormat="1" applyFont="1" applyFill="1" applyBorder="1"/>
    <xf numFmtId="178" fontId="9" fillId="0" borderId="0" xfId="0" applyNumberFormat="1" applyFont="1" applyFill="1" applyBorder="1" applyAlignment="1">
      <alignment horizontal="center"/>
    </xf>
    <xf numFmtId="178" fontId="10" fillId="0" borderId="0" xfId="0" applyNumberFormat="1" applyFont="1" applyFill="1" applyBorder="1" applyAlignment="1">
      <alignment horizontal="center"/>
    </xf>
    <xf numFmtId="3" fontId="9" fillId="0" borderId="2" xfId="0" applyNumberFormat="1" applyFont="1" applyFill="1" applyBorder="1" applyAlignment="1">
      <alignment horizontal="center" vertical="center"/>
    </xf>
    <xf numFmtId="3" fontId="9" fillId="0" borderId="3" xfId="0" applyNumberFormat="1" applyFont="1" applyFill="1" applyBorder="1" applyAlignment="1">
      <alignment horizontal="center" vertical="center"/>
    </xf>
    <xf numFmtId="3" fontId="10" fillId="0" borderId="3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6" xfId="0" applyNumberFormat="1" applyFont="1" applyFill="1" applyBorder="1" applyAlignment="1">
      <alignment horizontal="center" vertical="center"/>
    </xf>
    <xf numFmtId="3" fontId="9" fillId="0" borderId="7" xfId="0" applyNumberFormat="1" applyFont="1" applyFill="1" applyBorder="1" applyAlignment="1">
      <alignment horizontal="center" vertical="center"/>
    </xf>
    <xf numFmtId="3" fontId="9" fillId="0" borderId="8" xfId="0" applyNumberFormat="1" applyFont="1" applyFill="1" applyBorder="1" applyAlignment="1">
      <alignment horizontal="center" vertical="center"/>
    </xf>
    <xf numFmtId="3" fontId="10" fillId="0" borderId="8" xfId="0" applyNumberFormat="1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3" fontId="1" fillId="0" borderId="10" xfId="0" applyNumberFormat="1" applyFont="1" applyFill="1" applyBorder="1" applyAlignment="1">
      <alignment horizontal="center" vertical="center"/>
    </xf>
    <xf numFmtId="3" fontId="1" fillId="0" borderId="11" xfId="0" applyNumberFormat="1" applyFont="1" applyFill="1" applyBorder="1" applyAlignment="1">
      <alignment horizontal="center" vertical="center"/>
    </xf>
    <xf numFmtId="3" fontId="10" fillId="0" borderId="12" xfId="0" applyNumberFormat="1" applyFont="1" applyFill="1" applyBorder="1" applyAlignment="1" applyProtection="1">
      <alignment horizontal="center"/>
    </xf>
    <xf numFmtId="3" fontId="10" fillId="0" borderId="13" xfId="0" applyNumberFormat="1" applyFont="1" applyFill="1" applyBorder="1" applyAlignment="1" applyProtection="1"/>
    <xf numFmtId="178" fontId="10" fillId="0" borderId="13" xfId="0" applyNumberFormat="1" applyFont="1" applyFill="1" applyBorder="1" applyAlignment="1" applyProtection="1">
      <alignment horizontal="center"/>
    </xf>
    <xf numFmtId="3" fontId="10" fillId="0" borderId="13" xfId="0" applyNumberFormat="1" applyFont="1" applyFill="1" applyBorder="1" applyAlignment="1" applyProtection="1"/>
    <xf numFmtId="3" fontId="11" fillId="0" borderId="14" xfId="0" applyNumberFormat="1" applyFont="1" applyFill="1" applyBorder="1"/>
    <xf numFmtId="3" fontId="11" fillId="0" borderId="15" xfId="0" applyNumberFormat="1" applyFont="1" applyFill="1" applyBorder="1"/>
    <xf numFmtId="3" fontId="11" fillId="0" borderId="16" xfId="0" applyNumberFormat="1" applyFont="1" applyFill="1" applyBorder="1"/>
    <xf numFmtId="3" fontId="11" fillId="0" borderId="17" xfId="0" applyNumberFormat="1" applyFont="1" applyFill="1" applyBorder="1"/>
    <xf numFmtId="3" fontId="10" fillId="0" borderId="13" xfId="0" applyNumberFormat="1" applyFont="1" applyFill="1" applyBorder="1" applyAlignment="1" applyProtection="1">
      <alignment horizontal="center"/>
    </xf>
    <xf numFmtId="3" fontId="11" fillId="0" borderId="18" xfId="0" applyNumberFormat="1" applyFont="1" applyFill="1" applyBorder="1"/>
    <xf numFmtId="3" fontId="11" fillId="0" borderId="19" xfId="0" applyNumberFormat="1" applyFont="1" applyFill="1" applyBorder="1"/>
    <xf numFmtId="3" fontId="12" fillId="0" borderId="20" xfId="0" applyNumberFormat="1" applyFont="1" applyFill="1" applyBorder="1" applyAlignment="1">
      <alignment horizontal="center"/>
    </xf>
    <xf numFmtId="3" fontId="12" fillId="0" borderId="21" xfId="0" applyNumberFormat="1" applyFont="1" applyFill="1" applyBorder="1"/>
    <xf numFmtId="178" fontId="10" fillId="0" borderId="21" xfId="0" applyNumberFormat="1" applyFont="1" applyFill="1" applyBorder="1" applyAlignment="1">
      <alignment horizontal="center"/>
    </xf>
    <xf numFmtId="3" fontId="11" fillId="0" borderId="21" xfId="0" applyNumberFormat="1" applyFont="1" applyFill="1" applyBorder="1"/>
    <xf numFmtId="3" fontId="11" fillId="0" borderId="22" xfId="0" applyNumberFormat="1" applyFont="1" applyFill="1" applyBorder="1"/>
    <xf numFmtId="3" fontId="11" fillId="0" borderId="23" xfId="0" applyNumberFormat="1" applyFont="1" applyFill="1" applyBorder="1"/>
    <xf numFmtId="3" fontId="12" fillId="0" borderId="24" xfId="0" applyNumberFormat="1" applyFont="1" applyFill="1" applyBorder="1" applyAlignment="1">
      <alignment horizontal="center"/>
    </xf>
    <xf numFmtId="3" fontId="12" fillId="0" borderId="25" xfId="0" applyNumberFormat="1" applyFont="1" applyFill="1" applyBorder="1"/>
    <xf numFmtId="178" fontId="10" fillId="0" borderId="25" xfId="0" applyNumberFormat="1" applyFont="1" applyFill="1" applyBorder="1" applyAlignment="1">
      <alignment horizontal="center"/>
    </xf>
    <xf numFmtId="3" fontId="11" fillId="0" borderId="25" xfId="0" applyNumberFormat="1" applyFont="1" applyFill="1" applyBorder="1"/>
    <xf numFmtId="3" fontId="11" fillId="0" borderId="26" xfId="0" applyNumberFormat="1" applyFont="1" applyFill="1" applyBorder="1"/>
    <xf numFmtId="3" fontId="11" fillId="0" borderId="27" xfId="0" applyNumberFormat="1" applyFont="1" applyFill="1" applyBorder="1"/>
    <xf numFmtId="3" fontId="12" fillId="0" borderId="0" xfId="0" applyNumberFormat="1" applyFont="1" applyFill="1" applyBorder="1" applyAlignment="1">
      <alignment horizontal="center"/>
    </xf>
    <xf numFmtId="3" fontId="12" fillId="0" borderId="0" xfId="0" applyNumberFormat="1" applyFont="1" applyFill="1" applyBorder="1"/>
    <xf numFmtId="3" fontId="11" fillId="0" borderId="0" xfId="0" applyNumberFormat="1" applyFont="1" applyFill="1" applyBorder="1" applyAlignment="1">
      <alignment horizontal="left"/>
    </xf>
    <xf numFmtId="3" fontId="11" fillId="0" borderId="0" xfId="0" applyNumberFormat="1" applyFont="1" applyFill="1" applyBorder="1"/>
    <xf numFmtId="3" fontId="12" fillId="0" borderId="2" xfId="0" applyNumberFormat="1" applyFont="1" applyFill="1" applyBorder="1" applyAlignment="1">
      <alignment horizontal="center" vertical="center"/>
    </xf>
    <xf numFmtId="3" fontId="12" fillId="0" borderId="3" xfId="0" applyNumberFormat="1" applyFont="1" applyFill="1" applyBorder="1" applyAlignment="1">
      <alignment horizontal="center" vertical="center"/>
    </xf>
    <xf numFmtId="3" fontId="11" fillId="0" borderId="4" xfId="0" applyNumberFormat="1" applyFont="1" applyFill="1" applyBorder="1" applyAlignment="1">
      <alignment horizontal="center" vertical="center" wrapText="1"/>
    </xf>
    <xf numFmtId="3" fontId="11" fillId="0" borderId="5" xfId="0" applyNumberFormat="1" applyFont="1" applyFill="1" applyBorder="1" applyAlignment="1">
      <alignment horizontal="center" vertical="center"/>
    </xf>
    <xf numFmtId="3" fontId="11" fillId="0" borderId="6" xfId="0" applyNumberFormat="1" applyFont="1" applyFill="1" applyBorder="1" applyAlignment="1">
      <alignment horizontal="center" vertical="center"/>
    </xf>
    <xf numFmtId="3" fontId="12" fillId="0" borderId="7" xfId="0" applyNumberFormat="1" applyFont="1" applyFill="1" applyBorder="1" applyAlignment="1">
      <alignment horizontal="center" vertical="center"/>
    </xf>
    <xf numFmtId="3" fontId="12" fillId="0" borderId="8" xfId="0" applyNumberFormat="1" applyFont="1" applyFill="1" applyBorder="1" applyAlignment="1">
      <alignment horizontal="center" vertical="center"/>
    </xf>
    <xf numFmtId="3" fontId="11" fillId="0" borderId="9" xfId="0" applyNumberFormat="1" applyFont="1" applyFill="1" applyBorder="1" applyAlignment="1">
      <alignment horizontal="center" vertical="center" wrapText="1"/>
    </xf>
    <xf numFmtId="3" fontId="11" fillId="0" borderId="10" xfId="0" applyNumberFormat="1" applyFont="1" applyFill="1" applyBorder="1" applyAlignment="1">
      <alignment horizontal="center" vertical="center"/>
    </xf>
    <xf numFmtId="3" fontId="11" fillId="0" borderId="11" xfId="0" applyNumberFormat="1" applyFont="1" applyFill="1" applyBorder="1" applyAlignment="1">
      <alignment horizontal="center" vertical="center"/>
    </xf>
    <xf numFmtId="3" fontId="10" fillId="0" borderId="12" xfId="0" applyNumberFormat="1" applyFont="1" applyFill="1" applyBorder="1" applyAlignment="1">
      <alignment horizontal="center"/>
    </xf>
    <xf numFmtId="3" fontId="10" fillId="0" borderId="13" xfId="0" applyNumberFormat="1" applyFont="1" applyFill="1" applyBorder="1" applyAlignment="1"/>
    <xf numFmtId="178" fontId="10" fillId="0" borderId="13" xfId="0" applyNumberFormat="1" applyFont="1" applyFill="1" applyBorder="1" applyAlignment="1">
      <alignment horizontal="center"/>
    </xf>
    <xf numFmtId="3" fontId="13" fillId="0" borderId="13" xfId="0" applyNumberFormat="1" applyFont="1" applyFill="1" applyBorder="1" applyAlignment="1"/>
    <xf numFmtId="3" fontId="12" fillId="0" borderId="12" xfId="0" applyNumberFormat="1" applyFont="1" applyFill="1" applyBorder="1" applyAlignment="1">
      <alignment horizontal="center"/>
    </xf>
    <xf numFmtId="3" fontId="12" fillId="0" borderId="13" xfId="0" applyNumberFormat="1" applyFont="1" applyFill="1" applyBorder="1"/>
    <xf numFmtId="3" fontId="11" fillId="0" borderId="13" xfId="0" applyNumberFormat="1" applyFont="1" applyFill="1" applyBorder="1"/>
    <xf numFmtId="3" fontId="12" fillId="0" borderId="26" xfId="0" applyNumberFormat="1" applyFont="1" applyFill="1" applyBorder="1" applyAlignment="1">
      <alignment horizontal="left" wrapText="1"/>
    </xf>
    <xf numFmtId="3" fontId="10" fillId="0" borderId="28" xfId="0" applyNumberFormat="1" applyFont="1" applyFill="1" applyBorder="1" applyAlignment="1">
      <alignment horizontal="left" wrapText="1"/>
    </xf>
    <xf numFmtId="3" fontId="12" fillId="0" borderId="26" xfId="0" applyNumberFormat="1" applyFont="1" applyFill="1" applyBorder="1"/>
    <xf numFmtId="3" fontId="12" fillId="0" borderId="0" xfId="0" applyNumberFormat="1" applyFont="1" applyFill="1"/>
    <xf numFmtId="3" fontId="10" fillId="0" borderId="0" xfId="0" applyNumberFormat="1" applyFont="1" applyFill="1"/>
    <xf numFmtId="3" fontId="11" fillId="0" borderId="0" xfId="0" applyNumberFormat="1" applyFont="1" applyFill="1"/>
    <xf numFmtId="3" fontId="12" fillId="0" borderId="0" xfId="0" applyNumberFormat="1" applyFont="1" applyFill="1" applyAlignment="1">
      <alignment horizontal="center"/>
    </xf>
    <xf numFmtId="3" fontId="10" fillId="0" borderId="0" xfId="0" applyNumberFormat="1" applyFont="1" applyFill="1" applyAlignment="1">
      <alignment horizontal="center"/>
    </xf>
    <xf numFmtId="3" fontId="12" fillId="0" borderId="0" xfId="0" applyNumberFormat="1" applyFont="1" applyFill="1" applyAlignment="1">
      <alignment horizontal="left" indent="1"/>
    </xf>
    <xf numFmtId="3" fontId="11" fillId="0" borderId="0" xfId="0" applyNumberFormat="1" applyFont="1" applyFill="1" applyAlignment="1"/>
    <xf numFmtId="3" fontId="11" fillId="0" borderId="0" xfId="0" applyNumberFormat="1" applyFont="1" applyFill="1" applyAlignment="1">
      <alignment horizontal="left" indent="1"/>
    </xf>
    <xf numFmtId="3" fontId="11" fillId="0" borderId="0" xfId="0" applyNumberFormat="1" applyFont="1" applyFill="1" applyAlignment="1">
      <alignment horizontal="left"/>
    </xf>
    <xf numFmtId="3" fontId="1" fillId="0" borderId="29" xfId="0" applyNumberFormat="1" applyFont="1" applyFill="1" applyBorder="1"/>
    <xf numFmtId="3" fontId="1" fillId="0" borderId="30" xfId="0" applyNumberFormat="1" applyFont="1" applyFill="1" applyBorder="1"/>
    <xf numFmtId="3" fontId="1" fillId="0" borderId="0" xfId="0" applyNumberFormat="1" applyFont="1" applyFill="1"/>
    <xf numFmtId="3" fontId="3" fillId="0" borderId="0" xfId="0" applyNumberFormat="1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3" fontId="9" fillId="0" borderId="0" xfId="0" applyNumberFormat="1" applyFont="1" applyFill="1" applyBorder="1" applyAlignment="1">
      <alignment horizontal="center"/>
    </xf>
    <xf numFmtId="3" fontId="9" fillId="0" borderId="1" xfId="0" applyNumberFormat="1" applyFont="1" applyFill="1" applyBorder="1"/>
    <xf numFmtId="3" fontId="1" fillId="0" borderId="1" xfId="0" applyNumberFormat="1" applyFont="1" applyFill="1" applyBorder="1"/>
    <xf numFmtId="178" fontId="9" fillId="0" borderId="0" xfId="0" applyNumberFormat="1" applyFont="1" applyFill="1" applyBorder="1" applyAlignment="1">
      <alignment horizontal="center"/>
    </xf>
    <xf numFmtId="3" fontId="9" fillId="0" borderId="2" xfId="0" applyNumberFormat="1" applyFont="1" applyFill="1" applyBorder="1" applyAlignment="1">
      <alignment horizontal="center" vertical="center"/>
    </xf>
    <xf numFmtId="3" fontId="9" fillId="0" borderId="3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3" fontId="1" fillId="0" borderId="5" xfId="0" applyNumberFormat="1" applyFont="1" applyFill="1" applyBorder="1" applyAlignment="1">
      <alignment horizontal="center" vertical="center"/>
    </xf>
    <xf numFmtId="3" fontId="1" fillId="0" borderId="6" xfId="0" applyNumberFormat="1" applyFont="1" applyFill="1" applyBorder="1" applyAlignment="1">
      <alignment horizontal="center" vertical="center"/>
    </xf>
    <xf numFmtId="3" fontId="9" fillId="0" borderId="7" xfId="0" applyNumberFormat="1" applyFont="1" applyFill="1" applyBorder="1" applyAlignment="1">
      <alignment horizontal="center" vertical="center"/>
    </xf>
    <xf numFmtId="3" fontId="9" fillId="0" borderId="8" xfId="0" applyNumberFormat="1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3" fontId="1" fillId="0" borderId="10" xfId="0" applyNumberFormat="1" applyFont="1" applyFill="1" applyBorder="1" applyAlignment="1">
      <alignment horizontal="center" vertical="center"/>
    </xf>
    <xf numFmtId="3" fontId="1" fillId="0" borderId="11" xfId="0" applyNumberFormat="1" applyFont="1" applyFill="1" applyBorder="1" applyAlignment="1">
      <alignment horizontal="center" vertical="center"/>
    </xf>
    <xf numFmtId="3" fontId="9" fillId="0" borderId="2" xfId="0" applyNumberFormat="1" applyFont="1" applyFill="1" applyBorder="1" applyAlignment="1">
      <alignment horizontal="center"/>
    </xf>
    <xf numFmtId="3" fontId="9" fillId="0" borderId="3" xfId="0" applyNumberFormat="1" applyFont="1" applyFill="1" applyBorder="1"/>
    <xf numFmtId="3" fontId="9" fillId="0" borderId="3" xfId="0" applyNumberFormat="1" applyFont="1" applyFill="1" applyBorder="1" applyAlignment="1">
      <alignment horizontal="center"/>
    </xf>
    <xf numFmtId="3" fontId="1" fillId="0" borderId="3" xfId="0" applyNumberFormat="1" applyFont="1" applyFill="1" applyBorder="1"/>
    <xf numFmtId="3" fontId="1" fillId="0" borderId="14" xfId="0" applyNumberFormat="1" applyFont="1" applyFill="1" applyBorder="1"/>
    <xf numFmtId="3" fontId="1" fillId="0" borderId="15" xfId="0" applyNumberFormat="1" applyFont="1" applyFill="1" applyBorder="1"/>
    <xf numFmtId="3" fontId="9" fillId="0" borderId="12" xfId="0" applyNumberFormat="1" applyFont="1" applyFill="1" applyBorder="1" applyAlignment="1">
      <alignment horizontal="center"/>
    </xf>
    <xf numFmtId="3" fontId="9" fillId="0" borderId="13" xfId="0" applyNumberFormat="1" applyFont="1" applyFill="1" applyBorder="1"/>
    <xf numFmtId="178" fontId="9" fillId="0" borderId="13" xfId="0" applyNumberFormat="1" applyFont="1" applyFill="1" applyBorder="1" applyAlignment="1">
      <alignment horizontal="center"/>
    </xf>
    <xf numFmtId="3" fontId="1" fillId="0" borderId="13" xfId="0" applyNumberFormat="1" applyFont="1" applyFill="1" applyBorder="1"/>
    <xf numFmtId="3" fontId="1" fillId="0" borderId="16" xfId="0" applyNumberFormat="1" applyFont="1" applyFill="1" applyBorder="1"/>
    <xf numFmtId="3" fontId="1" fillId="0" borderId="17" xfId="0" applyNumberFormat="1" applyFont="1" applyFill="1" applyBorder="1"/>
    <xf numFmtId="3" fontId="9" fillId="0" borderId="13" xfId="0" applyNumberFormat="1" applyFont="1" applyFill="1" applyBorder="1" applyAlignment="1">
      <alignment horizontal="left"/>
    </xf>
    <xf numFmtId="3" fontId="9" fillId="0" borderId="20" xfId="0" applyNumberFormat="1" applyFont="1" applyFill="1" applyBorder="1" applyAlignment="1">
      <alignment horizontal="center"/>
    </xf>
    <xf numFmtId="3" fontId="9" fillId="0" borderId="21" xfId="0" applyNumberFormat="1" applyFont="1" applyFill="1" applyBorder="1"/>
    <xf numFmtId="178" fontId="9" fillId="0" borderId="21" xfId="0" applyNumberFormat="1" applyFont="1" applyFill="1" applyBorder="1" applyAlignment="1">
      <alignment horizontal="center"/>
    </xf>
    <xf numFmtId="3" fontId="1" fillId="0" borderId="21" xfId="0" applyNumberFormat="1" applyFont="1" applyFill="1" applyBorder="1"/>
    <xf numFmtId="3" fontId="1" fillId="0" borderId="22" xfId="0" applyNumberFormat="1" applyFont="1" applyFill="1" applyBorder="1"/>
    <xf numFmtId="3" fontId="1" fillId="0" borderId="23" xfId="0" applyNumberFormat="1" applyFont="1" applyFill="1" applyBorder="1"/>
    <xf numFmtId="3" fontId="9" fillId="0" borderId="24" xfId="0" applyNumberFormat="1" applyFont="1" applyFill="1" applyBorder="1" applyAlignment="1">
      <alignment horizontal="center"/>
    </xf>
    <xf numFmtId="3" fontId="9" fillId="0" borderId="25" xfId="0" applyNumberFormat="1" applyFont="1" applyFill="1" applyBorder="1"/>
    <xf numFmtId="178" fontId="9" fillId="0" borderId="25" xfId="0" applyNumberFormat="1" applyFont="1" applyFill="1" applyBorder="1" applyAlignment="1">
      <alignment horizontal="center"/>
    </xf>
    <xf numFmtId="3" fontId="1" fillId="0" borderId="25" xfId="0" applyNumberFormat="1" applyFont="1" applyFill="1" applyBorder="1"/>
    <xf numFmtId="3" fontId="1" fillId="0" borderId="26" xfId="0" applyNumberFormat="1" applyFont="1" applyFill="1" applyBorder="1"/>
    <xf numFmtId="3" fontId="1" fillId="0" borderId="27" xfId="0" applyNumberFormat="1" applyFont="1" applyFill="1" applyBorder="1"/>
    <xf numFmtId="3" fontId="9" fillId="0" borderId="0" xfId="0" applyNumberFormat="1" applyFont="1" applyFill="1" applyBorder="1"/>
    <xf numFmtId="3" fontId="1" fillId="0" borderId="0" xfId="0" applyNumberFormat="1" applyFont="1" applyFill="1" applyBorder="1" applyAlignment="1">
      <alignment horizontal="left"/>
    </xf>
    <xf numFmtId="3" fontId="1" fillId="0" borderId="0" xfId="0" applyNumberFormat="1" applyFont="1" applyFill="1" applyBorder="1"/>
    <xf numFmtId="3" fontId="9" fillId="0" borderId="31" xfId="0" applyNumberFormat="1" applyFont="1" applyFill="1" applyBorder="1" applyAlignment="1">
      <alignment horizontal="center"/>
    </xf>
    <xf numFmtId="3" fontId="9" fillId="0" borderId="31" xfId="0" applyNumberFormat="1" applyFont="1" applyFill="1" applyBorder="1"/>
    <xf numFmtId="178" fontId="9" fillId="0" borderId="31" xfId="0" applyNumberFormat="1" applyFont="1" applyFill="1" applyBorder="1" applyAlignment="1">
      <alignment horizontal="center"/>
    </xf>
    <xf numFmtId="3" fontId="1" fillId="0" borderId="31" xfId="0" applyNumberFormat="1" applyFont="1" applyFill="1" applyBorder="1"/>
    <xf numFmtId="3" fontId="1" fillId="0" borderId="4" xfId="0" applyNumberFormat="1" applyFont="1" applyFill="1" applyBorder="1" applyAlignment="1">
      <alignment horizontal="center" vertical="center" wrapText="1"/>
    </xf>
    <xf numFmtId="3" fontId="1" fillId="0" borderId="9" xfId="0" applyNumberFormat="1" applyFont="1" applyFill="1" applyBorder="1" applyAlignment="1">
      <alignment horizontal="center" vertical="center" wrapText="1"/>
    </xf>
    <xf numFmtId="3" fontId="9" fillId="0" borderId="32" xfId="0" applyNumberFormat="1" applyFont="1" applyFill="1" applyBorder="1"/>
    <xf numFmtId="178" fontId="9" fillId="0" borderId="32" xfId="0" applyNumberFormat="1" applyFont="1" applyFill="1" applyBorder="1" applyAlignment="1">
      <alignment horizontal="center"/>
    </xf>
    <xf numFmtId="3" fontId="1" fillId="0" borderId="32" xfId="0" applyNumberFormat="1" applyFont="1" applyFill="1" applyBorder="1"/>
    <xf numFmtId="3" fontId="1" fillId="0" borderId="18" xfId="0" applyNumberFormat="1" applyFont="1" applyFill="1" applyBorder="1"/>
    <xf numFmtId="3" fontId="1" fillId="0" borderId="19" xfId="0" applyNumberFormat="1" applyFont="1" applyFill="1" applyBorder="1"/>
    <xf numFmtId="3" fontId="9" fillId="0" borderId="26" xfId="0" applyNumberFormat="1" applyFont="1" applyFill="1" applyBorder="1" applyAlignment="1">
      <alignment horizontal="left" wrapText="1"/>
    </xf>
    <xf numFmtId="3" fontId="9" fillId="0" borderId="28" xfId="0" applyNumberFormat="1" applyFont="1" applyFill="1" applyBorder="1" applyAlignment="1">
      <alignment horizontal="left" wrapText="1"/>
    </xf>
    <xf numFmtId="3" fontId="9" fillId="0" borderId="26" xfId="0" applyNumberFormat="1" applyFont="1" applyFill="1" applyBorder="1"/>
    <xf numFmtId="3" fontId="9" fillId="0" borderId="0" xfId="0" applyNumberFormat="1" applyFont="1" applyFill="1"/>
    <xf numFmtId="3" fontId="1" fillId="0" borderId="0" xfId="0" applyNumberFormat="1" applyFont="1" applyFill="1" applyAlignment="1">
      <alignment horizontal="left"/>
    </xf>
    <xf numFmtId="3" fontId="1" fillId="0" borderId="3" xfId="0" applyNumberFormat="1" applyFont="1" applyFill="1" applyBorder="1" applyAlignment="1">
      <alignment horizontal="center" vertical="center" wrapText="1"/>
    </xf>
    <xf numFmtId="3" fontId="1" fillId="0" borderId="3" xfId="0" applyNumberFormat="1" applyFont="1" applyFill="1" applyBorder="1" applyAlignment="1">
      <alignment horizontal="center" vertical="center"/>
    </xf>
    <xf numFmtId="3" fontId="1" fillId="0" borderId="33" xfId="0" applyNumberFormat="1" applyFont="1" applyFill="1" applyBorder="1" applyAlignment="1">
      <alignment horizontal="center" vertical="center"/>
    </xf>
    <xf numFmtId="3" fontId="1" fillId="0" borderId="8" xfId="0" applyNumberFormat="1" applyFont="1" applyFill="1" applyBorder="1" applyAlignment="1">
      <alignment horizontal="center" vertical="center" wrapText="1"/>
    </xf>
    <xf numFmtId="3" fontId="1" fillId="0" borderId="8" xfId="0" applyNumberFormat="1" applyFont="1" applyFill="1" applyBorder="1" applyAlignment="1">
      <alignment horizontal="center" vertical="center"/>
    </xf>
    <xf numFmtId="3" fontId="1" fillId="0" borderId="34" xfId="0" applyNumberFormat="1" applyFont="1" applyFill="1" applyBorder="1" applyAlignment="1">
      <alignment horizontal="center" vertical="center"/>
    </xf>
    <xf numFmtId="178" fontId="9" fillId="0" borderId="3" xfId="0" applyNumberFormat="1" applyFont="1" applyFill="1" applyBorder="1" applyAlignment="1">
      <alignment horizontal="center"/>
    </xf>
    <xf numFmtId="3" fontId="1" fillId="0" borderId="35" xfId="0" applyNumberFormat="1" applyFont="1" applyFill="1" applyBorder="1"/>
    <xf numFmtId="3" fontId="9" fillId="0" borderId="12" xfId="0" applyNumberFormat="1" applyFont="1" applyFill="1" applyBorder="1"/>
    <xf numFmtId="3" fontId="9" fillId="0" borderId="20" xfId="0" applyNumberFormat="1" applyFont="1" applyFill="1" applyBorder="1"/>
    <xf numFmtId="3" fontId="1" fillId="0" borderId="36" xfId="0" applyNumberFormat="1" applyFont="1" applyFill="1" applyBorder="1"/>
    <xf numFmtId="3" fontId="9" fillId="0" borderId="24" xfId="0" applyNumberFormat="1" applyFont="1" applyFill="1" applyBorder="1" applyAlignment="1">
      <alignment vertical="center"/>
    </xf>
    <xf numFmtId="3" fontId="3" fillId="0" borderId="26" xfId="0" applyNumberFormat="1" applyFont="1" applyFill="1" applyBorder="1" applyAlignment="1">
      <alignment horizontal="left" vertical="center"/>
    </xf>
    <xf numFmtId="3" fontId="3" fillId="0" borderId="28" xfId="0" applyNumberFormat="1" applyFont="1" applyFill="1" applyBorder="1" applyAlignment="1">
      <alignment horizontal="left" vertical="center"/>
    </xf>
    <xf numFmtId="3" fontId="14" fillId="0" borderId="25" xfId="0" applyNumberFormat="1" applyFont="1" applyFill="1" applyBorder="1" applyAlignment="1">
      <alignment vertical="center"/>
    </xf>
    <xf numFmtId="3" fontId="1" fillId="0" borderId="37" xfId="0" applyNumberFormat="1" applyFont="1" applyFill="1" applyBorder="1" applyAlignment="1">
      <alignment vertical="center"/>
    </xf>
    <xf numFmtId="3" fontId="1" fillId="0" borderId="27" xfId="0" applyNumberFormat="1" applyFont="1" applyFill="1" applyBorder="1" applyAlignment="1">
      <alignment vertical="center"/>
    </xf>
    <xf numFmtId="3" fontId="9" fillId="0" borderId="0" xfId="0" applyNumberFormat="1" applyFont="1" applyFill="1" applyAlignment="1">
      <alignment horizontal="center"/>
    </xf>
    <xf numFmtId="3" fontId="9" fillId="0" borderId="0" xfId="0" applyNumberFormat="1" applyFont="1" applyFill="1" applyAlignment="1">
      <alignment horizontal="left" indent="5"/>
    </xf>
    <xf numFmtId="3" fontId="1" fillId="0" borderId="0" xfId="0" applyNumberFormat="1" applyFont="1" applyFill="1" applyAlignment="1">
      <alignment horizontal="left" indent="5"/>
    </xf>
    <xf numFmtId="3" fontId="9" fillId="0" borderId="3" xfId="0" applyNumberFormat="1" applyFont="1" applyFill="1" applyBorder="1" applyAlignment="1" quotePrefix="1">
      <alignment horizontal="center"/>
    </xf>
    <xf numFmtId="178" fontId="9" fillId="0" borderId="13" xfId="0" applyNumberFormat="1" applyFont="1" applyFill="1" applyBorder="1" applyAlignment="1" quotePrefix="1">
      <alignment horizontal="center"/>
    </xf>
    <xf numFmtId="3" fontId="9" fillId="0" borderId="13" xfId="0" applyNumberFormat="1" applyFont="1" applyFill="1" applyBorder="1" applyAlignment="1" quotePrefix="1">
      <alignment horizontal="left"/>
    </xf>
    <xf numFmtId="178" fontId="9" fillId="0" borderId="32" xfId="0" applyNumberFormat="1" applyFont="1" applyFill="1" applyBorder="1" applyAlignment="1" quotePrefix="1">
      <alignment horizontal="center"/>
    </xf>
    <xf numFmtId="178" fontId="9" fillId="0" borderId="3" xfId="0" applyNumberFormat="1" applyFont="1" applyFill="1" applyBorder="1" applyAlignment="1" quotePrefix="1">
      <alignment horizontal="center"/>
    </xf>
    <xf numFmtId="178" fontId="10" fillId="0" borderId="13" xfId="0" applyNumberFormat="1" applyFont="1" applyFill="1" applyBorder="1" applyAlignment="1" applyProtection="1" quotePrefix="1">
      <alignment horizontal="center"/>
    </xf>
    <xf numFmtId="3" fontId="10" fillId="0" borderId="13" xfId="0" applyNumberFormat="1" applyFont="1" applyFill="1" applyBorder="1" applyAlignment="1" applyProtection="1" quotePrefix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104775</xdr:colOff>
      <xdr:row>0</xdr:row>
      <xdr:rowOff>60325</xdr:rowOff>
    </xdr:from>
    <xdr:to>
      <xdr:col>1</xdr:col>
      <xdr:colOff>212725</xdr:colOff>
      <xdr:row>2</xdr:row>
      <xdr:rowOff>114935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775" y="60325"/>
          <a:ext cx="441325" cy="4102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848360</xdr:colOff>
      <xdr:row>117</xdr:row>
      <xdr:rowOff>151765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33375" y="18910300"/>
          <a:ext cx="848360" cy="647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1257300</xdr:colOff>
      <xdr:row>113</xdr:row>
      <xdr:rowOff>12700</xdr:rowOff>
    </xdr:from>
    <xdr:to>
      <xdr:col>2</xdr:col>
      <xdr:colOff>652145</xdr:colOff>
      <xdr:row>117</xdr:row>
      <xdr:rowOff>107315</xdr:rowOff>
    </xdr:to>
    <xdr:pic>
      <xdr:nvPicPr>
        <xdr:cNvPr id="4" name="Image 1"/>
        <xdr:cNvPicPr/>
      </xdr:nvPicPr>
      <xdr:blipFill>
        <a:blip r:embed="rId3" cstate="print"/>
        <a:stretch>
          <a:fillRect/>
        </a:stretch>
      </xdr:blipFill>
      <xdr:spPr>
        <a:xfrm>
          <a:off x="1590675" y="18757900"/>
          <a:ext cx="747395" cy="75501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113</xdr:row>
      <xdr:rowOff>22225</xdr:rowOff>
    </xdr:from>
    <xdr:to>
      <xdr:col>3</xdr:col>
      <xdr:colOff>802005</xdr:colOff>
      <xdr:row>117</xdr:row>
      <xdr:rowOff>92075</xdr:rowOff>
    </xdr:to>
    <xdr:pic>
      <xdr:nvPicPr>
        <xdr:cNvPr id="5" name="Image 1"/>
        <xdr:cNvPicPr/>
      </xdr:nvPicPr>
      <xdr:blipFill>
        <a:blip r:embed="rId4" cstate="print"/>
        <a:srcRect l="7055" t="10257" r="8648" b="8696"/>
        <a:stretch>
          <a:fillRect/>
        </a:stretch>
      </xdr:blipFill>
      <xdr:spPr>
        <a:xfrm>
          <a:off x="2638425" y="18767425"/>
          <a:ext cx="802005" cy="73025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113</xdr:row>
      <xdr:rowOff>0</xdr:rowOff>
    </xdr:from>
    <xdr:to>
      <xdr:col>4</xdr:col>
      <xdr:colOff>645795</xdr:colOff>
      <xdr:row>117</xdr:row>
      <xdr:rowOff>105410</xdr:rowOff>
    </xdr:to>
    <xdr:pic>
      <xdr:nvPicPr>
        <xdr:cNvPr id="6" name="Image 1"/>
        <xdr:cNvPicPr/>
      </xdr:nvPicPr>
      <xdr:blipFill>
        <a:blip r:embed="rId5" cstate="print"/>
        <a:srcRect l="7876" t="9155" r="10759"/>
        <a:stretch>
          <a:fillRect/>
        </a:stretch>
      </xdr:blipFill>
      <xdr:spPr>
        <a:xfrm>
          <a:off x="3724275" y="18745200"/>
          <a:ext cx="645795" cy="765810"/>
        </a:xfrm>
        <a:prstGeom prst="rect">
          <a:avLst/>
        </a:prstGeom>
      </xdr:spPr>
    </xdr:pic>
    <xdr:clientData/>
  </xdr:twoCellAnchor>
  <xdr:twoCellAnchor>
    <xdr:from>
      <xdr:col>4</xdr:col>
      <xdr:colOff>971550</xdr:colOff>
      <xdr:row>113</xdr:row>
      <xdr:rowOff>50800</xdr:rowOff>
    </xdr:from>
    <xdr:to>
      <xdr:col>6</xdr:col>
      <xdr:colOff>244475</xdr:colOff>
      <xdr:row>117</xdr:row>
      <xdr:rowOff>71755</xdr:rowOff>
    </xdr:to>
    <xdr:pic>
      <xdr:nvPicPr>
        <xdr:cNvPr id="7" name="Image 1"/>
        <xdr:cNvPicPr/>
      </xdr:nvPicPr>
      <xdr:blipFill>
        <a:blip r:embed="rId6" cstate="print"/>
        <a:srcRect l="10346" r="24429"/>
        <a:stretch>
          <a:fillRect/>
        </a:stretch>
      </xdr:blipFill>
      <xdr:spPr>
        <a:xfrm>
          <a:off x="4695825" y="18796000"/>
          <a:ext cx="914400" cy="6813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7"/>
  <sheetViews>
    <sheetView zoomScale="98" zoomScaleNormal="98" topLeftCell="A135" workbookViewId="0">
      <selection activeCell="I18" sqref="I18"/>
    </sheetView>
  </sheetViews>
  <sheetFormatPr defaultColWidth="9" defaultRowHeight="18" customHeight="1"/>
  <cols>
    <col min="1" max="1" width="5" style="84" customWidth="1"/>
    <col min="2" max="2" width="25.8571428571429" style="84" customWidth="1"/>
    <col min="3" max="4" width="16.2857142857143" style="84" customWidth="1"/>
    <col min="5" max="5" width="15.4285714285714" style="84" customWidth="1"/>
    <col min="6" max="6" width="10.4285714285714" style="84" customWidth="1"/>
    <col min="7" max="7" width="4.57142857142857" style="84" customWidth="1"/>
    <col min="8" max="16384" width="9.14285714285714" style="84"/>
  </cols>
  <sheetData>
    <row r="1" customHeight="1" spans="1:6">
      <c r="A1" s="85" t="s">
        <v>0</v>
      </c>
      <c r="B1" s="85"/>
      <c r="C1" s="85"/>
      <c r="D1" s="85"/>
      <c r="E1" s="85"/>
      <c r="F1" s="85"/>
    </row>
    <row r="2" customHeight="1" spans="1:10">
      <c r="A2" s="86" t="s">
        <v>1</v>
      </c>
      <c r="B2" s="86"/>
      <c r="C2" s="86"/>
      <c r="D2" s="86"/>
      <c r="E2" s="86"/>
      <c r="F2" s="86"/>
      <c r="G2" s="87"/>
      <c r="H2" s="87"/>
      <c r="I2" s="87"/>
      <c r="J2" s="87"/>
    </row>
    <row r="3" customHeight="1" spans="1:6">
      <c r="A3" s="88" t="s">
        <v>2</v>
      </c>
      <c r="B3" s="88"/>
      <c r="C3" s="88"/>
      <c r="D3" s="88"/>
      <c r="E3" s="88"/>
      <c r="F3" s="88"/>
    </row>
    <row r="4" customHeight="1" spans="1:6">
      <c r="A4" s="89"/>
      <c r="B4" s="89"/>
      <c r="C4" s="89"/>
      <c r="D4" s="90"/>
      <c r="E4" s="90"/>
      <c r="F4" s="90"/>
    </row>
    <row r="5" customHeight="1" spans="1:6">
      <c r="A5" s="85" t="s">
        <v>3</v>
      </c>
      <c r="B5" s="85"/>
      <c r="C5" s="85"/>
      <c r="D5" s="85"/>
      <c r="E5" s="85"/>
      <c r="F5" s="85"/>
    </row>
    <row r="6" customHeight="1" spans="1:6">
      <c r="A6" s="91" t="s">
        <v>4</v>
      </c>
      <c r="B6" s="91"/>
      <c r="C6" s="91"/>
      <c r="D6" s="91"/>
      <c r="E6" s="91"/>
      <c r="F6" s="91"/>
    </row>
    <row r="7" customHeight="1" spans="1:6">
      <c r="A7" s="92" t="s">
        <v>5</v>
      </c>
      <c r="B7" s="93" t="s">
        <v>6</v>
      </c>
      <c r="C7" s="93" t="s">
        <v>7</v>
      </c>
      <c r="D7" s="94" t="s">
        <v>8</v>
      </c>
      <c r="E7" s="95" t="s">
        <v>9</v>
      </c>
      <c r="F7" s="96"/>
    </row>
    <row r="8" customHeight="1" spans="1:6">
      <c r="A8" s="97"/>
      <c r="B8" s="98"/>
      <c r="C8" s="98"/>
      <c r="D8" s="99"/>
      <c r="E8" s="100"/>
      <c r="F8" s="101"/>
    </row>
    <row r="9" customHeight="1" spans="1:6">
      <c r="A9" s="102">
        <v>1</v>
      </c>
      <c r="B9" s="103" t="s">
        <v>10</v>
      </c>
      <c r="C9" s="166" t="s">
        <v>11</v>
      </c>
      <c r="D9" s="105">
        <v>600000</v>
      </c>
      <c r="E9" s="106"/>
      <c r="F9" s="107"/>
    </row>
    <row r="10" customHeight="1" spans="1:6">
      <c r="A10" s="108">
        <v>2</v>
      </c>
      <c r="B10" s="109" t="s">
        <v>12</v>
      </c>
      <c r="C10" s="167" t="s">
        <v>13</v>
      </c>
      <c r="D10" s="111">
        <v>8500000</v>
      </c>
      <c r="E10" s="112"/>
      <c r="F10" s="113"/>
    </row>
    <row r="11" customHeight="1" spans="1:6">
      <c r="A11" s="108">
        <v>3</v>
      </c>
      <c r="B11" s="109" t="s">
        <v>14</v>
      </c>
      <c r="C11" s="167" t="s">
        <v>15</v>
      </c>
      <c r="D11" s="111">
        <v>2160000</v>
      </c>
      <c r="E11" s="112"/>
      <c r="F11" s="113"/>
    </row>
    <row r="12" customHeight="1" spans="1:6">
      <c r="A12" s="108">
        <v>4</v>
      </c>
      <c r="B12" s="109" t="s">
        <v>16</v>
      </c>
      <c r="C12" s="167" t="s">
        <v>17</v>
      </c>
      <c r="D12" s="111">
        <v>602500</v>
      </c>
      <c r="E12" s="112"/>
      <c r="F12" s="113"/>
    </row>
    <row r="13" customHeight="1" spans="1:6">
      <c r="A13" s="108">
        <v>5</v>
      </c>
      <c r="B13" s="109" t="s">
        <v>18</v>
      </c>
      <c r="C13" s="110" t="s">
        <v>19</v>
      </c>
      <c r="D13" s="111">
        <v>4380000</v>
      </c>
      <c r="E13" s="112"/>
      <c r="F13" s="113"/>
    </row>
    <row r="14" customHeight="1" spans="1:6">
      <c r="A14" s="108">
        <v>6</v>
      </c>
      <c r="B14" s="109" t="s">
        <v>20</v>
      </c>
      <c r="C14" s="167" t="s">
        <v>21</v>
      </c>
      <c r="D14" s="111">
        <v>3200000</v>
      </c>
      <c r="E14" s="112"/>
      <c r="F14" s="113"/>
    </row>
    <row r="15" customHeight="1" spans="1:10">
      <c r="A15" s="108">
        <v>7</v>
      </c>
      <c r="B15" s="109" t="s">
        <v>22</v>
      </c>
      <c r="C15" s="167" t="s">
        <v>23</v>
      </c>
      <c r="D15" s="111">
        <v>4000000</v>
      </c>
      <c r="E15" s="112"/>
      <c r="F15" s="113"/>
      <c r="J15" s="84" t="s">
        <v>24</v>
      </c>
    </row>
    <row r="16" customHeight="1" spans="1:6">
      <c r="A16" s="108">
        <v>8</v>
      </c>
      <c r="B16" s="109" t="s">
        <v>25</v>
      </c>
      <c r="C16" s="167" t="s">
        <v>23</v>
      </c>
      <c r="D16" s="111">
        <v>300000</v>
      </c>
      <c r="E16" s="112"/>
      <c r="F16" s="113"/>
    </row>
    <row r="17" customHeight="1" spans="1:6">
      <c r="A17" s="108">
        <v>9</v>
      </c>
      <c r="B17" s="109" t="s">
        <v>26</v>
      </c>
      <c r="C17" s="167" t="s">
        <v>27</v>
      </c>
      <c r="D17" s="111">
        <v>750000</v>
      </c>
      <c r="E17" s="112"/>
      <c r="F17" s="113"/>
    </row>
    <row r="18" customHeight="1" spans="1:6">
      <c r="A18" s="108">
        <v>10</v>
      </c>
      <c r="B18" s="109" t="s">
        <v>28</v>
      </c>
      <c r="C18" s="167" t="s">
        <v>29</v>
      </c>
      <c r="D18" s="111">
        <v>3200000</v>
      </c>
      <c r="E18" s="112"/>
      <c r="F18" s="113"/>
    </row>
    <row r="19" customHeight="1" spans="1:6">
      <c r="A19" s="108">
        <v>11</v>
      </c>
      <c r="B19" s="109" t="s">
        <v>30</v>
      </c>
      <c r="C19" s="167" t="s">
        <v>29</v>
      </c>
      <c r="D19" s="111">
        <v>700000</v>
      </c>
      <c r="E19" s="112"/>
      <c r="F19" s="113"/>
    </row>
    <row r="20" customHeight="1" spans="1:6">
      <c r="A20" s="108">
        <v>12</v>
      </c>
      <c r="B20" s="109" t="s">
        <v>31</v>
      </c>
      <c r="C20" s="167" t="s">
        <v>32</v>
      </c>
      <c r="D20" s="111">
        <v>4050000</v>
      </c>
      <c r="E20" s="112"/>
      <c r="F20" s="113"/>
    </row>
    <row r="21" customHeight="1" spans="1:6">
      <c r="A21" s="108">
        <v>13</v>
      </c>
      <c r="B21" s="109" t="s">
        <v>33</v>
      </c>
      <c r="C21" s="167" t="s">
        <v>34</v>
      </c>
      <c r="D21" s="111">
        <v>5400000</v>
      </c>
      <c r="E21" s="112"/>
      <c r="F21" s="113"/>
    </row>
    <row r="22" customHeight="1" spans="1:6">
      <c r="A22" s="108">
        <v>14</v>
      </c>
      <c r="B22" s="168" t="s">
        <v>35</v>
      </c>
      <c r="C22" s="167" t="s">
        <v>36</v>
      </c>
      <c r="D22" s="111">
        <v>2000000</v>
      </c>
      <c r="E22" s="112"/>
      <c r="F22" s="113"/>
    </row>
    <row r="23" customHeight="1" spans="1:6">
      <c r="A23" s="108">
        <v>15</v>
      </c>
      <c r="B23" s="109" t="s">
        <v>37</v>
      </c>
      <c r="C23" s="167" t="s">
        <v>38</v>
      </c>
      <c r="D23" s="111">
        <v>3850000</v>
      </c>
      <c r="E23" s="112"/>
      <c r="F23" s="113"/>
    </row>
    <row r="24" customHeight="1" spans="1:6">
      <c r="A24" s="108">
        <v>16</v>
      </c>
      <c r="B24" s="109" t="s">
        <v>39</v>
      </c>
      <c r="C24" s="167" t="s">
        <v>38</v>
      </c>
      <c r="D24" s="111">
        <v>1000000</v>
      </c>
      <c r="E24" s="112"/>
      <c r="F24" s="113"/>
    </row>
    <row r="25" customHeight="1" spans="1:6">
      <c r="A25" s="108">
        <v>17</v>
      </c>
      <c r="B25" s="109" t="s">
        <v>40</v>
      </c>
      <c r="C25" s="167" t="s">
        <v>41</v>
      </c>
      <c r="D25" s="111">
        <v>5680000</v>
      </c>
      <c r="E25" s="112"/>
      <c r="F25" s="113"/>
    </row>
    <row r="26" customHeight="1" spans="1:6">
      <c r="A26" s="108">
        <v>18</v>
      </c>
      <c r="B26" s="109" t="s">
        <v>42</v>
      </c>
      <c r="C26" s="167" t="s">
        <v>43</v>
      </c>
      <c r="D26" s="111">
        <v>18666000</v>
      </c>
      <c r="E26" s="112"/>
      <c r="F26" s="113"/>
    </row>
    <row r="27" customHeight="1" spans="1:6">
      <c r="A27" s="108">
        <v>19</v>
      </c>
      <c r="B27" s="109" t="s">
        <v>44</v>
      </c>
      <c r="C27" s="167" t="s">
        <v>45</v>
      </c>
      <c r="D27" s="111">
        <v>980000</v>
      </c>
      <c r="E27" s="112"/>
      <c r="F27" s="113"/>
    </row>
    <row r="28" customHeight="1" spans="1:6">
      <c r="A28" s="108">
        <v>20</v>
      </c>
      <c r="B28" s="109" t="s">
        <v>46</v>
      </c>
      <c r="C28" s="167" t="s">
        <v>47</v>
      </c>
      <c r="D28" s="111">
        <v>2000000</v>
      </c>
      <c r="E28" s="112"/>
      <c r="F28" s="113"/>
    </row>
    <row r="29" customHeight="1" spans="1:6">
      <c r="A29" s="108">
        <v>21</v>
      </c>
      <c r="B29" s="109" t="s">
        <v>48</v>
      </c>
      <c r="C29" s="167" t="s">
        <v>47</v>
      </c>
      <c r="D29" s="111">
        <v>3050000</v>
      </c>
      <c r="E29" s="112"/>
      <c r="F29" s="113"/>
    </row>
    <row r="30" customHeight="1" spans="1:6">
      <c r="A30" s="108">
        <v>22</v>
      </c>
      <c r="B30" s="109" t="s">
        <v>49</v>
      </c>
      <c r="C30" s="167" t="s">
        <v>50</v>
      </c>
      <c r="D30" s="111">
        <v>4500000</v>
      </c>
      <c r="E30" s="112"/>
      <c r="F30" s="113"/>
    </row>
    <row r="31" customHeight="1" spans="1:6">
      <c r="A31" s="108">
        <v>23</v>
      </c>
      <c r="B31" s="109" t="s">
        <v>51</v>
      </c>
      <c r="C31" s="167" t="s">
        <v>52</v>
      </c>
      <c r="D31" s="111">
        <v>2700000</v>
      </c>
      <c r="E31" s="112"/>
      <c r="F31" s="113"/>
    </row>
    <row r="32" customHeight="1" spans="1:6">
      <c r="A32" s="108">
        <v>24</v>
      </c>
      <c r="B32" s="109" t="s">
        <v>53</v>
      </c>
      <c r="C32" s="167" t="s">
        <v>54</v>
      </c>
      <c r="D32" s="111">
        <v>1750000</v>
      </c>
      <c r="E32" s="112"/>
      <c r="F32" s="113"/>
    </row>
    <row r="33" customHeight="1" spans="1:6">
      <c r="A33" s="108">
        <v>25</v>
      </c>
      <c r="B33" s="109" t="s">
        <v>55</v>
      </c>
      <c r="C33" s="167" t="s">
        <v>54</v>
      </c>
      <c r="D33" s="111">
        <v>13500000</v>
      </c>
      <c r="E33" s="112"/>
      <c r="F33" s="113"/>
    </row>
    <row r="34" customHeight="1" spans="1:6">
      <c r="A34" s="108">
        <v>26</v>
      </c>
      <c r="B34" s="109" t="s">
        <v>56</v>
      </c>
      <c r="C34" s="167" t="s">
        <v>57</v>
      </c>
      <c r="D34" s="111">
        <v>600000</v>
      </c>
      <c r="E34" s="112"/>
      <c r="F34" s="113"/>
    </row>
    <row r="35" customHeight="1" spans="1:6">
      <c r="A35" s="108">
        <v>27</v>
      </c>
      <c r="B35" s="109" t="s">
        <v>58</v>
      </c>
      <c r="C35" s="167" t="s">
        <v>59</v>
      </c>
      <c r="D35" s="111">
        <v>3750000</v>
      </c>
      <c r="E35" s="112"/>
      <c r="F35" s="113"/>
    </row>
    <row r="36" customHeight="1" spans="1:6">
      <c r="A36" s="108">
        <v>28</v>
      </c>
      <c r="B36" s="109" t="s">
        <v>60</v>
      </c>
      <c r="C36" s="167" t="s">
        <v>61</v>
      </c>
      <c r="D36" s="111">
        <v>8250000</v>
      </c>
      <c r="E36" s="112"/>
      <c r="F36" s="113"/>
    </row>
    <row r="37" customHeight="1" spans="1:6">
      <c r="A37" s="108">
        <v>29</v>
      </c>
      <c r="B37" s="109" t="s">
        <v>62</v>
      </c>
      <c r="C37" s="167" t="s">
        <v>61</v>
      </c>
      <c r="D37" s="111">
        <v>11250000</v>
      </c>
      <c r="E37" s="112"/>
      <c r="F37" s="113"/>
    </row>
    <row r="38" customHeight="1" spans="1:6">
      <c r="A38" s="108">
        <v>30</v>
      </c>
      <c r="B38" s="109" t="s">
        <v>63</v>
      </c>
      <c r="C38" s="167" t="s">
        <v>64</v>
      </c>
      <c r="D38" s="111">
        <v>3600000</v>
      </c>
      <c r="E38" s="112"/>
      <c r="F38" s="113"/>
    </row>
    <row r="39" customHeight="1" spans="1:6">
      <c r="A39" s="108">
        <v>31</v>
      </c>
      <c r="B39" s="109" t="s">
        <v>65</v>
      </c>
      <c r="C39" s="167" t="s">
        <v>66</v>
      </c>
      <c r="D39" s="111">
        <v>750000</v>
      </c>
      <c r="E39" s="112"/>
      <c r="F39" s="113"/>
    </row>
    <row r="40" customHeight="1" spans="1:6">
      <c r="A40" s="108">
        <v>32</v>
      </c>
      <c r="B40" s="109" t="s">
        <v>67</v>
      </c>
      <c r="C40" s="167" t="s">
        <v>68</v>
      </c>
      <c r="D40" s="111">
        <v>15000000</v>
      </c>
      <c r="E40" s="112"/>
      <c r="F40" s="113"/>
    </row>
    <row r="41" customHeight="1" spans="1:6">
      <c r="A41" s="108">
        <v>33</v>
      </c>
      <c r="B41" s="109" t="s">
        <v>69</v>
      </c>
      <c r="C41" s="167" t="s">
        <v>70</v>
      </c>
      <c r="D41" s="111">
        <v>500000</v>
      </c>
      <c r="E41" s="112"/>
      <c r="F41" s="113"/>
    </row>
    <row r="42" customHeight="1" spans="1:6">
      <c r="A42" s="108">
        <v>34</v>
      </c>
      <c r="B42" s="109" t="s">
        <v>71</v>
      </c>
      <c r="C42" s="167" t="s">
        <v>72</v>
      </c>
      <c r="D42" s="111">
        <v>1750000</v>
      </c>
      <c r="E42" s="112"/>
      <c r="F42" s="113"/>
    </row>
    <row r="43" customHeight="1" spans="1:6">
      <c r="A43" s="108">
        <v>35</v>
      </c>
      <c r="B43" s="109" t="s">
        <v>73</v>
      </c>
      <c r="C43" s="167" t="s">
        <v>74</v>
      </c>
      <c r="D43" s="111">
        <v>4000000</v>
      </c>
      <c r="E43" s="112"/>
      <c r="F43" s="113"/>
    </row>
    <row r="44" customHeight="1" spans="1:6">
      <c r="A44" s="108">
        <v>36</v>
      </c>
      <c r="B44" s="109" t="s">
        <v>75</v>
      </c>
      <c r="C44" s="167" t="s">
        <v>76</v>
      </c>
      <c r="D44" s="111">
        <v>300000</v>
      </c>
      <c r="E44" s="112"/>
      <c r="F44" s="113"/>
    </row>
    <row r="45" customHeight="1" spans="1:6">
      <c r="A45" s="108">
        <v>37</v>
      </c>
      <c r="B45" s="109" t="s">
        <v>77</v>
      </c>
      <c r="C45" s="167" t="s">
        <v>78</v>
      </c>
      <c r="D45" s="111">
        <v>3250000</v>
      </c>
      <c r="E45" s="112"/>
      <c r="F45" s="113"/>
    </row>
    <row r="46" customHeight="1" spans="1:6">
      <c r="A46" s="108">
        <v>38</v>
      </c>
      <c r="B46" s="109" t="s">
        <v>79</v>
      </c>
      <c r="C46" s="167" t="s">
        <v>80</v>
      </c>
      <c r="D46" s="111">
        <v>23250000</v>
      </c>
      <c r="E46" s="112"/>
      <c r="F46" s="113"/>
    </row>
    <row r="47" customHeight="1" spans="1:6">
      <c r="A47" s="108">
        <v>39</v>
      </c>
      <c r="B47" s="109" t="s">
        <v>81</v>
      </c>
      <c r="C47" s="167" t="s">
        <v>80</v>
      </c>
      <c r="D47" s="111">
        <v>10000000</v>
      </c>
      <c r="E47" s="112"/>
      <c r="F47" s="113"/>
    </row>
    <row r="48" customHeight="1" spans="1:6">
      <c r="A48" s="108">
        <v>40</v>
      </c>
      <c r="B48" s="109" t="s">
        <v>82</v>
      </c>
      <c r="C48" s="167" t="s">
        <v>83</v>
      </c>
      <c r="D48" s="111">
        <v>3000000</v>
      </c>
      <c r="E48" s="112"/>
      <c r="F48" s="113"/>
    </row>
    <row r="49" customHeight="1" spans="1:6">
      <c r="A49" s="115"/>
      <c r="B49" s="116"/>
      <c r="C49" s="117"/>
      <c r="D49" s="118"/>
      <c r="E49" s="119"/>
      <c r="F49" s="120"/>
    </row>
    <row r="50" customHeight="1" spans="1:6">
      <c r="A50" s="121"/>
      <c r="B50" s="122" t="s">
        <v>84</v>
      </c>
      <c r="C50" s="123"/>
      <c r="D50" s="124">
        <f>SUM(D9:D49)</f>
        <v>186768500</v>
      </c>
      <c r="E50" s="125"/>
      <c r="F50" s="126"/>
    </row>
    <row r="51" customHeight="1" spans="1:6">
      <c r="A51" s="88"/>
      <c r="B51" s="127"/>
      <c r="C51" s="91"/>
      <c r="D51" s="128">
        <v>13</v>
      </c>
      <c r="E51" s="129"/>
      <c r="F51" s="129"/>
    </row>
    <row r="52" customHeight="1" spans="1:6">
      <c r="A52" s="88"/>
      <c r="B52" s="127"/>
      <c r="C52" s="91"/>
      <c r="D52" s="129"/>
      <c r="E52" s="129"/>
      <c r="F52" s="129"/>
    </row>
    <row r="53" customHeight="1" spans="1:6">
      <c r="A53" s="88"/>
      <c r="B53" s="127"/>
      <c r="C53" s="91"/>
      <c r="D53" s="129"/>
      <c r="E53" s="129"/>
      <c r="F53" s="129"/>
    </row>
    <row r="54" customHeight="1" spans="1:6">
      <c r="A54" s="88"/>
      <c r="B54" s="127"/>
      <c r="C54" s="91"/>
      <c r="D54" s="129"/>
      <c r="E54" s="129"/>
      <c r="F54" s="129"/>
    </row>
    <row r="55" customHeight="1" spans="1:6">
      <c r="A55" s="88"/>
      <c r="B55" s="127"/>
      <c r="C55" s="91"/>
      <c r="D55" s="129"/>
      <c r="E55" s="129"/>
      <c r="F55" s="129"/>
    </row>
    <row r="56" customHeight="1" spans="1:6">
      <c r="A56" s="88"/>
      <c r="B56" s="127"/>
      <c r="C56" s="91"/>
      <c r="D56" s="129"/>
      <c r="E56" s="129"/>
      <c r="F56" s="129"/>
    </row>
    <row r="57" ht="10.5" customHeight="1" spans="1:6">
      <c r="A57" s="130"/>
      <c r="B57" s="131"/>
      <c r="C57" s="132"/>
      <c r="D57" s="133"/>
      <c r="E57" s="133"/>
      <c r="F57" s="133"/>
    </row>
    <row r="58" customHeight="1" spans="1:6">
      <c r="A58" s="92" t="s">
        <v>5</v>
      </c>
      <c r="B58" s="93" t="s">
        <v>6</v>
      </c>
      <c r="C58" s="93" t="s">
        <v>85</v>
      </c>
      <c r="D58" s="134" t="s">
        <v>86</v>
      </c>
      <c r="E58" s="95" t="s">
        <v>9</v>
      </c>
      <c r="F58" s="96"/>
    </row>
    <row r="59" customHeight="1" spans="1:6">
      <c r="A59" s="97"/>
      <c r="B59" s="98"/>
      <c r="C59" s="98"/>
      <c r="D59" s="135"/>
      <c r="E59" s="100"/>
      <c r="F59" s="101"/>
    </row>
    <row r="60" customHeight="1" spans="1:6">
      <c r="A60" s="102">
        <v>41</v>
      </c>
      <c r="B60" s="136" t="s">
        <v>87</v>
      </c>
      <c r="C60" s="169" t="s">
        <v>88</v>
      </c>
      <c r="D60" s="138">
        <v>8900000</v>
      </c>
      <c r="E60" s="139"/>
      <c r="F60" s="140"/>
    </row>
    <row r="61" customHeight="1" spans="1:6">
      <c r="A61" s="108">
        <v>42</v>
      </c>
      <c r="B61" s="109" t="s">
        <v>89</v>
      </c>
      <c r="C61" s="167" t="s">
        <v>90</v>
      </c>
      <c r="D61" s="111">
        <v>8000000</v>
      </c>
      <c r="E61" s="112"/>
      <c r="F61" s="113"/>
    </row>
    <row r="62" customHeight="1" spans="1:6">
      <c r="A62" s="108">
        <v>43</v>
      </c>
      <c r="B62" s="109" t="s">
        <v>91</v>
      </c>
      <c r="C62" s="167" t="s">
        <v>90</v>
      </c>
      <c r="D62" s="111">
        <v>800000</v>
      </c>
      <c r="E62" s="112"/>
      <c r="F62" s="113"/>
    </row>
    <row r="63" customHeight="1" spans="1:6">
      <c r="A63" s="108">
        <v>44</v>
      </c>
      <c r="B63" s="109" t="s">
        <v>92</v>
      </c>
      <c r="C63" s="167" t="s">
        <v>90</v>
      </c>
      <c r="D63" s="111">
        <v>600000</v>
      </c>
      <c r="E63" s="112"/>
      <c r="F63" s="113"/>
    </row>
    <row r="64" customHeight="1" spans="1:6">
      <c r="A64" s="108">
        <v>45</v>
      </c>
      <c r="B64" s="109" t="s">
        <v>93</v>
      </c>
      <c r="C64" s="167" t="s">
        <v>94</v>
      </c>
      <c r="D64" s="111">
        <v>1200000</v>
      </c>
      <c r="E64" s="112"/>
      <c r="F64" s="113"/>
    </row>
    <row r="65" customHeight="1" spans="1:6">
      <c r="A65" s="108">
        <v>46</v>
      </c>
      <c r="B65" s="109" t="s">
        <v>95</v>
      </c>
      <c r="C65" s="167" t="s">
        <v>96</v>
      </c>
      <c r="D65" s="111">
        <v>800000</v>
      </c>
      <c r="E65" s="112"/>
      <c r="F65" s="113"/>
    </row>
    <row r="66" customHeight="1" spans="1:6">
      <c r="A66" s="108">
        <v>47</v>
      </c>
      <c r="B66" s="109" t="s">
        <v>97</v>
      </c>
      <c r="C66" s="167" t="s">
        <v>96</v>
      </c>
      <c r="D66" s="111">
        <v>1500000</v>
      </c>
      <c r="E66" s="112"/>
      <c r="F66" s="113"/>
    </row>
    <row r="67" customHeight="1" spans="1:6">
      <c r="A67" s="108">
        <v>48</v>
      </c>
      <c r="B67" s="109" t="s">
        <v>98</v>
      </c>
      <c r="C67" s="167" t="s">
        <v>96</v>
      </c>
      <c r="D67" s="111">
        <v>750000</v>
      </c>
      <c r="E67" s="112"/>
      <c r="F67" s="113"/>
    </row>
    <row r="68" customHeight="1" spans="1:6">
      <c r="A68" s="108">
        <v>49</v>
      </c>
      <c r="B68" s="109" t="s">
        <v>99</v>
      </c>
      <c r="C68" s="167" t="s">
        <v>100</v>
      </c>
      <c r="D68" s="111">
        <v>1200000</v>
      </c>
      <c r="E68" s="112"/>
      <c r="F68" s="113"/>
    </row>
    <row r="69" customHeight="1" spans="1:6">
      <c r="A69" s="108">
        <v>50</v>
      </c>
      <c r="B69" s="109" t="s">
        <v>101</v>
      </c>
      <c r="C69" s="167" t="s">
        <v>102</v>
      </c>
      <c r="D69" s="111">
        <v>3500000</v>
      </c>
      <c r="E69" s="112"/>
      <c r="F69" s="113"/>
    </row>
    <row r="70" customHeight="1" spans="1:6">
      <c r="A70" s="108">
        <v>51</v>
      </c>
      <c r="B70" s="109" t="s">
        <v>103</v>
      </c>
      <c r="C70" s="167" t="s">
        <v>102</v>
      </c>
      <c r="D70" s="111">
        <v>1200000</v>
      </c>
      <c r="E70" s="112"/>
      <c r="F70" s="113"/>
    </row>
    <row r="71" customHeight="1" spans="1:6">
      <c r="A71" s="108">
        <v>52</v>
      </c>
      <c r="B71" s="109" t="s">
        <v>104</v>
      </c>
      <c r="C71" s="167" t="s">
        <v>105</v>
      </c>
      <c r="D71" s="111">
        <v>12000000</v>
      </c>
      <c r="E71" s="112"/>
      <c r="F71" s="113"/>
    </row>
    <row r="72" customHeight="1" spans="1:6">
      <c r="A72" s="108">
        <v>53</v>
      </c>
      <c r="B72" s="109" t="s">
        <v>106</v>
      </c>
      <c r="C72" s="167" t="s">
        <v>107</v>
      </c>
      <c r="D72" s="111">
        <v>2090000</v>
      </c>
      <c r="E72" s="112"/>
      <c r="F72" s="113"/>
    </row>
    <row r="73" customHeight="1" spans="1:6">
      <c r="A73" s="108">
        <v>54</v>
      </c>
      <c r="B73" s="109" t="s">
        <v>108</v>
      </c>
      <c r="C73" s="167" t="s">
        <v>109</v>
      </c>
      <c r="D73" s="111">
        <v>2500000</v>
      </c>
      <c r="E73" s="112"/>
      <c r="F73" s="113"/>
    </row>
    <row r="74" customHeight="1" spans="1:6">
      <c r="A74" s="108">
        <v>55</v>
      </c>
      <c r="B74" s="109" t="s">
        <v>110</v>
      </c>
      <c r="C74" s="167" t="s">
        <v>109</v>
      </c>
      <c r="D74" s="111">
        <v>7000000</v>
      </c>
      <c r="E74" s="112"/>
      <c r="F74" s="113"/>
    </row>
    <row r="75" customHeight="1" spans="1:6">
      <c r="A75" s="108">
        <v>56</v>
      </c>
      <c r="B75" s="109" t="s">
        <v>111</v>
      </c>
      <c r="C75" s="167" t="s">
        <v>112</v>
      </c>
      <c r="D75" s="111">
        <v>12750000</v>
      </c>
      <c r="E75" s="112"/>
      <c r="F75" s="113"/>
    </row>
    <row r="76" customHeight="1" spans="1:6">
      <c r="A76" s="108">
        <v>57</v>
      </c>
      <c r="B76" s="109" t="s">
        <v>113</v>
      </c>
      <c r="C76" s="167" t="s">
        <v>114</v>
      </c>
      <c r="D76" s="111">
        <v>4500000</v>
      </c>
      <c r="E76" s="112"/>
      <c r="F76" s="113"/>
    </row>
    <row r="77" customHeight="1" spans="1:6">
      <c r="A77" s="108">
        <v>58</v>
      </c>
      <c r="B77" s="109" t="s">
        <v>115</v>
      </c>
      <c r="C77" s="167" t="s">
        <v>116</v>
      </c>
      <c r="D77" s="111">
        <v>5000000</v>
      </c>
      <c r="E77" s="119"/>
      <c r="F77" s="120"/>
    </row>
    <row r="78" customHeight="1" spans="1:6">
      <c r="A78" s="108">
        <v>59</v>
      </c>
      <c r="B78" s="109" t="s">
        <v>117</v>
      </c>
      <c r="C78" s="167" t="s">
        <v>116</v>
      </c>
      <c r="D78" s="111">
        <v>12100000</v>
      </c>
      <c r="E78" s="119"/>
      <c r="F78" s="120"/>
    </row>
    <row r="79" customHeight="1" spans="1:6">
      <c r="A79" s="108">
        <v>60</v>
      </c>
      <c r="B79" s="109" t="s">
        <v>118</v>
      </c>
      <c r="C79" s="167" t="s">
        <v>116</v>
      </c>
      <c r="D79" s="111">
        <v>500000</v>
      </c>
      <c r="E79" s="119"/>
      <c r="F79" s="120"/>
    </row>
    <row r="80" customHeight="1" spans="1:6">
      <c r="A80" s="108">
        <v>61</v>
      </c>
      <c r="B80" s="109" t="s">
        <v>119</v>
      </c>
      <c r="C80" s="167" t="s">
        <v>116</v>
      </c>
      <c r="D80" s="111">
        <v>8000000</v>
      </c>
      <c r="E80" s="119"/>
      <c r="F80" s="120"/>
    </row>
    <row r="81" customHeight="1" spans="1:6">
      <c r="A81" s="108">
        <v>62</v>
      </c>
      <c r="B81" s="109" t="s">
        <v>120</v>
      </c>
      <c r="C81" s="167" t="s">
        <v>121</v>
      </c>
      <c r="D81" s="111">
        <v>18600000</v>
      </c>
      <c r="E81" s="119"/>
      <c r="F81" s="120"/>
    </row>
    <row r="82" customHeight="1" spans="1:6">
      <c r="A82" s="108">
        <v>63</v>
      </c>
      <c r="B82" s="109" t="s">
        <v>122</v>
      </c>
      <c r="C82" s="167" t="s">
        <v>123</v>
      </c>
      <c r="D82" s="111">
        <v>1750000</v>
      </c>
      <c r="E82" s="119"/>
      <c r="F82" s="120"/>
    </row>
    <row r="83" customHeight="1" spans="1:6">
      <c r="A83" s="108">
        <v>64</v>
      </c>
      <c r="B83" s="109" t="s">
        <v>124</v>
      </c>
      <c r="C83" s="167" t="s">
        <v>123</v>
      </c>
      <c r="D83" s="111">
        <v>1200000</v>
      </c>
      <c r="E83" s="119"/>
      <c r="F83" s="120"/>
    </row>
    <row r="84" customHeight="1" spans="1:6">
      <c r="A84" s="108">
        <v>65</v>
      </c>
      <c r="B84" s="109" t="s">
        <v>125</v>
      </c>
      <c r="C84" s="167" t="s">
        <v>126</v>
      </c>
      <c r="D84" s="111">
        <v>2400000</v>
      </c>
      <c r="E84" s="119"/>
      <c r="F84" s="120"/>
    </row>
    <row r="85" customHeight="1" spans="1:6">
      <c r="A85" s="108">
        <v>66</v>
      </c>
      <c r="B85" s="109" t="s">
        <v>127</v>
      </c>
      <c r="C85" s="167" t="s">
        <v>128</v>
      </c>
      <c r="D85" s="111">
        <v>3000000</v>
      </c>
      <c r="E85" s="119"/>
      <c r="F85" s="120"/>
    </row>
    <row r="86" customHeight="1" spans="1:6">
      <c r="A86" s="108">
        <v>67</v>
      </c>
      <c r="B86" s="109" t="s">
        <v>129</v>
      </c>
      <c r="C86" s="167" t="s">
        <v>130</v>
      </c>
      <c r="D86" s="111">
        <v>600000</v>
      </c>
      <c r="E86" s="119"/>
      <c r="F86" s="120"/>
    </row>
    <row r="87" customHeight="1" spans="1:6">
      <c r="A87" s="108">
        <v>68</v>
      </c>
      <c r="B87" s="109" t="s">
        <v>131</v>
      </c>
      <c r="C87" s="167" t="s">
        <v>132</v>
      </c>
      <c r="D87" s="111">
        <v>16000000</v>
      </c>
      <c r="E87" s="119"/>
      <c r="F87" s="120"/>
    </row>
    <row r="88" customHeight="1" spans="1:6">
      <c r="A88" s="108">
        <v>69</v>
      </c>
      <c r="B88" s="109" t="s">
        <v>133</v>
      </c>
      <c r="C88" s="167" t="s">
        <v>134</v>
      </c>
      <c r="D88" s="111">
        <v>1200000</v>
      </c>
      <c r="E88" s="119"/>
      <c r="F88" s="120"/>
    </row>
    <row r="89" customHeight="1" spans="1:6">
      <c r="A89" s="108">
        <v>70</v>
      </c>
      <c r="B89" s="109" t="s">
        <v>135</v>
      </c>
      <c r="C89" s="167" t="s">
        <v>134</v>
      </c>
      <c r="D89" s="111">
        <v>1200000</v>
      </c>
      <c r="E89" s="119"/>
      <c r="F89" s="120"/>
    </row>
    <row r="90" customHeight="1" spans="1:6">
      <c r="A90" s="108">
        <v>71</v>
      </c>
      <c r="B90" s="109" t="s">
        <v>136</v>
      </c>
      <c r="C90" s="167" t="s">
        <v>137</v>
      </c>
      <c r="D90" s="111">
        <v>5000000</v>
      </c>
      <c r="E90" s="119"/>
      <c r="F90" s="120"/>
    </row>
    <row r="91" customHeight="1" spans="1:6">
      <c r="A91" s="108">
        <v>72</v>
      </c>
      <c r="B91" s="109" t="s">
        <v>138</v>
      </c>
      <c r="C91" s="167" t="s">
        <v>139</v>
      </c>
      <c r="D91" s="111">
        <v>1400000</v>
      </c>
      <c r="E91" s="119"/>
      <c r="F91" s="120"/>
    </row>
    <row r="92" customHeight="1" spans="1:6">
      <c r="A92" s="108">
        <v>73</v>
      </c>
      <c r="B92" s="109" t="s">
        <v>140</v>
      </c>
      <c r="C92" s="167" t="s">
        <v>141</v>
      </c>
      <c r="D92" s="111">
        <v>9300000</v>
      </c>
      <c r="E92" s="119"/>
      <c r="F92" s="120"/>
    </row>
    <row r="93" customHeight="1" spans="1:6">
      <c r="A93" s="108">
        <v>74</v>
      </c>
      <c r="B93" s="109" t="s">
        <v>142</v>
      </c>
      <c r="C93" s="167" t="s">
        <v>141</v>
      </c>
      <c r="D93" s="111">
        <v>1050000</v>
      </c>
      <c r="E93" s="119"/>
      <c r="F93" s="120"/>
    </row>
    <row r="94" customHeight="1" spans="1:6">
      <c r="A94" s="108">
        <v>75</v>
      </c>
      <c r="B94" s="109" t="s">
        <v>143</v>
      </c>
      <c r="C94" s="167" t="s">
        <v>144</v>
      </c>
      <c r="D94" s="111">
        <v>600000</v>
      </c>
      <c r="E94" s="119"/>
      <c r="F94" s="120"/>
    </row>
    <row r="95" customHeight="1" spans="1:6">
      <c r="A95" s="108">
        <v>76</v>
      </c>
      <c r="B95" s="109" t="s">
        <v>145</v>
      </c>
      <c r="C95" s="167" t="s">
        <v>144</v>
      </c>
      <c r="D95" s="111">
        <v>19330000</v>
      </c>
      <c r="E95" s="119"/>
      <c r="F95" s="120"/>
    </row>
    <row r="96" customHeight="1" spans="1:6">
      <c r="A96" s="108">
        <v>77</v>
      </c>
      <c r="B96" s="109" t="s">
        <v>146</v>
      </c>
      <c r="C96" s="167" t="s">
        <v>147</v>
      </c>
      <c r="D96" s="111">
        <v>18400000</v>
      </c>
      <c r="E96" s="119"/>
      <c r="F96" s="120"/>
    </row>
    <row r="97" customHeight="1" spans="1:6">
      <c r="A97" s="108">
        <v>78</v>
      </c>
      <c r="B97" s="109" t="s">
        <v>148</v>
      </c>
      <c r="C97" s="167" t="s">
        <v>149</v>
      </c>
      <c r="D97" s="111">
        <v>28000000</v>
      </c>
      <c r="E97" s="119"/>
      <c r="F97" s="120"/>
    </row>
    <row r="98" customHeight="1" spans="1:6">
      <c r="A98" s="108">
        <v>79</v>
      </c>
      <c r="B98" s="109" t="s">
        <v>150</v>
      </c>
      <c r="C98" s="167" t="s">
        <v>149</v>
      </c>
      <c r="D98" s="111">
        <v>1600000</v>
      </c>
      <c r="E98" s="119"/>
      <c r="F98" s="120"/>
    </row>
    <row r="99" customHeight="1" spans="1:6">
      <c r="A99" s="108">
        <v>80</v>
      </c>
      <c r="B99" s="109" t="s">
        <v>151</v>
      </c>
      <c r="C99" s="167" t="s">
        <v>152</v>
      </c>
      <c r="D99" s="111">
        <v>4000000</v>
      </c>
      <c r="E99" s="119"/>
      <c r="F99" s="120"/>
    </row>
    <row r="100" customHeight="1" spans="1:6">
      <c r="A100" s="115"/>
      <c r="B100" s="116"/>
      <c r="C100" s="117"/>
      <c r="D100" s="118"/>
      <c r="E100" s="119"/>
      <c r="F100" s="120"/>
    </row>
    <row r="101" customHeight="1" spans="1:6">
      <c r="A101" s="115"/>
      <c r="B101" s="116"/>
      <c r="C101" s="117"/>
      <c r="D101" s="118"/>
      <c r="E101" s="119"/>
      <c r="F101" s="120"/>
    </row>
    <row r="102" customHeight="1" spans="1:6">
      <c r="A102" s="115"/>
      <c r="B102" s="116" t="s">
        <v>153</v>
      </c>
      <c r="C102" s="117"/>
      <c r="D102" s="118">
        <f>SUM(D60:D101)</f>
        <v>229520000</v>
      </c>
      <c r="E102" s="119"/>
      <c r="F102" s="120"/>
    </row>
    <row r="103" ht="6.75" customHeight="1" spans="1:6">
      <c r="A103" s="115"/>
      <c r="B103" s="116"/>
      <c r="C103" s="117"/>
      <c r="D103" s="118"/>
      <c r="E103" s="119"/>
      <c r="F103" s="120"/>
    </row>
    <row r="104" customHeight="1" spans="1:6">
      <c r="A104" s="121"/>
      <c r="B104" s="141" t="s">
        <v>154</v>
      </c>
      <c r="C104" s="142"/>
      <c r="D104" s="122">
        <f>SUM(D50+D102)</f>
        <v>416288500</v>
      </c>
      <c r="E104" s="143"/>
      <c r="F104" s="126"/>
    </row>
    <row r="105" ht="20.1" customHeight="1" spans="1:4">
      <c r="A105" s="144"/>
      <c r="B105" s="144"/>
      <c r="C105" s="144"/>
      <c r="D105" s="145">
        <v>14</v>
      </c>
    </row>
    <row r="106" ht="20.1" customHeight="1" spans="1:3">
      <c r="A106" s="144"/>
      <c r="B106" s="144"/>
      <c r="C106" s="144"/>
    </row>
    <row r="107" ht="20.1" customHeight="1" spans="1:3">
      <c r="A107" s="144"/>
      <c r="B107" s="144"/>
      <c r="C107" s="144"/>
    </row>
    <row r="108" ht="20.1" customHeight="1" spans="1:3">
      <c r="A108" s="144"/>
      <c r="B108" s="144"/>
      <c r="C108" s="144"/>
    </row>
    <row r="109" ht="20.1" customHeight="1" spans="1:3">
      <c r="A109" s="144"/>
      <c r="B109" s="144"/>
      <c r="C109" s="144"/>
    </row>
    <row r="110" ht="20.1" customHeight="1" spans="1:3">
      <c r="A110" s="144"/>
      <c r="B110" s="144"/>
      <c r="C110" s="144"/>
    </row>
    <row r="111" ht="20.1" customHeight="1" spans="1:3">
      <c r="A111" s="144"/>
      <c r="B111" s="144"/>
      <c r="C111" s="144"/>
    </row>
    <row r="112" ht="20.1" customHeight="1" spans="1:3">
      <c r="A112" s="144"/>
      <c r="B112" s="144"/>
      <c r="C112" s="144"/>
    </row>
    <row r="113" ht="20.1" customHeight="1" spans="1:6">
      <c r="A113" s="92" t="s">
        <v>5</v>
      </c>
      <c r="B113" s="93" t="s">
        <v>6</v>
      </c>
      <c r="C113" s="93" t="s">
        <v>85</v>
      </c>
      <c r="D113" s="146" t="s">
        <v>86</v>
      </c>
      <c r="E113" s="147" t="s">
        <v>9</v>
      </c>
      <c r="F113" s="148"/>
    </row>
    <row r="114" ht="20.1" customHeight="1" spans="1:6">
      <c r="A114" s="97"/>
      <c r="B114" s="98"/>
      <c r="C114" s="98"/>
      <c r="D114" s="149"/>
      <c r="E114" s="150"/>
      <c r="F114" s="151"/>
    </row>
    <row r="115" ht="20.1" customHeight="1" spans="1:6">
      <c r="A115" s="102">
        <v>81</v>
      </c>
      <c r="B115" s="103" t="s">
        <v>155</v>
      </c>
      <c r="C115" s="170" t="s">
        <v>152</v>
      </c>
      <c r="D115" s="105">
        <v>2700000</v>
      </c>
      <c r="E115" s="133"/>
      <c r="F115" s="107"/>
    </row>
    <row r="116" ht="20.1" customHeight="1" spans="1:6">
      <c r="A116" s="108">
        <v>82</v>
      </c>
      <c r="B116" s="109" t="s">
        <v>156</v>
      </c>
      <c r="C116" s="167" t="s">
        <v>157</v>
      </c>
      <c r="D116" s="111">
        <v>9500000</v>
      </c>
      <c r="E116" s="153"/>
      <c r="F116" s="113"/>
    </row>
    <row r="117" ht="20.1" customHeight="1" spans="1:6">
      <c r="A117" s="108">
        <v>83</v>
      </c>
      <c r="B117" s="109" t="s">
        <v>158</v>
      </c>
      <c r="C117" s="167" t="s">
        <v>159</v>
      </c>
      <c r="D117" s="111">
        <v>9000000</v>
      </c>
      <c r="E117" s="153"/>
      <c r="F117" s="113"/>
    </row>
    <row r="118" ht="20.1" customHeight="1" spans="1:6">
      <c r="A118" s="108">
        <v>84</v>
      </c>
      <c r="B118" s="109" t="s">
        <v>160</v>
      </c>
      <c r="C118" s="167" t="s">
        <v>159</v>
      </c>
      <c r="D118" s="111">
        <v>2850000</v>
      </c>
      <c r="E118" s="153"/>
      <c r="F118" s="113"/>
    </row>
    <row r="119" ht="20.1" customHeight="1" spans="1:6">
      <c r="A119" s="108">
        <v>85</v>
      </c>
      <c r="B119" s="109" t="s">
        <v>161</v>
      </c>
      <c r="C119" s="167" t="s">
        <v>162</v>
      </c>
      <c r="D119" s="111">
        <v>5000000</v>
      </c>
      <c r="E119" s="153"/>
      <c r="F119" s="113"/>
    </row>
    <row r="120" ht="20.1" customHeight="1" spans="1:6">
      <c r="A120" s="108">
        <v>86</v>
      </c>
      <c r="B120" s="109" t="s">
        <v>163</v>
      </c>
      <c r="C120" s="167" t="s">
        <v>164</v>
      </c>
      <c r="D120" s="111">
        <v>10000000</v>
      </c>
      <c r="E120" s="153"/>
      <c r="F120" s="113"/>
    </row>
    <row r="121" ht="20.1" customHeight="1" spans="1:6">
      <c r="A121" s="108">
        <v>87</v>
      </c>
      <c r="B121" s="109" t="s">
        <v>165</v>
      </c>
      <c r="C121" s="167" t="s">
        <v>166</v>
      </c>
      <c r="D121" s="111">
        <v>4000000</v>
      </c>
      <c r="E121" s="153"/>
      <c r="F121" s="113"/>
    </row>
    <row r="122" ht="20.1" customHeight="1" spans="1:6">
      <c r="A122" s="108">
        <v>88</v>
      </c>
      <c r="B122" s="109" t="s">
        <v>167</v>
      </c>
      <c r="C122" s="167" t="s">
        <v>166</v>
      </c>
      <c r="D122" s="111">
        <v>1000000</v>
      </c>
      <c r="E122" s="153"/>
      <c r="F122" s="113"/>
    </row>
    <row r="123" ht="20.1" customHeight="1" spans="1:6">
      <c r="A123" s="108">
        <v>89</v>
      </c>
      <c r="B123" s="109" t="s">
        <v>168</v>
      </c>
      <c r="C123" s="167" t="s">
        <v>166</v>
      </c>
      <c r="D123" s="111">
        <v>4000000</v>
      </c>
      <c r="E123" s="153"/>
      <c r="F123" s="113"/>
    </row>
    <row r="124" ht="20.1" customHeight="1" spans="1:6">
      <c r="A124" s="154"/>
      <c r="B124" s="109"/>
      <c r="C124" s="109"/>
      <c r="D124" s="111"/>
      <c r="E124" s="153"/>
      <c r="F124" s="113"/>
    </row>
    <row r="125" ht="20.1" customHeight="1" spans="1:6">
      <c r="A125" s="154"/>
      <c r="B125" s="109" t="s">
        <v>169</v>
      </c>
      <c r="C125" s="109"/>
      <c r="D125" s="111">
        <f>SUM(D115:D124)</f>
        <v>48050000</v>
      </c>
      <c r="E125" s="153"/>
      <c r="F125" s="113"/>
    </row>
    <row r="126" ht="20.1" customHeight="1" spans="1:6">
      <c r="A126" s="154"/>
      <c r="B126" s="109"/>
      <c r="C126" s="109"/>
      <c r="D126" s="111"/>
      <c r="E126" s="153"/>
      <c r="F126" s="113"/>
    </row>
    <row r="127" ht="20.1" customHeight="1" spans="1:6">
      <c r="A127" s="154"/>
      <c r="B127" s="109"/>
      <c r="C127" s="109"/>
      <c r="D127" s="111"/>
      <c r="E127" s="153"/>
      <c r="F127" s="113"/>
    </row>
    <row r="128" ht="20.1" customHeight="1" spans="1:6">
      <c r="A128" s="155"/>
      <c r="B128" s="116"/>
      <c r="C128" s="116"/>
      <c r="D128" s="118"/>
      <c r="E128" s="156"/>
      <c r="F128" s="120"/>
    </row>
    <row r="129" ht="31.5" customHeight="1" spans="1:6">
      <c r="A129" s="157"/>
      <c r="B129" s="158" t="s">
        <v>170</v>
      </c>
      <c r="C129" s="159"/>
      <c r="D129" s="160">
        <f>D104+D125</f>
        <v>464338500</v>
      </c>
      <c r="E129" s="161"/>
      <c r="F129" s="162"/>
    </row>
    <row r="130" ht="20.1" customHeight="1" spans="1:3">
      <c r="A130" s="144"/>
      <c r="B130" s="144"/>
      <c r="C130" s="144"/>
    </row>
    <row r="131" ht="20.1" customHeight="1" spans="1:3">
      <c r="A131" s="144"/>
      <c r="B131" s="144"/>
      <c r="C131" s="144"/>
    </row>
    <row r="132" customHeight="1" spans="1:6">
      <c r="A132" s="144"/>
      <c r="B132" s="163" t="s">
        <v>171</v>
      </c>
      <c r="C132" s="163"/>
      <c r="D132" s="163"/>
      <c r="E132" s="163"/>
      <c r="F132" s="163"/>
    </row>
    <row r="133" customHeight="1" spans="1:6">
      <c r="A133" s="144"/>
      <c r="B133" s="164" t="s">
        <v>172</v>
      </c>
      <c r="C133" s="144" t="s">
        <v>173</v>
      </c>
      <c r="D133" s="84" t="s">
        <v>174</v>
      </c>
      <c r="E133" s="84" t="s">
        <v>175</v>
      </c>
      <c r="F133" s="84" t="s">
        <v>176</v>
      </c>
    </row>
    <row r="134" customHeight="1" spans="1:3">
      <c r="A134" s="144"/>
      <c r="B134" s="144"/>
      <c r="C134" s="144"/>
    </row>
    <row r="135" customHeight="1" spans="1:3">
      <c r="A135" s="144"/>
      <c r="B135" s="144"/>
      <c r="C135" s="144"/>
    </row>
    <row r="136" customHeight="1" spans="1:3">
      <c r="A136" s="144"/>
      <c r="B136" s="144"/>
      <c r="C136" s="144"/>
    </row>
    <row r="137" customHeight="1" spans="2:6">
      <c r="B137" s="165" t="s">
        <v>177</v>
      </c>
      <c r="C137" s="84" t="s">
        <v>67</v>
      </c>
      <c r="D137" s="84" t="s">
        <v>155</v>
      </c>
      <c r="E137" s="84" t="s">
        <v>178</v>
      </c>
      <c r="F137" s="84" t="s">
        <v>62</v>
      </c>
    </row>
    <row r="138" customHeight="1" spans="4:4">
      <c r="D138" s="145"/>
    </row>
    <row r="139" customHeight="1" spans="4:4">
      <c r="D139" s="145"/>
    </row>
    <row r="157" customHeight="1" spans="4:4">
      <c r="D157" s="145">
        <v>15</v>
      </c>
    </row>
  </sheetData>
  <mergeCells count="23">
    <mergeCell ref="A1:F1"/>
    <mergeCell ref="A2:F2"/>
    <mergeCell ref="A3:F3"/>
    <mergeCell ref="A5:F5"/>
    <mergeCell ref="A6:F6"/>
    <mergeCell ref="B104:C104"/>
    <mergeCell ref="B129:C129"/>
    <mergeCell ref="B132:F132"/>
    <mergeCell ref="A7:A8"/>
    <mergeCell ref="A58:A59"/>
    <mergeCell ref="A113:A114"/>
    <mergeCell ref="B7:B8"/>
    <mergeCell ref="B58:B59"/>
    <mergeCell ref="B113:B114"/>
    <mergeCell ref="C7:C8"/>
    <mergeCell ref="C58:C59"/>
    <mergeCell ref="C113:C114"/>
    <mergeCell ref="D7:D8"/>
    <mergeCell ref="D58:D59"/>
    <mergeCell ref="D113:D114"/>
    <mergeCell ref="E7:F8"/>
    <mergeCell ref="E113:F114"/>
    <mergeCell ref="E58:F59"/>
  </mergeCells>
  <pageMargins left="0.95" right="0.2" top="0.5" bottom="0.25" header="0.3" footer="0.3"/>
  <pageSetup paperSize="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0"/>
  <sheetViews>
    <sheetView tabSelected="1" topLeftCell="A100" workbookViewId="0">
      <selection activeCell="L115" sqref="L115"/>
    </sheetView>
  </sheetViews>
  <sheetFormatPr defaultColWidth="9" defaultRowHeight="13" customHeight="1"/>
  <cols>
    <col min="1" max="1" width="5" style="1" customWidth="1"/>
    <col min="2" max="2" width="20.2857142857143" style="1" customWidth="1"/>
    <col min="3" max="3" width="14.2857142857143" style="2" customWidth="1"/>
    <col min="4" max="4" width="16.2857142857143" style="1" customWidth="1"/>
    <col min="5" max="5" width="15.4285714285714" style="1" customWidth="1"/>
    <col min="6" max="6" width="11.5714285714286" style="1" customWidth="1"/>
    <col min="7" max="7" width="1.28571428571429" style="1" customWidth="1"/>
    <col min="8" max="16384" width="9.14285714285714" style="1"/>
  </cols>
  <sheetData>
    <row r="1" ht="15" customHeight="1" spans="1:6">
      <c r="A1" s="3" t="s">
        <v>0</v>
      </c>
      <c r="B1" s="3"/>
      <c r="C1" s="4"/>
      <c r="D1" s="3"/>
      <c r="E1" s="3"/>
      <c r="F1" s="3"/>
    </row>
    <row r="2" customHeight="1" spans="1:9">
      <c r="A2" s="5" t="s">
        <v>1</v>
      </c>
      <c r="B2" s="5"/>
      <c r="C2" s="6"/>
      <c r="D2" s="5"/>
      <c r="E2" s="5"/>
      <c r="F2" s="5"/>
      <c r="G2" s="7"/>
      <c r="H2" s="7"/>
      <c r="I2" s="7"/>
    </row>
    <row r="3" customHeight="1" spans="1:6">
      <c r="A3" s="8" t="s">
        <v>2</v>
      </c>
      <c r="B3" s="8"/>
      <c r="C3" s="8"/>
      <c r="D3" s="8"/>
      <c r="E3" s="8"/>
      <c r="F3" s="8"/>
    </row>
    <row r="4" customHeight="1" spans="1:6">
      <c r="A4" s="9"/>
      <c r="B4" s="9"/>
      <c r="C4" s="10"/>
      <c r="D4" s="11"/>
      <c r="E4" s="11"/>
      <c r="F4" s="11"/>
    </row>
    <row r="5" customHeight="1" spans="1:6">
      <c r="A5" s="3" t="s">
        <v>3</v>
      </c>
      <c r="B5" s="3"/>
      <c r="C5" s="4"/>
      <c r="D5" s="3"/>
      <c r="E5" s="3"/>
      <c r="F5" s="3"/>
    </row>
    <row r="6" customHeight="1" spans="1:6">
      <c r="A6" s="12" t="s">
        <v>179</v>
      </c>
      <c r="B6" s="12"/>
      <c r="C6" s="13"/>
      <c r="D6" s="12"/>
      <c r="E6" s="12"/>
      <c r="F6" s="12"/>
    </row>
    <row r="7" customHeight="1" spans="1:6">
      <c r="A7" s="14" t="s">
        <v>5</v>
      </c>
      <c r="B7" s="15" t="s">
        <v>6</v>
      </c>
      <c r="C7" s="16" t="s">
        <v>7</v>
      </c>
      <c r="D7" s="17" t="s">
        <v>8</v>
      </c>
      <c r="E7" s="18" t="s">
        <v>9</v>
      </c>
      <c r="F7" s="19"/>
    </row>
    <row r="8" customHeight="1" spans="1:6">
      <c r="A8" s="20"/>
      <c r="B8" s="21"/>
      <c r="C8" s="22"/>
      <c r="D8" s="23"/>
      <c r="E8" s="24"/>
      <c r="F8" s="25"/>
    </row>
    <row r="9" customHeight="1" spans="1:6">
      <c r="A9" s="26">
        <v>1</v>
      </c>
      <c r="B9" s="27" t="s">
        <v>12</v>
      </c>
      <c r="C9" s="171" t="s">
        <v>13</v>
      </c>
      <c r="D9" s="29">
        <v>8500000</v>
      </c>
      <c r="E9" s="30"/>
      <c r="F9" s="31"/>
    </row>
    <row r="10" customHeight="1" spans="1:6">
      <c r="A10" s="26">
        <v>2</v>
      </c>
      <c r="B10" s="27" t="s">
        <v>14</v>
      </c>
      <c r="C10" s="171" t="s">
        <v>15</v>
      </c>
      <c r="D10" s="29">
        <v>1910000</v>
      </c>
      <c r="E10" s="32"/>
      <c r="F10" s="33"/>
    </row>
    <row r="11" customHeight="1" spans="1:6">
      <c r="A11" s="26">
        <v>3</v>
      </c>
      <c r="B11" s="27" t="s">
        <v>48</v>
      </c>
      <c r="C11" s="171" t="s">
        <v>47</v>
      </c>
      <c r="D11" s="29">
        <v>3050000</v>
      </c>
      <c r="E11" s="32"/>
      <c r="F11" s="33"/>
    </row>
    <row r="12" customHeight="1" spans="1:6">
      <c r="A12" s="26">
        <v>4</v>
      </c>
      <c r="B12" s="27" t="s">
        <v>67</v>
      </c>
      <c r="C12" s="171" t="s">
        <v>68</v>
      </c>
      <c r="D12" s="29">
        <v>13750000</v>
      </c>
      <c r="E12" s="32"/>
      <c r="F12" s="33"/>
    </row>
    <row r="13" customHeight="1" spans="1:6">
      <c r="A13" s="26">
        <v>5</v>
      </c>
      <c r="B13" s="27" t="s">
        <v>79</v>
      </c>
      <c r="C13" s="171" t="s">
        <v>80</v>
      </c>
      <c r="D13" s="29">
        <v>19950000</v>
      </c>
      <c r="E13" s="32"/>
      <c r="F13" s="33"/>
    </row>
    <row r="14" customHeight="1" spans="1:6">
      <c r="A14" s="26">
        <v>6</v>
      </c>
      <c r="B14" s="27" t="s">
        <v>91</v>
      </c>
      <c r="C14" s="171" t="s">
        <v>90</v>
      </c>
      <c r="D14" s="29">
        <v>400000</v>
      </c>
      <c r="E14" s="32"/>
      <c r="F14" s="33"/>
    </row>
    <row r="15" customHeight="1" spans="1:6">
      <c r="A15" s="26">
        <v>7</v>
      </c>
      <c r="B15" s="27" t="s">
        <v>131</v>
      </c>
      <c r="C15" s="171" t="s">
        <v>132</v>
      </c>
      <c r="D15" s="29">
        <v>12000000</v>
      </c>
      <c r="E15" s="32"/>
      <c r="F15" s="33"/>
    </row>
    <row r="16" customHeight="1" spans="1:6">
      <c r="A16" s="26">
        <v>8</v>
      </c>
      <c r="B16" s="27" t="s">
        <v>145</v>
      </c>
      <c r="C16" s="171" t="s">
        <v>144</v>
      </c>
      <c r="D16" s="29">
        <v>15310000</v>
      </c>
      <c r="E16" s="32"/>
      <c r="F16" s="33"/>
    </row>
    <row r="17" customHeight="1" spans="1:6">
      <c r="A17" s="26">
        <v>9</v>
      </c>
      <c r="B17" s="27" t="s">
        <v>53</v>
      </c>
      <c r="C17" s="172" t="s">
        <v>180</v>
      </c>
      <c r="D17" s="29">
        <v>7200000</v>
      </c>
      <c r="E17" s="32"/>
      <c r="F17" s="33"/>
    </row>
    <row r="18" customHeight="1" spans="1:6">
      <c r="A18" s="26">
        <v>10</v>
      </c>
      <c r="B18" s="27" t="s">
        <v>87</v>
      </c>
      <c r="C18" s="172" t="s">
        <v>181</v>
      </c>
      <c r="D18" s="29">
        <v>14640000</v>
      </c>
      <c r="E18" s="32"/>
      <c r="F18" s="33"/>
    </row>
    <row r="19" customHeight="1" spans="1:6">
      <c r="A19" s="26">
        <v>11</v>
      </c>
      <c r="B19" s="27" t="s">
        <v>55</v>
      </c>
      <c r="C19" s="172" t="s">
        <v>182</v>
      </c>
      <c r="D19" s="29">
        <v>20800000</v>
      </c>
      <c r="E19" s="32"/>
      <c r="F19" s="33"/>
    </row>
    <row r="20" customHeight="1" spans="1:6">
      <c r="A20" s="26">
        <v>12</v>
      </c>
      <c r="B20" s="27" t="s">
        <v>119</v>
      </c>
      <c r="C20" s="172" t="s">
        <v>183</v>
      </c>
      <c r="D20" s="29">
        <v>9500000</v>
      </c>
      <c r="E20" s="32"/>
      <c r="F20" s="33"/>
    </row>
    <row r="21" customHeight="1" spans="1:6">
      <c r="A21" s="26">
        <v>13</v>
      </c>
      <c r="B21" s="27" t="s">
        <v>16</v>
      </c>
      <c r="C21" s="172" t="s">
        <v>184</v>
      </c>
      <c r="D21" s="29">
        <v>1000000</v>
      </c>
      <c r="E21" s="32"/>
      <c r="F21" s="33"/>
    </row>
    <row r="22" customHeight="1" spans="1:6">
      <c r="A22" s="26">
        <v>14</v>
      </c>
      <c r="B22" s="27" t="s">
        <v>104</v>
      </c>
      <c r="C22" s="172" t="s">
        <v>185</v>
      </c>
      <c r="D22" s="29">
        <v>4250000</v>
      </c>
      <c r="E22" s="32"/>
      <c r="F22" s="33"/>
    </row>
    <row r="23" customHeight="1" spans="1:6">
      <c r="A23" s="26">
        <v>15</v>
      </c>
      <c r="B23" s="27" t="s">
        <v>106</v>
      </c>
      <c r="C23" s="172" t="s">
        <v>186</v>
      </c>
      <c r="D23" s="29">
        <v>5200000</v>
      </c>
      <c r="E23" s="32"/>
      <c r="F23" s="33"/>
    </row>
    <row r="24" customHeight="1" spans="1:6">
      <c r="A24" s="26">
        <v>16</v>
      </c>
      <c r="B24" s="27" t="s">
        <v>187</v>
      </c>
      <c r="C24" s="172" t="s">
        <v>186</v>
      </c>
      <c r="D24" s="29">
        <v>500000</v>
      </c>
      <c r="E24" s="32"/>
      <c r="F24" s="33"/>
    </row>
    <row r="25" customHeight="1" spans="1:6">
      <c r="A25" s="26">
        <v>17</v>
      </c>
      <c r="B25" s="27" t="s">
        <v>18</v>
      </c>
      <c r="C25" s="172" t="s">
        <v>188</v>
      </c>
      <c r="D25" s="29">
        <v>10800000</v>
      </c>
      <c r="E25" s="32"/>
      <c r="F25" s="33"/>
    </row>
    <row r="26" customHeight="1" spans="1:6">
      <c r="A26" s="26">
        <v>18</v>
      </c>
      <c r="B26" s="27" t="s">
        <v>189</v>
      </c>
      <c r="C26" s="172" t="s">
        <v>190</v>
      </c>
      <c r="D26" s="29">
        <v>42000000</v>
      </c>
      <c r="E26" s="32"/>
      <c r="F26" s="33"/>
    </row>
    <row r="27" customHeight="1" spans="1:6">
      <c r="A27" s="26">
        <v>19</v>
      </c>
      <c r="B27" s="27" t="s">
        <v>117</v>
      </c>
      <c r="C27" s="172" t="s">
        <v>191</v>
      </c>
      <c r="D27" s="29">
        <v>13510000</v>
      </c>
      <c r="E27" s="32"/>
      <c r="F27" s="33"/>
    </row>
    <row r="28" customHeight="1" spans="1:6">
      <c r="A28" s="26">
        <v>20</v>
      </c>
      <c r="B28" s="27" t="s">
        <v>125</v>
      </c>
      <c r="C28" s="172" t="s">
        <v>192</v>
      </c>
      <c r="D28" s="29">
        <v>2200000</v>
      </c>
      <c r="E28" s="32"/>
      <c r="F28" s="33"/>
    </row>
    <row r="29" customHeight="1" spans="1:6">
      <c r="A29" s="26">
        <v>21</v>
      </c>
      <c r="B29" s="27" t="s">
        <v>193</v>
      </c>
      <c r="C29" s="172" t="s">
        <v>194</v>
      </c>
      <c r="D29" s="29">
        <v>300000</v>
      </c>
      <c r="E29" s="32"/>
      <c r="F29" s="33"/>
    </row>
    <row r="30" customHeight="1" spans="1:6">
      <c r="A30" s="26">
        <v>22</v>
      </c>
      <c r="B30" s="27" t="s">
        <v>31</v>
      </c>
      <c r="C30" s="172" t="s">
        <v>195</v>
      </c>
      <c r="D30" s="29">
        <v>9380000</v>
      </c>
      <c r="E30" s="32"/>
      <c r="F30" s="33"/>
    </row>
    <row r="31" customHeight="1" spans="1:6">
      <c r="A31" s="26">
        <v>23</v>
      </c>
      <c r="B31" s="27" t="s">
        <v>196</v>
      </c>
      <c r="C31" s="172" t="s">
        <v>195</v>
      </c>
      <c r="D31" s="29">
        <v>1500000</v>
      </c>
      <c r="E31" s="32"/>
      <c r="F31" s="33"/>
    </row>
    <row r="32" customHeight="1" spans="1:6">
      <c r="A32" s="26">
        <v>24</v>
      </c>
      <c r="B32" s="27" t="s">
        <v>138</v>
      </c>
      <c r="C32" s="172" t="s">
        <v>195</v>
      </c>
      <c r="D32" s="29">
        <v>1200000</v>
      </c>
      <c r="E32" s="32"/>
      <c r="F32" s="33"/>
    </row>
    <row r="33" customHeight="1" spans="1:6">
      <c r="A33" s="26">
        <v>25</v>
      </c>
      <c r="B33" s="27" t="s">
        <v>155</v>
      </c>
      <c r="C33" s="172" t="s">
        <v>197</v>
      </c>
      <c r="D33" s="29">
        <v>25400000</v>
      </c>
      <c r="E33" s="32"/>
      <c r="F33" s="33"/>
    </row>
    <row r="34" customHeight="1" spans="1:6">
      <c r="A34" s="26">
        <v>26</v>
      </c>
      <c r="B34" s="27" t="s">
        <v>198</v>
      </c>
      <c r="C34" s="172" t="s">
        <v>199</v>
      </c>
      <c r="D34" s="29">
        <v>4800000</v>
      </c>
      <c r="E34" s="32"/>
      <c r="F34" s="33"/>
    </row>
    <row r="35" customHeight="1" spans="1:6">
      <c r="A35" s="26">
        <v>27</v>
      </c>
      <c r="B35" s="27" t="s">
        <v>200</v>
      </c>
      <c r="C35" s="172" t="s">
        <v>201</v>
      </c>
      <c r="D35" s="29">
        <v>7555000</v>
      </c>
      <c r="E35" s="32"/>
      <c r="F35" s="33"/>
    </row>
    <row r="36" customHeight="1" spans="1:6">
      <c r="A36" s="26">
        <v>28</v>
      </c>
      <c r="B36" s="27" t="s">
        <v>202</v>
      </c>
      <c r="C36" s="172" t="s">
        <v>203</v>
      </c>
      <c r="D36" s="29">
        <v>1750000</v>
      </c>
      <c r="E36" s="32"/>
      <c r="F36" s="33"/>
    </row>
    <row r="37" customHeight="1" spans="1:6">
      <c r="A37" s="26">
        <v>29</v>
      </c>
      <c r="B37" s="27" t="s">
        <v>156</v>
      </c>
      <c r="C37" s="172" t="s">
        <v>204</v>
      </c>
      <c r="D37" s="29">
        <v>1840000</v>
      </c>
      <c r="E37" s="32"/>
      <c r="F37" s="33"/>
    </row>
    <row r="38" customHeight="1" spans="1:6">
      <c r="A38" s="26">
        <v>30</v>
      </c>
      <c r="B38" s="27" t="s">
        <v>205</v>
      </c>
      <c r="C38" s="172" t="s">
        <v>206</v>
      </c>
      <c r="D38" s="29">
        <v>3000000</v>
      </c>
      <c r="E38" s="32"/>
      <c r="F38" s="33"/>
    </row>
    <row r="39" customHeight="1" spans="1:6">
      <c r="A39" s="26">
        <v>31</v>
      </c>
      <c r="B39" s="27" t="s">
        <v>73</v>
      </c>
      <c r="C39" s="172" t="s">
        <v>207</v>
      </c>
      <c r="D39" s="29">
        <v>14000000</v>
      </c>
      <c r="E39" s="32"/>
      <c r="F39" s="33"/>
    </row>
    <row r="40" customHeight="1" spans="1:6">
      <c r="A40" s="26">
        <v>32</v>
      </c>
      <c r="B40" s="27" t="s">
        <v>167</v>
      </c>
      <c r="C40" s="172" t="s">
        <v>208</v>
      </c>
      <c r="D40" s="29">
        <v>11000000</v>
      </c>
      <c r="E40" s="32"/>
      <c r="F40" s="33"/>
    </row>
    <row r="41" customHeight="1" spans="1:6">
      <c r="A41" s="26">
        <v>33</v>
      </c>
      <c r="B41" s="27" t="s">
        <v>209</v>
      </c>
      <c r="C41" s="172" t="s">
        <v>208</v>
      </c>
      <c r="D41" s="29">
        <v>3750000</v>
      </c>
      <c r="E41" s="32"/>
      <c r="F41" s="33"/>
    </row>
    <row r="42" customHeight="1" spans="1:6">
      <c r="A42" s="26">
        <v>34</v>
      </c>
      <c r="B42" s="27" t="s">
        <v>210</v>
      </c>
      <c r="C42" s="172" t="s">
        <v>211</v>
      </c>
      <c r="D42" s="29">
        <v>2750000</v>
      </c>
      <c r="E42" s="32"/>
      <c r="F42" s="33"/>
    </row>
    <row r="43" customHeight="1" spans="1:6">
      <c r="A43" s="26">
        <v>35</v>
      </c>
      <c r="B43" s="27" t="s">
        <v>212</v>
      </c>
      <c r="C43" s="172" t="s">
        <v>211</v>
      </c>
      <c r="D43" s="29">
        <v>12000000</v>
      </c>
      <c r="E43" s="32"/>
      <c r="F43" s="33"/>
    </row>
    <row r="44" customHeight="1" spans="1:6">
      <c r="A44" s="26">
        <v>36</v>
      </c>
      <c r="B44" s="27" t="s">
        <v>71</v>
      </c>
      <c r="C44" s="172" t="s">
        <v>211</v>
      </c>
      <c r="D44" s="29">
        <v>1750000</v>
      </c>
      <c r="E44" s="32"/>
      <c r="F44" s="33"/>
    </row>
    <row r="45" customHeight="1" spans="1:6">
      <c r="A45" s="26">
        <v>37</v>
      </c>
      <c r="B45" s="27" t="s">
        <v>65</v>
      </c>
      <c r="C45" s="172" t="s">
        <v>213</v>
      </c>
      <c r="D45" s="29">
        <v>200000</v>
      </c>
      <c r="E45" s="32"/>
      <c r="F45" s="33"/>
    </row>
    <row r="46" customHeight="1" spans="1:6">
      <c r="A46" s="26">
        <v>38</v>
      </c>
      <c r="B46" s="27" t="s">
        <v>35</v>
      </c>
      <c r="C46" s="171" t="s">
        <v>214</v>
      </c>
      <c r="D46" s="29">
        <v>2750000</v>
      </c>
      <c r="E46" s="32"/>
      <c r="F46" s="33"/>
    </row>
    <row r="47" customHeight="1" spans="1:6">
      <c r="A47" s="26">
        <v>39</v>
      </c>
      <c r="B47" s="27" t="s">
        <v>46</v>
      </c>
      <c r="C47" s="171" t="s">
        <v>215</v>
      </c>
      <c r="D47" s="29">
        <v>2000000</v>
      </c>
      <c r="E47" s="32"/>
      <c r="F47" s="33"/>
    </row>
    <row r="48" customHeight="1" spans="1:6">
      <c r="A48" s="26">
        <v>40</v>
      </c>
      <c r="B48" s="27" t="s">
        <v>216</v>
      </c>
      <c r="C48" s="171" t="s">
        <v>215</v>
      </c>
      <c r="D48" s="29">
        <v>500000</v>
      </c>
      <c r="E48" s="32"/>
      <c r="F48" s="33"/>
    </row>
    <row r="49" customHeight="1" spans="1:6">
      <c r="A49" s="26">
        <v>41</v>
      </c>
      <c r="B49" s="27" t="s">
        <v>217</v>
      </c>
      <c r="C49" s="171" t="s">
        <v>218</v>
      </c>
      <c r="D49" s="29">
        <v>1800000</v>
      </c>
      <c r="E49" s="35"/>
      <c r="F49" s="36"/>
    </row>
    <row r="50" customHeight="1" spans="1:6">
      <c r="A50" s="26">
        <v>42</v>
      </c>
      <c r="B50" s="27" t="s">
        <v>219</v>
      </c>
      <c r="C50" s="171" t="s">
        <v>220</v>
      </c>
      <c r="D50" s="29">
        <v>1315000</v>
      </c>
      <c r="E50" s="32"/>
      <c r="F50" s="33"/>
    </row>
    <row r="51" customHeight="1" spans="1:6">
      <c r="A51" s="26">
        <v>43</v>
      </c>
      <c r="B51" s="27" t="s">
        <v>69</v>
      </c>
      <c r="C51" s="171" t="s">
        <v>221</v>
      </c>
      <c r="D51" s="29">
        <v>5200000</v>
      </c>
      <c r="E51" s="32"/>
      <c r="F51" s="33"/>
    </row>
    <row r="52" customHeight="1" spans="1:6">
      <c r="A52" s="26">
        <v>44</v>
      </c>
      <c r="B52" s="27" t="s">
        <v>222</v>
      </c>
      <c r="C52" s="171" t="s">
        <v>221</v>
      </c>
      <c r="D52" s="29">
        <v>4250000</v>
      </c>
      <c r="E52" s="32"/>
      <c r="F52" s="33"/>
    </row>
    <row r="53" customHeight="1" spans="1:6">
      <c r="A53" s="26">
        <v>45</v>
      </c>
      <c r="B53" s="27" t="s">
        <v>146</v>
      </c>
      <c r="C53" s="171" t="s">
        <v>221</v>
      </c>
      <c r="D53" s="29">
        <v>2250000</v>
      </c>
      <c r="E53" s="32"/>
      <c r="F53" s="33"/>
    </row>
    <row r="54" customHeight="1" spans="1:6">
      <c r="A54" s="26">
        <v>46</v>
      </c>
      <c r="B54" s="27" t="s">
        <v>160</v>
      </c>
      <c r="C54" s="171" t="s">
        <v>223</v>
      </c>
      <c r="D54" s="29">
        <v>1050000</v>
      </c>
      <c r="E54" s="32"/>
      <c r="F54" s="33"/>
    </row>
    <row r="55" customHeight="1" spans="1:6">
      <c r="A55" s="26">
        <v>47</v>
      </c>
      <c r="B55" s="27" t="s">
        <v>224</v>
      </c>
      <c r="C55" s="171" t="s">
        <v>225</v>
      </c>
      <c r="D55" s="29">
        <v>27400000</v>
      </c>
      <c r="E55" s="32"/>
      <c r="F55" s="33"/>
    </row>
    <row r="56" customHeight="1" spans="1:6">
      <c r="A56" s="37"/>
      <c r="B56" s="38"/>
      <c r="C56" s="39"/>
      <c r="D56" s="40"/>
      <c r="E56" s="41"/>
      <c r="F56" s="42"/>
    </row>
    <row r="57" ht="20" customHeight="1" spans="1:6">
      <c r="A57" s="43"/>
      <c r="B57" s="44" t="s">
        <v>84</v>
      </c>
      <c r="C57" s="45"/>
      <c r="D57" s="46">
        <f>SUM(D9:D56)</f>
        <v>357160000</v>
      </c>
      <c r="E57" s="47"/>
      <c r="F57" s="48"/>
    </row>
    <row r="58" customHeight="1" spans="1:6">
      <c r="A58" s="49"/>
      <c r="B58" s="50"/>
      <c r="C58" s="13"/>
      <c r="D58" s="51">
        <v>11</v>
      </c>
      <c r="E58" s="52"/>
      <c r="F58" s="52"/>
    </row>
    <row r="59" customHeight="1" spans="1:6">
      <c r="A59" s="49"/>
      <c r="B59" s="50"/>
      <c r="C59" s="13"/>
      <c r="D59" s="51"/>
      <c r="E59" s="52"/>
      <c r="F59" s="52"/>
    </row>
    <row r="60" customHeight="1" spans="1:6">
      <c r="A60" s="49"/>
      <c r="B60" s="50"/>
      <c r="C60" s="13"/>
      <c r="D60" s="51"/>
      <c r="E60" s="52"/>
      <c r="F60" s="52"/>
    </row>
    <row r="61" customHeight="1" spans="1:6">
      <c r="A61" s="49"/>
      <c r="B61" s="50"/>
      <c r="C61" s="13"/>
      <c r="D61" s="51"/>
      <c r="E61" s="52"/>
      <c r="F61" s="52"/>
    </row>
    <row r="62" customHeight="1" spans="1:6">
      <c r="A62" s="49"/>
      <c r="B62" s="50"/>
      <c r="C62" s="13"/>
      <c r="D62" s="51"/>
      <c r="E62" s="52"/>
      <c r="F62" s="52"/>
    </row>
    <row r="63" customHeight="1" spans="1:6">
      <c r="A63" s="49"/>
      <c r="B63" s="50"/>
      <c r="C63" s="13"/>
      <c r="D63" s="51"/>
      <c r="E63" s="52"/>
      <c r="F63" s="52"/>
    </row>
    <row r="64" customHeight="1" spans="1:6">
      <c r="A64" s="49"/>
      <c r="B64" s="50"/>
      <c r="C64" s="13"/>
      <c r="D64" s="51"/>
      <c r="E64" s="52"/>
      <c r="F64" s="52"/>
    </row>
    <row r="65" ht="6" customHeight="1" spans="1:6">
      <c r="A65" s="49"/>
      <c r="B65" s="50"/>
      <c r="C65" s="13"/>
      <c r="D65" s="52"/>
      <c r="E65" s="52"/>
      <c r="F65" s="52"/>
    </row>
    <row r="66" customHeight="1" spans="1:6">
      <c r="A66" s="53" t="s">
        <v>5</v>
      </c>
      <c r="B66" s="54" t="s">
        <v>6</v>
      </c>
      <c r="C66" s="16" t="s">
        <v>85</v>
      </c>
      <c r="D66" s="55" t="s">
        <v>86</v>
      </c>
      <c r="E66" s="56" t="s">
        <v>9</v>
      </c>
      <c r="F66" s="57"/>
    </row>
    <row r="67" ht="18" customHeight="1" spans="1:6">
      <c r="A67" s="58"/>
      <c r="B67" s="59"/>
      <c r="C67" s="22"/>
      <c r="D67" s="60"/>
      <c r="E67" s="61"/>
      <c r="F67" s="62"/>
    </row>
    <row r="68" customHeight="1" spans="1:6">
      <c r="A68" s="26">
        <v>48</v>
      </c>
      <c r="B68" s="27" t="s">
        <v>150</v>
      </c>
      <c r="C68" s="171" t="s">
        <v>226</v>
      </c>
      <c r="D68" s="29">
        <v>3000000</v>
      </c>
      <c r="E68" s="32"/>
      <c r="F68" s="33"/>
    </row>
    <row r="69" customHeight="1" spans="1:6">
      <c r="A69" s="26">
        <v>49</v>
      </c>
      <c r="B69" s="27" t="s">
        <v>151</v>
      </c>
      <c r="C69" s="171" t="s">
        <v>227</v>
      </c>
      <c r="D69" s="29">
        <v>3000000</v>
      </c>
      <c r="E69" s="32"/>
      <c r="F69" s="33"/>
    </row>
    <row r="70" customHeight="1" spans="1:6">
      <c r="A70" s="26">
        <v>50</v>
      </c>
      <c r="B70" s="27" t="s">
        <v>228</v>
      </c>
      <c r="C70" s="171" t="s">
        <v>229</v>
      </c>
      <c r="D70" s="29">
        <v>500000</v>
      </c>
      <c r="E70" s="32"/>
      <c r="F70" s="33"/>
    </row>
    <row r="71" customHeight="1" spans="1:6">
      <c r="A71" s="26">
        <v>51</v>
      </c>
      <c r="B71" s="27" t="s">
        <v>230</v>
      </c>
      <c r="C71" s="171" t="s">
        <v>231</v>
      </c>
      <c r="D71" s="29">
        <v>600000</v>
      </c>
      <c r="E71" s="32"/>
      <c r="F71" s="33"/>
    </row>
    <row r="72" customHeight="1" spans="1:6">
      <c r="A72" s="26">
        <v>52</v>
      </c>
      <c r="B72" s="27" t="s">
        <v>49</v>
      </c>
      <c r="C72" s="171" t="s">
        <v>231</v>
      </c>
      <c r="D72" s="29">
        <v>6000000</v>
      </c>
      <c r="E72" s="32"/>
      <c r="F72" s="33"/>
    </row>
    <row r="73" customHeight="1" spans="1:6">
      <c r="A73" s="26">
        <v>53</v>
      </c>
      <c r="B73" s="27" t="s">
        <v>232</v>
      </c>
      <c r="C73" s="171" t="s">
        <v>233</v>
      </c>
      <c r="D73" s="29">
        <v>23000000</v>
      </c>
      <c r="E73" s="32"/>
      <c r="F73" s="33"/>
    </row>
    <row r="74" customHeight="1" spans="1:6">
      <c r="A74" s="26">
        <v>54</v>
      </c>
      <c r="B74" s="27" t="s">
        <v>234</v>
      </c>
      <c r="C74" s="28" t="s">
        <v>235</v>
      </c>
      <c r="D74" s="29">
        <v>600000</v>
      </c>
      <c r="E74" s="32"/>
      <c r="F74" s="33"/>
    </row>
    <row r="75" customHeight="1" spans="1:6">
      <c r="A75" s="26">
        <v>55</v>
      </c>
      <c r="B75" s="27" t="s">
        <v>143</v>
      </c>
      <c r="C75" s="171" t="s">
        <v>236</v>
      </c>
      <c r="D75" s="29">
        <v>1050000</v>
      </c>
      <c r="E75" s="32"/>
      <c r="F75" s="33"/>
    </row>
    <row r="76" customHeight="1" spans="1:11">
      <c r="A76" s="26">
        <v>56</v>
      </c>
      <c r="B76" s="27" t="s">
        <v>168</v>
      </c>
      <c r="C76" s="171" t="s">
        <v>237</v>
      </c>
      <c r="D76" s="29">
        <v>600000</v>
      </c>
      <c r="E76" s="32"/>
      <c r="F76" s="33"/>
      <c r="K76" s="1" t="s">
        <v>24</v>
      </c>
    </row>
    <row r="77" customHeight="1" spans="1:6">
      <c r="A77" s="26">
        <v>57</v>
      </c>
      <c r="B77" s="27" t="s">
        <v>60</v>
      </c>
      <c r="C77" s="171" t="s">
        <v>238</v>
      </c>
      <c r="D77" s="29">
        <v>3575000</v>
      </c>
      <c r="E77" s="32"/>
      <c r="F77" s="33"/>
    </row>
    <row r="78" customHeight="1" spans="1:6">
      <c r="A78" s="26">
        <v>58</v>
      </c>
      <c r="B78" s="27" t="s">
        <v>239</v>
      </c>
      <c r="C78" s="171" t="s">
        <v>238</v>
      </c>
      <c r="D78" s="29">
        <v>4000000</v>
      </c>
      <c r="E78" s="41"/>
      <c r="F78" s="42"/>
    </row>
    <row r="79" customHeight="1" spans="1:6">
      <c r="A79" s="26">
        <v>59</v>
      </c>
      <c r="B79" s="27" t="s">
        <v>240</v>
      </c>
      <c r="C79" s="171" t="s">
        <v>238</v>
      </c>
      <c r="D79" s="29">
        <v>7500000</v>
      </c>
      <c r="E79" s="41"/>
      <c r="F79" s="42"/>
    </row>
    <row r="80" customHeight="1" spans="1:6">
      <c r="A80" s="26">
        <v>60</v>
      </c>
      <c r="B80" s="27" t="s">
        <v>241</v>
      </c>
      <c r="C80" s="171" t="s">
        <v>238</v>
      </c>
      <c r="D80" s="29">
        <v>16810000</v>
      </c>
      <c r="E80" s="41"/>
      <c r="F80" s="42"/>
    </row>
    <row r="81" customHeight="1" spans="1:6">
      <c r="A81" s="26">
        <v>61</v>
      </c>
      <c r="B81" s="27" t="s">
        <v>242</v>
      </c>
      <c r="C81" s="171" t="s">
        <v>243</v>
      </c>
      <c r="D81" s="29">
        <v>990000</v>
      </c>
      <c r="E81" s="41"/>
      <c r="F81" s="42"/>
    </row>
    <row r="82" customHeight="1" spans="1:6">
      <c r="A82" s="26">
        <v>62</v>
      </c>
      <c r="B82" s="27" t="s">
        <v>124</v>
      </c>
      <c r="C82" s="171" t="s">
        <v>244</v>
      </c>
      <c r="D82" s="29">
        <v>2200000</v>
      </c>
      <c r="E82" s="41"/>
      <c r="F82" s="42"/>
    </row>
    <row r="83" customHeight="1" spans="1:6">
      <c r="A83" s="26">
        <v>63</v>
      </c>
      <c r="B83" s="27" t="s">
        <v>33</v>
      </c>
      <c r="C83" s="171" t="s">
        <v>244</v>
      </c>
      <c r="D83" s="29">
        <v>1460000</v>
      </c>
      <c r="E83" s="41"/>
      <c r="F83" s="42"/>
    </row>
    <row r="84" customHeight="1" spans="1:6">
      <c r="A84" s="26">
        <v>64</v>
      </c>
      <c r="B84" s="27" t="s">
        <v>39</v>
      </c>
      <c r="C84" s="171" t="s">
        <v>245</v>
      </c>
      <c r="D84" s="29">
        <v>4500000</v>
      </c>
      <c r="E84" s="41"/>
      <c r="F84" s="42"/>
    </row>
    <row r="85" customHeight="1" spans="1:6">
      <c r="A85" s="26">
        <v>65</v>
      </c>
      <c r="B85" s="27" t="s">
        <v>118</v>
      </c>
      <c r="C85" s="171" t="s">
        <v>246</v>
      </c>
      <c r="D85" s="29">
        <v>2550000</v>
      </c>
      <c r="E85" s="41"/>
      <c r="F85" s="42"/>
    </row>
    <row r="86" customHeight="1" spans="1:6">
      <c r="A86" s="26">
        <v>66</v>
      </c>
      <c r="B86" s="27" t="s">
        <v>247</v>
      </c>
      <c r="C86" s="171" t="s">
        <v>246</v>
      </c>
      <c r="D86" s="29">
        <v>500000</v>
      </c>
      <c r="E86" s="41"/>
      <c r="F86" s="42"/>
    </row>
    <row r="87" customHeight="1" spans="1:6">
      <c r="A87" s="26">
        <v>67</v>
      </c>
      <c r="B87" s="27" t="s">
        <v>178</v>
      </c>
      <c r="C87" s="28" t="s">
        <v>248</v>
      </c>
      <c r="D87" s="29">
        <v>2500000</v>
      </c>
      <c r="E87" s="41"/>
      <c r="F87" s="42"/>
    </row>
    <row r="88" customHeight="1" spans="1:6">
      <c r="A88" s="26">
        <v>68</v>
      </c>
      <c r="B88" s="27" t="s">
        <v>129</v>
      </c>
      <c r="C88" s="171" t="s">
        <v>249</v>
      </c>
      <c r="D88" s="29">
        <v>1800000</v>
      </c>
      <c r="E88" s="41"/>
      <c r="F88" s="42"/>
    </row>
    <row r="89" customHeight="1" spans="1:6">
      <c r="A89" s="26">
        <v>69</v>
      </c>
      <c r="B89" s="27" t="s">
        <v>250</v>
      </c>
      <c r="C89" s="171" t="s">
        <v>249</v>
      </c>
      <c r="D89" s="29">
        <v>10500000</v>
      </c>
      <c r="E89" s="41"/>
      <c r="F89" s="42"/>
    </row>
    <row r="90" customHeight="1" spans="1:6">
      <c r="A90" s="26">
        <v>70</v>
      </c>
      <c r="B90" s="27" t="s">
        <v>20</v>
      </c>
      <c r="C90" s="171" t="s">
        <v>251</v>
      </c>
      <c r="D90" s="29">
        <v>16000000</v>
      </c>
      <c r="E90" s="41"/>
      <c r="F90" s="42"/>
    </row>
    <row r="91" customHeight="1" spans="1:6">
      <c r="A91" s="26">
        <v>71</v>
      </c>
      <c r="B91" s="27" t="s">
        <v>122</v>
      </c>
      <c r="C91" s="28" t="s">
        <v>252</v>
      </c>
      <c r="D91" s="29">
        <v>13875000</v>
      </c>
      <c r="E91" s="41"/>
      <c r="F91" s="42"/>
    </row>
    <row r="92" customHeight="1" spans="1:6">
      <c r="A92" s="26">
        <v>72</v>
      </c>
      <c r="B92" s="27" t="s">
        <v>253</v>
      </c>
      <c r="C92" s="28" t="s">
        <v>252</v>
      </c>
      <c r="D92" s="29">
        <v>2690000</v>
      </c>
      <c r="E92" s="41"/>
      <c r="F92" s="42"/>
    </row>
    <row r="93" customHeight="1" spans="1:6">
      <c r="A93" s="26">
        <v>73</v>
      </c>
      <c r="B93" s="27" t="s">
        <v>97</v>
      </c>
      <c r="C93" s="171" t="s">
        <v>254</v>
      </c>
      <c r="D93" s="29">
        <v>2550000</v>
      </c>
      <c r="E93" s="41"/>
      <c r="F93" s="42"/>
    </row>
    <row r="94" customHeight="1" spans="1:6">
      <c r="A94" s="26">
        <v>74</v>
      </c>
      <c r="B94" s="27" t="s">
        <v>95</v>
      </c>
      <c r="C94" s="171" t="s">
        <v>255</v>
      </c>
      <c r="D94" s="29">
        <v>8250000</v>
      </c>
      <c r="E94" s="41"/>
      <c r="F94" s="42"/>
    </row>
    <row r="95" customHeight="1" spans="1:6">
      <c r="A95" s="26">
        <v>75</v>
      </c>
      <c r="B95" s="27" t="s">
        <v>256</v>
      </c>
      <c r="C95" s="171" t="s">
        <v>255</v>
      </c>
      <c r="D95" s="29">
        <v>15000000</v>
      </c>
      <c r="E95" s="41"/>
      <c r="F95" s="42"/>
    </row>
    <row r="96" customHeight="1" spans="1:6">
      <c r="A96" s="26">
        <v>76</v>
      </c>
      <c r="B96" s="27" t="s">
        <v>42</v>
      </c>
      <c r="C96" s="171" t="s">
        <v>257</v>
      </c>
      <c r="D96" s="29">
        <v>11700000</v>
      </c>
      <c r="E96" s="41"/>
      <c r="F96" s="42"/>
    </row>
    <row r="97" customHeight="1" spans="1:6">
      <c r="A97" s="26">
        <v>77</v>
      </c>
      <c r="B97" s="27" t="s">
        <v>44</v>
      </c>
      <c r="C97" s="171" t="s">
        <v>257</v>
      </c>
      <c r="D97" s="29">
        <v>2800000</v>
      </c>
      <c r="E97" s="41"/>
      <c r="F97" s="42"/>
    </row>
    <row r="98" customHeight="1" spans="1:6">
      <c r="A98" s="26">
        <v>78</v>
      </c>
      <c r="B98" s="27" t="s">
        <v>136</v>
      </c>
      <c r="C98" s="171" t="s">
        <v>257</v>
      </c>
      <c r="D98" s="29">
        <v>7730000</v>
      </c>
      <c r="E98" s="41"/>
      <c r="F98" s="42"/>
    </row>
    <row r="99" customHeight="1" spans="1:6">
      <c r="A99" s="26">
        <v>79</v>
      </c>
      <c r="B99" s="27" t="s">
        <v>258</v>
      </c>
      <c r="C99" s="171" t="s">
        <v>259</v>
      </c>
      <c r="D99" s="29">
        <v>3000000</v>
      </c>
      <c r="E99" s="41"/>
      <c r="F99" s="42"/>
    </row>
    <row r="100" customHeight="1" spans="1:6">
      <c r="A100" s="26">
        <v>80</v>
      </c>
      <c r="B100" s="27" t="s">
        <v>51</v>
      </c>
      <c r="C100" s="171" t="s">
        <v>260</v>
      </c>
      <c r="D100" s="29">
        <v>12000000</v>
      </c>
      <c r="E100" s="41"/>
      <c r="F100" s="42"/>
    </row>
    <row r="101" customHeight="1" spans="1:16">
      <c r="A101" s="26">
        <v>81</v>
      </c>
      <c r="B101" s="27" t="s">
        <v>115</v>
      </c>
      <c r="C101" s="171" t="s">
        <v>261</v>
      </c>
      <c r="D101" s="29">
        <v>5200000</v>
      </c>
      <c r="E101" s="41"/>
      <c r="F101" s="42"/>
      <c r="K101" s="82"/>
      <c r="P101" s="83"/>
    </row>
    <row r="102" customHeight="1" spans="1:6">
      <c r="A102" s="26">
        <v>82</v>
      </c>
      <c r="B102" s="27" t="s">
        <v>93</v>
      </c>
      <c r="C102" s="171" t="s">
        <v>261</v>
      </c>
      <c r="D102" s="29">
        <v>3000000</v>
      </c>
      <c r="E102" s="41"/>
      <c r="F102" s="42"/>
    </row>
    <row r="103" customHeight="1" spans="1:6">
      <c r="A103" s="26">
        <v>83</v>
      </c>
      <c r="B103" s="27" t="s">
        <v>262</v>
      </c>
      <c r="C103" s="171" t="s">
        <v>263</v>
      </c>
      <c r="D103" s="29">
        <v>10000000</v>
      </c>
      <c r="E103" s="41"/>
      <c r="F103" s="42"/>
    </row>
    <row r="104" customHeight="1" spans="1:6">
      <c r="A104" s="26">
        <v>84</v>
      </c>
      <c r="B104" s="27" t="s">
        <v>264</v>
      </c>
      <c r="C104" s="171" t="s">
        <v>265</v>
      </c>
      <c r="D104" s="29">
        <v>2000000</v>
      </c>
      <c r="E104" s="41"/>
      <c r="F104" s="42"/>
    </row>
    <row r="105" customHeight="1" spans="1:6">
      <c r="A105" s="63"/>
      <c r="B105" s="64"/>
      <c r="C105" s="65"/>
      <c r="D105" s="66"/>
      <c r="E105" s="41"/>
      <c r="F105" s="42"/>
    </row>
    <row r="106" customHeight="1" spans="1:6">
      <c r="A106" s="67"/>
      <c r="B106" s="68"/>
      <c r="C106" s="65"/>
      <c r="D106" s="69"/>
      <c r="E106" s="41"/>
      <c r="F106" s="42"/>
    </row>
    <row r="107" customHeight="1" spans="1:6">
      <c r="A107" s="37"/>
      <c r="B107" s="38" t="s">
        <v>153</v>
      </c>
      <c r="C107" s="39"/>
      <c r="D107" s="40">
        <f>SUM(D68:D106)</f>
        <v>213030000</v>
      </c>
      <c r="E107" s="41"/>
      <c r="F107" s="42"/>
    </row>
    <row r="108" customHeight="1" spans="1:6">
      <c r="A108" s="37"/>
      <c r="B108" s="38"/>
      <c r="C108" s="39"/>
      <c r="D108" s="40"/>
      <c r="E108" s="41"/>
      <c r="F108" s="42"/>
    </row>
    <row r="109" customHeight="1" spans="1:6">
      <c r="A109" s="43"/>
      <c r="B109" s="70" t="s">
        <v>154</v>
      </c>
      <c r="C109" s="71"/>
      <c r="D109" s="44">
        <f>SUM(D57+D107)</f>
        <v>570190000</v>
      </c>
      <c r="E109" s="72"/>
      <c r="F109" s="48"/>
    </row>
    <row r="110" customHeight="1" spans="1:6">
      <c r="A110" s="73"/>
      <c r="B110" s="73"/>
      <c r="C110" s="74"/>
      <c r="D110" s="75"/>
      <c r="E110" s="75"/>
      <c r="F110" s="75"/>
    </row>
    <row r="111" customHeight="1" spans="1:6">
      <c r="A111" s="73"/>
      <c r="B111" s="73"/>
      <c r="C111" s="74"/>
      <c r="D111" s="75"/>
      <c r="E111" s="75"/>
      <c r="F111" s="75"/>
    </row>
    <row r="112" customHeight="1" spans="1:6">
      <c r="A112" s="73"/>
      <c r="B112" s="76" t="s">
        <v>171</v>
      </c>
      <c r="C112" s="77"/>
      <c r="D112" s="76"/>
      <c r="E112" s="76"/>
      <c r="F112" s="76"/>
    </row>
    <row r="113" customHeight="1" spans="1:6">
      <c r="A113" s="73"/>
      <c r="B113" s="78" t="s">
        <v>172</v>
      </c>
      <c r="C113" s="74" t="s">
        <v>173</v>
      </c>
      <c r="D113" s="75" t="s">
        <v>174</v>
      </c>
      <c r="E113" s="79" t="s">
        <v>175</v>
      </c>
      <c r="F113" s="75" t="s">
        <v>176</v>
      </c>
    </row>
    <row r="114" customHeight="1" spans="1:6">
      <c r="A114" s="73"/>
      <c r="B114" s="78"/>
      <c r="C114" s="74"/>
      <c r="D114" s="75"/>
      <c r="E114" s="79"/>
      <c r="F114" s="75"/>
    </row>
    <row r="115" customHeight="1" spans="1:6">
      <c r="A115" s="73"/>
      <c r="B115" s="78"/>
      <c r="C115" s="74"/>
      <c r="D115" s="75"/>
      <c r="E115" s="79"/>
      <c r="F115" s="75"/>
    </row>
    <row r="116" customHeight="1" spans="1:6">
      <c r="A116" s="73"/>
      <c r="B116" s="78"/>
      <c r="C116" s="74"/>
      <c r="D116" s="75"/>
      <c r="E116" s="79"/>
      <c r="F116" s="75"/>
    </row>
    <row r="117" customHeight="1" spans="1:6">
      <c r="A117" s="73"/>
      <c r="B117" s="78"/>
      <c r="C117" s="74"/>
      <c r="D117" s="75"/>
      <c r="E117" s="79"/>
      <c r="F117" s="75"/>
    </row>
    <row r="118" customHeight="1" spans="1:6">
      <c r="A118" s="73"/>
      <c r="B118" s="78"/>
      <c r="C118" s="74"/>
      <c r="D118" s="75"/>
      <c r="E118" s="79"/>
      <c r="F118" s="75"/>
    </row>
    <row r="119" customHeight="1" spans="1:6">
      <c r="A119" s="75"/>
      <c r="B119" s="80" t="s">
        <v>177</v>
      </c>
      <c r="C119" s="2" t="s">
        <v>67</v>
      </c>
      <c r="D119" s="75" t="s">
        <v>155</v>
      </c>
      <c r="E119" s="79" t="s">
        <v>178</v>
      </c>
      <c r="F119" s="75" t="s">
        <v>266</v>
      </c>
    </row>
    <row r="120" customHeight="1" spans="1:6">
      <c r="A120" s="75"/>
      <c r="B120" s="75"/>
      <c r="D120" s="81"/>
      <c r="E120" s="75"/>
      <c r="F120" s="75"/>
    </row>
    <row r="121" customHeight="1" spans="1:6">
      <c r="A121" s="75"/>
      <c r="B121" s="75"/>
      <c r="D121" s="81">
        <v>12</v>
      </c>
      <c r="E121" s="75"/>
      <c r="F121" s="75"/>
    </row>
    <row r="122" customHeight="1" spans="1:6">
      <c r="A122" s="75"/>
      <c r="B122" s="75"/>
      <c r="D122" s="75"/>
      <c r="E122" s="75"/>
      <c r="F122" s="75"/>
    </row>
    <row r="123" customHeight="1" spans="1:6">
      <c r="A123" s="75"/>
      <c r="B123" s="75"/>
      <c r="D123" s="75"/>
      <c r="E123" s="75"/>
      <c r="F123" s="75"/>
    </row>
    <row r="124" customHeight="1" spans="1:6">
      <c r="A124" s="75"/>
      <c r="B124" s="75"/>
      <c r="E124" s="75"/>
      <c r="F124" s="75"/>
    </row>
    <row r="125" customHeight="1" spans="1:6">
      <c r="A125" s="75"/>
      <c r="B125" s="75"/>
      <c r="D125" s="75"/>
      <c r="E125" s="75"/>
      <c r="F125" s="75"/>
    </row>
    <row r="126" customHeight="1" spans="1:6">
      <c r="A126" s="75"/>
      <c r="B126" s="75"/>
      <c r="D126" s="75"/>
      <c r="E126" s="75"/>
      <c r="F126" s="75"/>
    </row>
    <row r="127" customHeight="1" spans="1:6">
      <c r="A127" s="75"/>
      <c r="B127" s="75"/>
      <c r="D127" s="75"/>
      <c r="E127" s="75"/>
      <c r="F127" s="75"/>
    </row>
    <row r="128" customHeight="1" spans="1:6">
      <c r="A128" s="75"/>
      <c r="B128" s="75"/>
      <c r="D128" s="75"/>
      <c r="E128" s="75"/>
      <c r="F128" s="75"/>
    </row>
    <row r="129" customHeight="1" spans="1:6">
      <c r="A129" s="75"/>
      <c r="B129" s="75"/>
      <c r="D129" s="75"/>
      <c r="E129" s="75"/>
      <c r="F129" s="75"/>
    </row>
    <row r="130" customHeight="1" spans="1:6">
      <c r="A130" s="75"/>
      <c r="B130" s="75"/>
      <c r="E130" s="75"/>
      <c r="F130" s="75"/>
    </row>
    <row r="131" customHeight="1" spans="1:6">
      <c r="A131" s="75"/>
      <c r="B131" s="75"/>
      <c r="D131" s="75"/>
      <c r="E131" s="75"/>
      <c r="F131" s="75"/>
    </row>
    <row r="132" customHeight="1" spans="1:6">
      <c r="A132" s="75"/>
      <c r="B132" s="75"/>
      <c r="D132" s="75"/>
      <c r="E132" s="75"/>
      <c r="F132" s="75"/>
    </row>
    <row r="133" customHeight="1" spans="1:6">
      <c r="A133" s="75"/>
      <c r="B133" s="75"/>
      <c r="D133" s="75"/>
      <c r="E133" s="75"/>
      <c r="F133" s="75"/>
    </row>
    <row r="134" customHeight="1" spans="1:6">
      <c r="A134" s="75"/>
      <c r="B134" s="75"/>
      <c r="D134" s="75"/>
      <c r="E134" s="75"/>
      <c r="F134" s="75"/>
    </row>
    <row r="135" customHeight="1" spans="1:6">
      <c r="A135" s="75"/>
      <c r="B135" s="75"/>
      <c r="D135" s="75"/>
      <c r="E135" s="75"/>
      <c r="F135" s="75"/>
    </row>
    <row r="136" customHeight="1" spans="1:6">
      <c r="A136" s="75"/>
      <c r="B136" s="75"/>
      <c r="D136" s="75"/>
      <c r="E136" s="75"/>
      <c r="F136" s="75"/>
    </row>
    <row r="137" customHeight="1" spans="1:6">
      <c r="A137" s="75"/>
      <c r="B137" s="75"/>
      <c r="D137" s="75"/>
      <c r="E137" s="75"/>
      <c r="F137" s="75"/>
    </row>
    <row r="138" customHeight="1" spans="1:6">
      <c r="A138" s="75"/>
      <c r="B138" s="75"/>
      <c r="D138" s="75"/>
      <c r="E138" s="75"/>
      <c r="F138" s="75"/>
    </row>
    <row r="139" customHeight="1" spans="1:6">
      <c r="A139" s="75"/>
      <c r="B139" s="75"/>
      <c r="D139" s="81"/>
      <c r="E139" s="75"/>
      <c r="F139" s="75"/>
    </row>
    <row r="140" customHeight="1" spans="1:6">
      <c r="A140" s="75"/>
      <c r="B140" s="75"/>
      <c r="D140" s="75"/>
      <c r="E140" s="75"/>
      <c r="F140" s="75"/>
    </row>
    <row r="141" customHeight="1" spans="1:6">
      <c r="A141" s="75"/>
      <c r="B141" s="75"/>
      <c r="D141" s="75"/>
      <c r="E141" s="75"/>
      <c r="F141" s="75"/>
    </row>
    <row r="142" customHeight="1" spans="1:6">
      <c r="A142" s="75"/>
      <c r="B142" s="75"/>
      <c r="D142" s="75"/>
      <c r="E142" s="75"/>
      <c r="F142" s="75"/>
    </row>
    <row r="143" customHeight="1" spans="1:6">
      <c r="A143" s="75"/>
      <c r="B143" s="75"/>
      <c r="D143" s="75"/>
      <c r="E143" s="75"/>
      <c r="F143" s="75"/>
    </row>
    <row r="144" customHeight="1" spans="1:6">
      <c r="A144" s="75"/>
      <c r="B144" s="75"/>
      <c r="D144" s="75"/>
      <c r="E144" s="75"/>
      <c r="F144" s="75"/>
    </row>
    <row r="145" customHeight="1" spans="1:6">
      <c r="A145" s="75"/>
      <c r="B145" s="75"/>
      <c r="D145" s="75"/>
      <c r="E145" s="75"/>
      <c r="F145" s="75"/>
    </row>
    <row r="146" customHeight="1" spans="1:6">
      <c r="A146" s="75"/>
      <c r="B146" s="75"/>
      <c r="D146" s="75"/>
      <c r="E146" s="75"/>
      <c r="F146" s="75"/>
    </row>
    <row r="147" customHeight="1" spans="1:6">
      <c r="A147" s="75"/>
      <c r="B147" s="75"/>
      <c r="D147" s="75"/>
      <c r="E147" s="75"/>
      <c r="F147" s="75"/>
    </row>
    <row r="148" customHeight="1" spans="1:6">
      <c r="A148" s="75"/>
      <c r="B148" s="75"/>
      <c r="D148" s="75"/>
      <c r="E148" s="75"/>
      <c r="F148" s="75"/>
    </row>
    <row r="149" customHeight="1" spans="1:6">
      <c r="A149" s="75"/>
      <c r="B149" s="75"/>
      <c r="D149" s="75"/>
      <c r="E149" s="75"/>
      <c r="F149" s="75"/>
    </row>
    <row r="150" customHeight="1" spans="1:6">
      <c r="A150" s="75"/>
      <c r="B150" s="75"/>
      <c r="D150" s="75"/>
      <c r="E150" s="75"/>
      <c r="F150" s="75"/>
    </row>
    <row r="151" customHeight="1" spans="1:6">
      <c r="A151" s="75"/>
      <c r="B151" s="75"/>
      <c r="D151" s="75"/>
      <c r="E151" s="75"/>
      <c r="F151" s="75"/>
    </row>
    <row r="152" customHeight="1" spans="1:6">
      <c r="A152" s="75"/>
      <c r="B152" s="75"/>
      <c r="D152" s="75"/>
      <c r="E152" s="75"/>
      <c r="F152" s="75"/>
    </row>
    <row r="153" customHeight="1" spans="1:6">
      <c r="A153" s="75"/>
      <c r="B153" s="75"/>
      <c r="D153" s="75"/>
      <c r="E153" s="75"/>
      <c r="F153" s="75"/>
    </row>
    <row r="154" customHeight="1" spans="1:6">
      <c r="A154" s="75"/>
      <c r="B154" s="75"/>
      <c r="D154" s="75"/>
      <c r="E154" s="75"/>
      <c r="F154" s="75"/>
    </row>
    <row r="155" customHeight="1" spans="1:6">
      <c r="A155" s="75"/>
      <c r="B155" s="75"/>
      <c r="D155" s="75"/>
      <c r="E155" s="75"/>
      <c r="F155" s="75"/>
    </row>
    <row r="156" customHeight="1" spans="1:6">
      <c r="A156" s="75"/>
      <c r="B156" s="75"/>
      <c r="D156" s="75"/>
      <c r="E156" s="75"/>
      <c r="F156" s="75"/>
    </row>
    <row r="157" customHeight="1" spans="1:6">
      <c r="A157" s="75"/>
      <c r="B157" s="75"/>
      <c r="D157" s="75"/>
      <c r="E157" s="75"/>
      <c r="F157" s="75"/>
    </row>
    <row r="158" customHeight="1" spans="1:6">
      <c r="A158" s="75"/>
      <c r="B158" s="75"/>
      <c r="D158" s="75"/>
      <c r="E158" s="75"/>
      <c r="F158" s="75"/>
    </row>
    <row r="159" customHeight="1" spans="1:6">
      <c r="A159" s="75"/>
      <c r="B159" s="75"/>
      <c r="D159" s="75"/>
      <c r="E159" s="75"/>
      <c r="F159" s="75"/>
    </row>
    <row r="160" customHeight="1" spans="1:6">
      <c r="A160" s="75"/>
      <c r="B160" s="75"/>
      <c r="D160" s="75"/>
      <c r="E160" s="75"/>
      <c r="F160" s="75"/>
    </row>
    <row r="161" customHeight="1" spans="1:6">
      <c r="A161" s="75"/>
      <c r="B161" s="75"/>
      <c r="D161" s="75"/>
      <c r="E161" s="75"/>
      <c r="F161" s="75"/>
    </row>
    <row r="162" customHeight="1" spans="1:6">
      <c r="A162" s="75"/>
      <c r="B162" s="75"/>
      <c r="D162" s="75"/>
      <c r="E162" s="75"/>
      <c r="F162" s="75"/>
    </row>
    <row r="163" customHeight="1" spans="1:6">
      <c r="A163" s="75"/>
      <c r="B163" s="75"/>
      <c r="D163" s="75"/>
      <c r="E163" s="75"/>
      <c r="F163" s="75"/>
    </row>
    <row r="164" customHeight="1" spans="1:6">
      <c r="A164" s="75"/>
      <c r="B164" s="75"/>
      <c r="D164" s="75"/>
      <c r="E164" s="75"/>
      <c r="F164" s="75"/>
    </row>
    <row r="165" customHeight="1" spans="1:6">
      <c r="A165" s="75"/>
      <c r="B165" s="75"/>
      <c r="D165" s="75"/>
      <c r="E165" s="75"/>
      <c r="F165" s="75"/>
    </row>
    <row r="166" customHeight="1" spans="1:6">
      <c r="A166" s="75"/>
      <c r="B166" s="75"/>
      <c r="D166" s="75"/>
      <c r="E166" s="75"/>
      <c r="F166" s="75"/>
    </row>
    <row r="167" customHeight="1" spans="1:6">
      <c r="A167" s="75"/>
      <c r="B167" s="75"/>
      <c r="D167" s="75"/>
      <c r="E167" s="75"/>
      <c r="F167" s="75"/>
    </row>
    <row r="168" customHeight="1" spans="1:6">
      <c r="A168" s="75"/>
      <c r="B168" s="75"/>
      <c r="D168" s="75"/>
      <c r="E168" s="75"/>
      <c r="F168" s="75"/>
    </row>
    <row r="169" customHeight="1" spans="1:6">
      <c r="A169" s="75"/>
      <c r="B169" s="75"/>
      <c r="D169" s="75"/>
      <c r="E169" s="75"/>
      <c r="F169" s="75"/>
    </row>
    <row r="170" customHeight="1" spans="1:6">
      <c r="A170" s="75"/>
      <c r="B170" s="75"/>
      <c r="D170" s="75"/>
      <c r="E170" s="75"/>
      <c r="F170" s="75"/>
    </row>
  </sheetData>
  <mergeCells count="17">
    <mergeCell ref="A1:F1"/>
    <mergeCell ref="A2:F2"/>
    <mergeCell ref="A3:F3"/>
    <mergeCell ref="A5:F5"/>
    <mergeCell ref="A6:F6"/>
    <mergeCell ref="B109:C109"/>
    <mergeCell ref="B112:F112"/>
    <mergeCell ref="A7:A8"/>
    <mergeCell ref="A66:A67"/>
    <mergeCell ref="B7:B8"/>
    <mergeCell ref="B66:B67"/>
    <mergeCell ref="C7:C8"/>
    <mergeCell ref="C66:C67"/>
    <mergeCell ref="D7:D8"/>
    <mergeCell ref="D66:D67"/>
    <mergeCell ref="E7:F8"/>
    <mergeCell ref="E66:F67"/>
  </mergeCells>
  <printOptions verticalCentered="1"/>
  <pageMargins left="1.2" right="0.699305555555556" top="0.75" bottom="2" header="0.3" footer="0.3"/>
  <pageSetup paperSize="5" orientation="portrait" horizont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MASTER 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P2420L</dc:creator>
  <cp:lastModifiedBy>Waridi Waridi</cp:lastModifiedBy>
  <dcterms:created xsi:type="dcterms:W3CDTF">2019-03-31T01:29:00Z</dcterms:created>
  <cp:lastPrinted>2022-03-23T22:43:00Z</cp:lastPrinted>
  <dcterms:modified xsi:type="dcterms:W3CDTF">2025-03-25T12:17:17Z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B69FFAA419614766AF9892E748AC3806_12</vt:lpwstr>
  </property>
  <property fmtid="{D5CDD505-2E9C-101B-9397-08002B2CF9AE}" pid="3" name="KSOProductBuildVer">
    <vt:lpwstr>1033-12.2.0.20326</vt:lpwstr>
  </property>
</Properties>
</file>