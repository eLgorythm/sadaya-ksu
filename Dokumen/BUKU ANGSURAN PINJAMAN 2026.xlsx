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 firstSheet="26" activeTab="33"/>
  </bookViews>
  <sheets>
    <sheet name="6-1-26" sheetId="1" r:id="rId1"/>
    <sheet name="13-1-26" sheetId="2" r:id="rId2"/>
    <sheet name="20-1-26" sheetId="3" r:id="rId3"/>
    <sheet name="27-1-26" sheetId="4" r:id="rId4"/>
    <sheet name="3-2-26" sheetId="5" r:id="rId5"/>
    <sheet name="10-2-26" sheetId="6" r:id="rId6"/>
    <sheet name="13-2-26" sheetId="7" r:id="rId7"/>
    <sheet name="17-2-26" sheetId="8" r:id="rId8"/>
    <sheet name="24-2-26" sheetId="9" r:id="rId9"/>
    <sheet name="4-3-26" sheetId="10" r:id="rId10"/>
    <sheet name="10-3-26" sheetId="11" r:id="rId11"/>
    <sheet name="17-3-26" sheetId="12" r:id="rId12"/>
    <sheet name="24-3-26" sheetId="13" r:id="rId13"/>
    <sheet name="31-3-26" sheetId="14" r:id="rId14"/>
    <sheet name="7-4-26" sheetId="15" r:id="rId15"/>
    <sheet name="14-4-26" sheetId="16" r:id="rId16"/>
    <sheet name="21-4-26" sheetId="17" r:id="rId17"/>
    <sheet name="28-4-26" sheetId="18" r:id="rId18"/>
    <sheet name="5-5-26" sheetId="19" r:id="rId19"/>
    <sheet name="12-5-26" sheetId="20" r:id="rId20"/>
    <sheet name="19-5-26" sheetId="21" r:id="rId21"/>
    <sheet name="26-5-26" sheetId="22" r:id="rId22"/>
    <sheet name="2-6-26" sheetId="23" r:id="rId23"/>
    <sheet name="9-6-26" sheetId="24" r:id="rId24"/>
    <sheet name="16-6-26" sheetId="25" r:id="rId25"/>
    <sheet name="23-6-26" sheetId="26" r:id="rId26"/>
    <sheet name="30-6-26" sheetId="27" r:id="rId27"/>
    <sheet name="7-7-2026" sheetId="28" r:id="rId28"/>
    <sheet name="14-7-26" sheetId="29" r:id="rId29"/>
    <sheet name="21-7-26" sheetId="30" r:id="rId30"/>
    <sheet name="28-7-26" sheetId="31" r:id="rId31"/>
    <sheet name="4-8-26" sheetId="32" r:id="rId32"/>
    <sheet name="11-8-26" sheetId="33" r:id="rId33"/>
    <sheet name="18-8-26" sheetId="34" r:id="rId34"/>
    <sheet name="Sheet4" sheetId="35" r:id="rId35"/>
    <sheet name="Sheet5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My ASUS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My ASUS:</t>
        </r>
        <r>
          <rPr>
            <sz val="9"/>
            <rFont val="Calibri"/>
            <scheme val="minor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<sst xmlns="http://schemas.openxmlformats.org/spreadsheetml/2006/main" count="6772" uniqueCount="248">
  <si>
    <t>KOPERASI  SERBA  USAHA  "CAHAYA DHAMMA PHALA"</t>
  </si>
  <si>
    <r>
      <rPr>
        <b/>
        <sz val="8"/>
        <color indexed="8"/>
        <rFont val="Footlight MT Light"/>
        <charset val="134"/>
      </rPr>
      <t xml:space="preserve">Badan Hukum No. </t>
    </r>
    <r>
      <rPr>
        <b/>
        <sz val="8"/>
        <color indexed="8"/>
        <rFont val="Times New Roman"/>
        <charset val="134"/>
      </rPr>
      <t>2/BH/XIV.1/II/2016 Tanggal 5 Februari 2016</t>
    </r>
  </si>
  <si>
    <t>Dukuh Windusari, Desa Sokaraja, Kec. Pagentan, Kab. Banjarnegara 53455</t>
  </si>
  <si>
    <t>BUKU ANGSURAN PINJAMAN  ANGGOTA</t>
  </si>
  <si>
    <t>Per  6  Januari  2025</t>
  </si>
  <si>
    <t>NO.</t>
  </si>
  <si>
    <t>NAMA</t>
  </si>
  <si>
    <t>TGL</t>
  </si>
  <si>
    <t>ANGSURAN PINJAMAN</t>
  </si>
  <si>
    <t>SISA</t>
  </si>
  <si>
    <t>SWK</t>
  </si>
  <si>
    <t>KE</t>
  </si>
  <si>
    <t>POKOK</t>
  </si>
  <si>
    <t>JASA</t>
  </si>
  <si>
    <t>JUMLAH</t>
  </si>
  <si>
    <t>Suryadi</t>
  </si>
  <si>
    <t>4-4-17</t>
  </si>
  <si>
    <t>Waginah</t>
  </si>
  <si>
    <t>16-5-17</t>
  </si>
  <si>
    <t>Tarmono</t>
  </si>
  <si>
    <t>18-8-20</t>
  </si>
  <si>
    <t>Juliyah</t>
  </si>
  <si>
    <t>2-2-21</t>
  </si>
  <si>
    <t>Purwadi</t>
  </si>
  <si>
    <t>14-03-21</t>
  </si>
  <si>
    <t>Waluyo Ragil</t>
  </si>
  <si>
    <t>27-04-21</t>
  </si>
  <si>
    <t>Sapdono</t>
  </si>
  <si>
    <t>24-8-23</t>
  </si>
  <si>
    <t>Sudarma Widya</t>
  </si>
  <si>
    <t>28-09-21</t>
  </si>
  <si>
    <t>Rahmadi</t>
  </si>
  <si>
    <t>15-2-22</t>
  </si>
  <si>
    <t>Ratmi</t>
  </si>
  <si>
    <t>8-3-22</t>
  </si>
  <si>
    <t>Cipret</t>
  </si>
  <si>
    <t>21-6-22</t>
  </si>
  <si>
    <t>Ika Kurniasih</t>
  </si>
  <si>
    <t>03-1-22</t>
  </si>
  <si>
    <t>Kamto</t>
  </si>
  <si>
    <t>28-2-23</t>
  </si>
  <si>
    <t>Handi Cahyono</t>
  </si>
  <si>
    <t>04-04-23</t>
  </si>
  <si>
    <t>Hartati</t>
  </si>
  <si>
    <t>Sartiyah</t>
  </si>
  <si>
    <t>Dwi Vijjayanti</t>
  </si>
  <si>
    <t>11-04-23</t>
  </si>
  <si>
    <t>Marsinem</t>
  </si>
  <si>
    <t>2-5-23</t>
  </si>
  <si>
    <t>Suharjanto</t>
  </si>
  <si>
    <t>11/7/23</t>
  </si>
  <si>
    <t>Saliyah</t>
  </si>
  <si>
    <t>18/7/23</t>
  </si>
  <si>
    <t>Suminah</t>
  </si>
  <si>
    <t>26-9-23</t>
  </si>
  <si>
    <t xml:space="preserve">Leni </t>
  </si>
  <si>
    <t>10-10-23</t>
  </si>
  <si>
    <t>Kasmi Purwadi</t>
  </si>
  <si>
    <t>24-10-23</t>
  </si>
  <si>
    <t>Gini Wanto</t>
  </si>
  <si>
    <t>Kami</t>
  </si>
  <si>
    <t>9/1/24</t>
  </si>
  <si>
    <t>Wahyuni</t>
  </si>
  <si>
    <t>30/1/24</t>
  </si>
  <si>
    <t>Karsih</t>
  </si>
  <si>
    <t>Painten Darwito</t>
  </si>
  <si>
    <t>16/2/24</t>
  </si>
  <si>
    <t>Karni</t>
  </si>
  <si>
    <t>2/4/24</t>
  </si>
  <si>
    <t>Siyo Dwiroso</t>
  </si>
  <si>
    <t>16/4/24</t>
  </si>
  <si>
    <t>Purwati</t>
  </si>
  <si>
    <t>4/6/24</t>
  </si>
  <si>
    <t>Tarsini</t>
  </si>
  <si>
    <t>02/07/24</t>
  </si>
  <si>
    <t>Santosa</t>
  </si>
  <si>
    <t>09/07/24</t>
  </si>
  <si>
    <t>Priyono</t>
  </si>
  <si>
    <t>16/07/24</t>
  </si>
  <si>
    <t>Karyono</t>
  </si>
  <si>
    <t>30/07/24</t>
  </si>
  <si>
    <t>Dwiyanto</t>
  </si>
  <si>
    <t>06/08/24</t>
  </si>
  <si>
    <t>Utami</t>
  </si>
  <si>
    <t>20/08/24</t>
  </si>
  <si>
    <t>Karjono</t>
  </si>
  <si>
    <t>10/09/24</t>
  </si>
  <si>
    <t>Kuswono Katam</t>
  </si>
  <si>
    <t>05/11/24</t>
  </si>
  <si>
    <t>Sarijem</t>
  </si>
  <si>
    <t xml:space="preserve">Nisem </t>
  </si>
  <si>
    <t>03/12/24</t>
  </si>
  <si>
    <t>Saroji</t>
  </si>
  <si>
    <t>17/12/24</t>
  </si>
  <si>
    <t>Minardi</t>
  </si>
  <si>
    <t>21/1/25</t>
  </si>
  <si>
    <t>Kuat Siti Kirana</t>
  </si>
  <si>
    <t>28/1/25</t>
  </si>
  <si>
    <t>Vijja Ratano</t>
  </si>
  <si>
    <t>18/2/25</t>
  </si>
  <si>
    <t>Suroto</t>
  </si>
  <si>
    <t>Sono</t>
  </si>
  <si>
    <t>25/2/25</t>
  </si>
  <si>
    <t>Metta Candra D.</t>
  </si>
  <si>
    <t>Mislam</t>
  </si>
  <si>
    <t>Lewih</t>
  </si>
  <si>
    <t>25/3/25</t>
  </si>
  <si>
    <t>Rusmini Bolot</t>
  </si>
  <si>
    <t>8/4/25</t>
  </si>
  <si>
    <t>Kadi</t>
  </si>
  <si>
    <t>15/4/25</t>
  </si>
  <si>
    <t>Marsito</t>
  </si>
  <si>
    <t>27-5-25</t>
  </si>
  <si>
    <t>Darwito</t>
  </si>
  <si>
    <t>10-6-25</t>
  </si>
  <si>
    <t>Manis</t>
  </si>
  <si>
    <t>15r-7-25</t>
  </si>
  <si>
    <t>Turyanto Madiono</t>
  </si>
  <si>
    <t>12-8-25</t>
  </si>
  <si>
    <t>Aniah Marsih</t>
  </si>
  <si>
    <t>26/9/25</t>
  </si>
  <si>
    <t>Ranem</t>
  </si>
  <si>
    <t>Tato</t>
  </si>
  <si>
    <t>18/11/25</t>
  </si>
  <si>
    <t>Jumlah</t>
  </si>
  <si>
    <t xml:space="preserve">Catatan </t>
  </si>
  <si>
    <t>:</t>
  </si>
  <si>
    <t>Total jasa</t>
  </si>
  <si>
    <t>; Rp</t>
  </si>
  <si>
    <t>Windusari, 6  Januari   2026</t>
  </si>
  <si>
    <t>Tiap bagian</t>
  </si>
  <si>
    <t>Pengurus KSU "CAHAYA DHAMMA PHALA"</t>
  </si>
  <si>
    <t>Rincian</t>
  </si>
  <si>
    <t xml:space="preserve">; </t>
  </si>
  <si>
    <t>Ketua</t>
  </si>
  <si>
    <t>Bendahara</t>
  </si>
  <si>
    <t>Japinup</t>
  </si>
  <si>
    <t>Dana Sosial</t>
  </si>
  <si>
    <t>Dana Pendidikan</t>
  </si>
  <si>
    <t>Dana CRK</t>
  </si>
  <si>
    <t>Dana Pembangunan</t>
  </si>
  <si>
    <t>Waridi</t>
  </si>
  <si>
    <t>Oru Wasaton</t>
  </si>
  <si>
    <t>Dana Kesra</t>
  </si>
  <si>
    <t>Per  13  Januari  2025</t>
  </si>
  <si>
    <t>Windusari, 13  Januari   2026</t>
  </si>
  <si>
    <t>Per  20  Januari  2025</t>
  </si>
  <si>
    <t>Windusari, 20  Januari   2026</t>
  </si>
  <si>
    <t>Per  27  Januari  2026</t>
  </si>
  <si>
    <r>
      <rPr>
        <b/>
        <sz val="7"/>
        <color indexed="8"/>
        <rFont val="Footlight MT Light"/>
        <charset val="134"/>
      </rPr>
      <t xml:space="preserve">Badan Hukum No. </t>
    </r>
    <r>
      <rPr>
        <b/>
        <sz val="7"/>
        <color indexed="8"/>
        <rFont val="Times New Roman"/>
        <charset val="134"/>
      </rPr>
      <t>2/BH/XIV.1/II/2016 Tanggal 5 Februari 2016</t>
    </r>
  </si>
  <si>
    <t>Per  3 Februari  2026</t>
  </si>
  <si>
    <t>Windusari, 3 Februari   2026</t>
  </si>
  <si>
    <t>Per 10 Februari  2026</t>
  </si>
  <si>
    <t>Windusari, 10 Februari   2026</t>
  </si>
  <si>
    <t>Per 13 Februari  2026</t>
  </si>
  <si>
    <t>Windusari, 13 Februari   2026</t>
  </si>
  <si>
    <t>Per 17 Februari  2026</t>
  </si>
  <si>
    <t>Windusari, 17 Februari   2026</t>
  </si>
  <si>
    <t>Per 24 Februari  2026</t>
  </si>
  <si>
    <t>Oruwasaton</t>
  </si>
  <si>
    <t>24/2/26</t>
  </si>
  <si>
    <t>Budi Rahayu</t>
  </si>
  <si>
    <t>Jumini</t>
  </si>
  <si>
    <t>Tukimin</t>
  </si>
  <si>
    <t>Windusari, 24 Februari   2026</t>
  </si>
  <si>
    <t>Per 4  Maret  2026</t>
  </si>
  <si>
    <t>Hartini</t>
  </si>
  <si>
    <t>4/3/26</t>
  </si>
  <si>
    <t>Windusari, 4  Maret   2026</t>
  </si>
  <si>
    <t>Per 10  Maret  2026</t>
  </si>
  <si>
    <t>Slamet Suwanto</t>
  </si>
  <si>
    <t>10/3/26</t>
  </si>
  <si>
    <t>Mursono</t>
  </si>
  <si>
    <t>Windusari, 10  Maret   2026</t>
  </si>
  <si>
    <t>Per 17  Maret  2026</t>
  </si>
  <si>
    <t>Suwanto</t>
  </si>
  <si>
    <t>17/3/26</t>
  </si>
  <si>
    <t>Kartina</t>
  </si>
  <si>
    <t>Kono</t>
  </si>
  <si>
    <t>Windusari, 17  Maret   2026</t>
  </si>
  <si>
    <t>Per 24  Maret  2026</t>
  </si>
  <si>
    <t>Windusari, 24  Maret   2026</t>
  </si>
  <si>
    <t>Per 31  Maret  2026</t>
  </si>
  <si>
    <t>Suyono</t>
  </si>
  <si>
    <t>31/3/26</t>
  </si>
  <si>
    <t>Windusari, 31  Maret   2026</t>
  </si>
  <si>
    <t>Per 7 April  2026</t>
  </si>
  <si>
    <t>Windusari, 7 April   2026</t>
  </si>
  <si>
    <t>Per 14 April  2026</t>
  </si>
  <si>
    <t>14/4/26</t>
  </si>
  <si>
    <t>Windusari, 14 April   2026</t>
  </si>
  <si>
    <t>Per  21 April  2026</t>
  </si>
  <si>
    <t>Windusari, 21 April   2026</t>
  </si>
  <si>
    <t>Per  28  April  2026</t>
  </si>
  <si>
    <t>Windusari, 28  April   2026</t>
  </si>
  <si>
    <t>Per  5 Mei 2026</t>
  </si>
  <si>
    <t>Windusari, 5  Mei    2026</t>
  </si>
  <si>
    <t xml:space="preserve"> </t>
  </si>
  <si>
    <t>Per 12  Mei 2026</t>
  </si>
  <si>
    <t>2/5/26</t>
  </si>
  <si>
    <t>Darmo Wirya</t>
  </si>
  <si>
    <t>5/5/26</t>
  </si>
  <si>
    <t>Wahyu Dharmawan</t>
  </si>
  <si>
    <t>12/5/26</t>
  </si>
  <si>
    <t>Windusari, 12  Mei    2026</t>
  </si>
  <si>
    <t>Per 19  Mei 2026</t>
  </si>
  <si>
    <t>Adi Wahyono</t>
  </si>
  <si>
    <t>19/5/26</t>
  </si>
  <si>
    <t>Pardikin</t>
  </si>
  <si>
    <t>Windusari, 19  Mei    2026</t>
  </si>
  <si>
    <t>Per  26  Mei 2026</t>
  </si>
  <si>
    <t>Yati Sabar Suyanto</t>
  </si>
  <si>
    <t>26/5/26</t>
  </si>
  <si>
    <t>Windusari, 26  Mei    2026</t>
  </si>
  <si>
    <t>Per  2 Juni 2026</t>
  </si>
  <si>
    <t>2/6/26</t>
  </si>
  <si>
    <t>Windusari, 2 Juni    2026</t>
  </si>
  <si>
    <t>Per  9 Juni 2026</t>
  </si>
  <si>
    <t>Windusari,  9  Juni    2026</t>
  </si>
  <si>
    <t>Per  16  Juni 2026</t>
  </si>
  <si>
    <t>16/6/26</t>
  </si>
  <si>
    <t>Windusari, 16  Juni    2026</t>
  </si>
  <si>
    <t>Per  23  Juni 2026</t>
  </si>
  <si>
    <t>23/6/26</t>
  </si>
  <si>
    <t>Windusari, 23   Juni    2026</t>
  </si>
  <si>
    <t>Per  30  Juni 2026</t>
  </si>
  <si>
    <t>Parsih</t>
  </si>
  <si>
    <t>Marsih</t>
  </si>
  <si>
    <t>30/6/26</t>
  </si>
  <si>
    <t>Windusari,   30   Juni    2026</t>
  </si>
  <si>
    <t>Per  7  Juli 2026</t>
  </si>
  <si>
    <t>Windusari,   7  Juli    2026</t>
  </si>
  <si>
    <t>Per  14  Juli 2026</t>
  </si>
  <si>
    <t>14-07-26</t>
  </si>
  <si>
    <t>Windusari,   14  Juli    2026</t>
  </si>
  <si>
    <t>Per  21  Juli 2026</t>
  </si>
  <si>
    <t>Rusmini Cemles</t>
  </si>
  <si>
    <t>21-07-26</t>
  </si>
  <si>
    <t>Windusari,   21  Juli    2026</t>
  </si>
  <si>
    <t>Per  28  Juli 2026</t>
  </si>
  <si>
    <t>Windusari,   28  Juli    2026</t>
  </si>
  <si>
    <t>Per  4  Agustus  2026</t>
  </si>
  <si>
    <t>Windusari,   4  Agustus     2026</t>
  </si>
  <si>
    <t>Per  11  Agustus  2026</t>
  </si>
  <si>
    <t>11-8-26</t>
  </si>
  <si>
    <t>Windusari,   8  Agustus     2026</t>
  </si>
  <si>
    <t>Per  18  Agustus  2026</t>
  </si>
  <si>
    <t>Windusari,   18  Agustus    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</si>
</sst>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</numFmts>
  <fonts count="45">
    <font>
      <sz val="11"/>
      <color theme="1"/>
      <name val="Calibri"/>
      <charset val="134"/>
      <scheme val="minor"/>
    </font>
    <font>
      <sz val="8"/>
      <color indexed="8"/>
      <name val="Bookman Old Style"/>
      <charset val="134"/>
    </font>
    <font>
      <sz val="6"/>
      <color indexed="8"/>
      <name val="Bookman Old Style"/>
      <charset val="134"/>
    </font>
    <font>
      <b/>
      <sz val="8"/>
      <name val="Bookman Old Style"/>
      <charset val="134"/>
    </font>
    <font>
      <b/>
      <sz val="8"/>
      <color indexed="8"/>
      <name val="Footlight MT Light"/>
      <charset val="134"/>
    </font>
    <font>
      <sz val="8"/>
      <name val="Bookman Old Style"/>
      <charset val="134"/>
    </font>
    <font>
      <sz val="6"/>
      <name val="Bookman Old Style"/>
      <charset val="134"/>
    </font>
    <font>
      <sz val="8"/>
      <color indexed="8"/>
      <name val="Calibri"/>
      <charset val="134"/>
    </font>
    <font>
      <sz val="8"/>
      <name val="Bodoni Bk BT"/>
      <charset val="134"/>
    </font>
    <font>
      <b/>
      <sz val="8"/>
      <name val="Bodoni Bk BT"/>
      <charset val="134"/>
    </font>
    <font>
      <b/>
      <sz val="6"/>
      <name val="Bodoni Bk BT"/>
      <charset val="134"/>
    </font>
    <font>
      <b/>
      <sz val="8"/>
      <color indexed="8"/>
      <name val="Bodoni Bk BT"/>
      <charset val="134"/>
    </font>
    <font>
      <sz val="10"/>
      <color theme="1"/>
      <name val="Times New Roman"/>
      <charset val="134"/>
    </font>
    <font>
      <sz val="7"/>
      <color indexed="8"/>
      <name val="Bookman Old Style"/>
      <charset val="134"/>
    </font>
    <font>
      <b/>
      <sz val="7"/>
      <name val="Bookman Old Style"/>
      <charset val="134"/>
    </font>
    <font>
      <b/>
      <sz val="7"/>
      <color indexed="8"/>
      <name val="Footlight MT Light"/>
      <charset val="134"/>
    </font>
    <font>
      <sz val="7"/>
      <name val="Bookman Old Style"/>
      <charset val="134"/>
    </font>
    <font>
      <sz val="7"/>
      <color indexed="8"/>
      <name val="Calibri"/>
      <charset val="134"/>
    </font>
    <font>
      <sz val="7"/>
      <name val="Bodoni Bk BT"/>
      <charset val="134"/>
    </font>
    <font>
      <b/>
      <sz val="7"/>
      <name val="Bodoni Bk BT"/>
      <charset val="134"/>
    </font>
    <font>
      <b/>
      <sz val="7"/>
      <color indexed="8"/>
      <name val="Bodoni Bk BT"/>
      <charset val="134"/>
    </font>
    <font>
      <sz val="7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indexed="8"/>
      <name val="Times New Roman"/>
      <charset val="134"/>
    </font>
    <font>
      <b/>
      <sz val="7"/>
      <color indexed="8"/>
      <name val="Times New Roman"/>
      <charset val="134"/>
    </font>
    <font>
      <b/>
      <sz val="9"/>
      <name val="Calibri"/>
      <charset val="0"/>
      <scheme val="minor"/>
    </font>
    <font>
      <sz val="9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6" applyNumberFormat="0" applyAlignment="0" applyProtection="0">
      <alignment vertical="center"/>
    </xf>
    <xf numFmtId="0" fontId="31" fillId="6" borderId="17" applyNumberFormat="0" applyAlignment="0" applyProtection="0">
      <alignment vertical="center"/>
    </xf>
    <xf numFmtId="0" fontId="32" fillId="6" borderId="16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127">
    <xf numFmtId="0" fontId="0" fillId="0" borderId="0" xfId="0"/>
    <xf numFmtId="3" fontId="1" fillId="2" borderId="0" xfId="0" applyNumberFormat="1" applyFont="1" applyFill="1"/>
    <xf numFmtId="3" fontId="2" fillId="2" borderId="0" xfId="0" applyNumberFormat="1" applyFont="1" applyFill="1"/>
    <xf numFmtId="3" fontId="1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5" fillId="2" borderId="1" xfId="0" applyNumberFormat="1" applyFont="1" applyFill="1" applyBorder="1"/>
    <xf numFmtId="3" fontId="6" fillId="2" borderId="1" xfId="0" applyNumberFormat="1" applyFont="1" applyFill="1" applyBorder="1"/>
    <xf numFmtId="3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178" fontId="5" fillId="2" borderId="2" xfId="0" applyNumberFormat="1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center"/>
    </xf>
    <xf numFmtId="3" fontId="5" fillId="2" borderId="10" xfId="0" applyNumberFormat="1" applyFont="1" applyFill="1" applyBorder="1"/>
    <xf numFmtId="178" fontId="5" fillId="2" borderId="10" xfId="0" applyNumberFormat="1" applyFont="1" applyFill="1" applyBorder="1" applyAlignment="1">
      <alignment horizontal="center"/>
    </xf>
    <xf numFmtId="3" fontId="1" fillId="2" borderId="10" xfId="0" applyNumberFormat="1" applyFont="1" applyFill="1" applyBorder="1"/>
    <xf numFmtId="3" fontId="1" fillId="2" borderId="10" xfId="0" applyNumberFormat="1" applyFont="1" applyFill="1" applyBorder="1" applyAlignment="1">
      <alignment horizontal="center"/>
    </xf>
    <xf numFmtId="178" fontId="6" fillId="2" borderId="10" xfId="0" applyNumberFormat="1" applyFont="1" applyFill="1" applyBorder="1" applyAlignment="1">
      <alignment horizontal="center"/>
    </xf>
    <xf numFmtId="3" fontId="8" fillId="2" borderId="10" xfId="0" applyNumberFormat="1" applyFont="1" applyFill="1" applyBorder="1" applyAlignment="1">
      <alignment vertical="center"/>
    </xf>
    <xf numFmtId="3" fontId="9" fillId="2" borderId="5" xfId="0" applyNumberFormat="1" applyFont="1" applyFill="1" applyBorder="1" applyAlignment="1">
      <alignment horizontal="left" vertical="center"/>
    </xf>
    <xf numFmtId="3" fontId="10" fillId="2" borderId="7" xfId="0" applyNumberFormat="1" applyFont="1" applyFill="1" applyBorder="1" applyAlignment="1">
      <alignment horizontal="left" vertical="center"/>
    </xf>
    <xf numFmtId="3" fontId="11" fillId="2" borderId="7" xfId="0" applyNumberFormat="1" applyFont="1" applyFill="1" applyBorder="1" applyAlignment="1">
      <alignment vertical="center"/>
    </xf>
    <xf numFmtId="3" fontId="11" fillId="2" borderId="7" xfId="0" applyNumberFormat="1" applyFont="1" applyFill="1" applyBorder="1" applyAlignment="1">
      <alignment horizontal="center" vertical="center"/>
    </xf>
    <xf numFmtId="3" fontId="5" fillId="2" borderId="0" xfId="0" applyNumberFormat="1" applyFont="1" applyFill="1"/>
    <xf numFmtId="3" fontId="6" fillId="2" borderId="0" xfId="0" applyNumberFormat="1" applyFont="1" applyFill="1"/>
    <xf numFmtId="0" fontId="12" fillId="2" borderId="0" xfId="0" applyFont="1" applyFill="1"/>
    <xf numFmtId="3" fontId="6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left"/>
    </xf>
    <xf numFmtId="3" fontId="5" fillId="2" borderId="0" xfId="0" applyNumberFormat="1" applyFont="1" applyFill="1" applyAlignment="1">
      <alignment horizontal="left" indent="5"/>
    </xf>
    <xf numFmtId="3" fontId="5" fillId="2" borderId="11" xfId="0" applyNumberFormat="1" applyFont="1" applyFill="1" applyBorder="1"/>
    <xf numFmtId="3" fontId="6" fillId="2" borderId="11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left"/>
    </xf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3" fontId="5" fillId="0" borderId="1" xfId="0" applyNumberFormat="1" applyFont="1" applyBorder="1"/>
    <xf numFmtId="3" fontId="6" fillId="0" borderId="1" xfId="0" applyNumberFormat="1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178" fontId="5" fillId="0" borderId="2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/>
    </xf>
    <xf numFmtId="3" fontId="5" fillId="0" borderId="10" xfId="0" applyNumberFormat="1" applyFont="1" applyBorder="1"/>
    <xf numFmtId="178" fontId="5" fillId="0" borderId="10" xfId="0" applyNumberFormat="1" applyFont="1" applyBorder="1" applyAlignment="1">
      <alignment horizontal="center"/>
    </xf>
    <xf numFmtId="3" fontId="1" fillId="0" borderId="10" xfId="0" applyNumberFormat="1" applyFont="1" applyBorder="1"/>
    <xf numFmtId="3" fontId="1" fillId="0" borderId="10" xfId="0" applyNumberFormat="1" applyFont="1" applyBorder="1" applyAlignment="1">
      <alignment horizontal="center"/>
    </xf>
    <xf numFmtId="3" fontId="1" fillId="3" borderId="10" xfId="0" applyNumberFormat="1" applyFont="1" applyFill="1" applyBorder="1"/>
    <xf numFmtId="178" fontId="6" fillId="0" borderId="10" xfId="0" applyNumberFormat="1" applyFont="1" applyBorder="1" applyAlignment="1">
      <alignment horizontal="center"/>
    </xf>
    <xf numFmtId="3" fontId="8" fillId="0" borderId="10" xfId="0" applyNumberFormat="1" applyFont="1" applyBorder="1" applyAlignment="1">
      <alignment vertical="center"/>
    </xf>
    <xf numFmtId="3" fontId="9" fillId="0" borderId="5" xfId="0" applyNumberFormat="1" applyFont="1" applyBorder="1" applyAlignment="1">
      <alignment horizontal="left" vertical="center"/>
    </xf>
    <xf numFmtId="3" fontId="10" fillId="0" borderId="7" xfId="0" applyNumberFormat="1" applyFont="1" applyBorder="1" applyAlignment="1">
      <alignment horizontal="left" vertical="center"/>
    </xf>
    <xf numFmtId="3" fontId="11" fillId="0" borderId="7" xfId="0" applyNumberFormat="1" applyFont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/>
    </xf>
    <xf numFmtId="3" fontId="5" fillId="0" borderId="0" xfId="0" applyNumberFormat="1" applyFont="1"/>
    <xf numFmtId="3" fontId="6" fillId="0" borderId="0" xfId="0" applyNumberFormat="1" applyFont="1"/>
    <xf numFmtId="0" fontId="12" fillId="0" borderId="0" xfId="0" applyFont="1"/>
    <xf numFmtId="3" fontId="6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 indent="5"/>
    </xf>
    <xf numFmtId="3" fontId="5" fillId="0" borderId="11" xfId="0" applyNumberFormat="1" applyFont="1" applyBorder="1"/>
    <xf numFmtId="3" fontId="6" fillId="0" borderId="1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left"/>
    </xf>
    <xf numFmtId="3" fontId="5" fillId="0" borderId="12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13" fillId="0" borderId="0" xfId="0" applyNumberFormat="1" applyFont="1"/>
    <xf numFmtId="3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3" fontId="16" fillId="0" borderId="1" xfId="0" applyNumberFormat="1" applyFont="1" applyBorder="1"/>
    <xf numFmtId="3" fontId="13" fillId="0" borderId="1" xfId="0" applyNumberFormat="1" applyFont="1" applyBorder="1"/>
    <xf numFmtId="178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/>
    </xf>
    <xf numFmtId="3" fontId="16" fillId="0" borderId="10" xfId="0" applyNumberFormat="1" applyFont="1" applyBorder="1"/>
    <xf numFmtId="178" fontId="16" fillId="0" borderId="10" xfId="0" applyNumberFormat="1" applyFont="1" applyBorder="1" applyAlignment="1">
      <alignment horizontal="center"/>
    </xf>
    <xf numFmtId="3" fontId="13" fillId="0" borderId="10" xfId="0" applyNumberFormat="1" applyFont="1" applyBorder="1"/>
    <xf numFmtId="3" fontId="18" fillId="0" borderId="10" xfId="0" applyNumberFormat="1" applyFont="1" applyBorder="1" applyAlignment="1">
      <alignment vertical="center"/>
    </xf>
    <xf numFmtId="3" fontId="19" fillId="0" borderId="5" xfId="0" applyNumberFormat="1" applyFont="1" applyBorder="1" applyAlignment="1">
      <alignment horizontal="left" vertical="center"/>
    </xf>
    <xf numFmtId="3" fontId="19" fillId="0" borderId="7" xfId="0" applyNumberFormat="1" applyFont="1" applyBorder="1" applyAlignment="1">
      <alignment horizontal="left" vertical="center"/>
    </xf>
    <xf numFmtId="3" fontId="20" fillId="0" borderId="7" xfId="0" applyNumberFormat="1" applyFont="1" applyBorder="1" applyAlignment="1">
      <alignment vertical="center"/>
    </xf>
    <xf numFmtId="3" fontId="16" fillId="0" borderId="0" xfId="0" applyNumberFormat="1" applyFont="1"/>
    <xf numFmtId="0" fontId="21" fillId="0" borderId="0" xfId="0" applyFont="1"/>
    <xf numFmtId="3" fontId="16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left"/>
    </xf>
    <xf numFmtId="3" fontId="16" fillId="0" borderId="0" xfId="0" applyNumberFormat="1" applyFont="1" applyAlignment="1">
      <alignment horizontal="left" indent="5"/>
    </xf>
    <xf numFmtId="3" fontId="16" fillId="0" borderId="11" xfId="0" applyNumberFormat="1" applyFont="1" applyBorder="1"/>
    <xf numFmtId="3" fontId="16" fillId="0" borderId="11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left"/>
    </xf>
    <xf numFmtId="3" fontId="5" fillId="0" borderId="7" xfId="0" applyNumberFormat="1" applyFont="1" applyBorder="1"/>
    <xf numFmtId="178" fontId="5" fillId="0" borderId="10" xfId="0" applyNumberFormat="1" applyFont="1" applyBorder="1" applyAlignment="1" quotePrefix="1">
      <alignment horizontal="center"/>
    </xf>
    <xf numFmtId="3" fontId="5" fillId="0" borderId="10" xfId="0" applyNumberFormat="1" applyFont="1" applyBorder="1" applyAlignment="1" quotePrefix="1">
      <alignment horizontal="center"/>
    </xf>
    <xf numFmtId="3" fontId="5" fillId="0" borderId="0" xfId="0" applyNumberFormat="1" applyFont="1" applyAlignment="1" quotePrefix="1">
      <alignment horizontal="left"/>
    </xf>
    <xf numFmtId="178" fontId="16" fillId="0" borderId="10" xfId="0" applyNumberFormat="1" applyFont="1" applyBorder="1" applyAlignment="1" quotePrefix="1">
      <alignment horizontal="center"/>
    </xf>
    <xf numFmtId="3" fontId="16" fillId="0" borderId="10" xfId="0" applyNumberFormat="1" applyFont="1" applyBorder="1" applyAlignment="1" quotePrefix="1">
      <alignment horizontal="center"/>
    </xf>
    <xf numFmtId="3" fontId="16" fillId="0" borderId="0" xfId="0" applyNumberFormat="1" applyFont="1" applyAlignment="1" quotePrefix="1">
      <alignment horizontal="left"/>
    </xf>
    <xf numFmtId="178" fontId="5" fillId="2" borderId="10" xfId="0" applyNumberFormat="1" applyFont="1" applyFill="1" applyBorder="1" applyAlignment="1" quotePrefix="1">
      <alignment horizontal="center"/>
    </xf>
    <xf numFmtId="3" fontId="5" fillId="2" borderId="10" xfId="0" applyNumberFormat="1" applyFont="1" applyFill="1" applyBorder="1" applyAlignment="1" quotePrefix="1">
      <alignment horizontal="center"/>
    </xf>
    <xf numFmtId="3" fontId="5" fillId="2" borderId="0" xfId="0" applyNumberFormat="1" applyFont="1" applyFill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14654</xdr:rowOff>
    </xdr:from>
    <xdr:to>
      <xdr:col>1</xdr:col>
      <xdr:colOff>484414</xdr:colOff>
      <xdr:row>2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06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14654</xdr:rowOff>
    </xdr:from>
    <xdr:to>
      <xdr:col>1</xdr:col>
      <xdr:colOff>484414</xdr:colOff>
      <xdr:row>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45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14654</xdr:rowOff>
    </xdr:from>
    <xdr:to>
      <xdr:col>1</xdr:col>
      <xdr:colOff>484414</xdr:colOff>
      <xdr:row>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2882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14654</xdr:rowOff>
    </xdr:from>
    <xdr:to>
      <xdr:col>1</xdr:col>
      <xdr:colOff>484414</xdr:colOff>
      <xdr:row>2</xdr:row>
      <xdr:rowOff>11430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2806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205161</xdr:colOff>
      <xdr:row>0</xdr:row>
      <xdr:rowOff>14653</xdr:rowOff>
    </xdr:from>
    <xdr:to>
      <xdr:col>1</xdr:col>
      <xdr:colOff>312566</xdr:colOff>
      <xdr:row>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02590" cy="3435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47624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162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20954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2895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76814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454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86018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56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501015</xdr:colOff>
      <xdr:row>2</xdr:row>
      <xdr:rowOff>168910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4381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123264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924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66114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3352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205160</xdr:colOff>
      <xdr:row>0</xdr:row>
      <xdr:rowOff>14653</xdr:rowOff>
    </xdr:from>
    <xdr:to>
      <xdr:col>1</xdr:col>
      <xdr:colOff>484414</xdr:colOff>
      <xdr:row>2</xdr:row>
      <xdr:rowOff>8964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574040" cy="2781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246380</xdr:colOff>
      <xdr:row>2</xdr:row>
      <xdr:rowOff>75565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336550" cy="3448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246380</xdr:colOff>
      <xdr:row>2</xdr:row>
      <xdr:rowOff>35560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336550" cy="3448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205105</xdr:colOff>
      <xdr:row>0</xdr:row>
      <xdr:rowOff>14605</xdr:rowOff>
    </xdr:from>
    <xdr:to>
      <xdr:col>1</xdr:col>
      <xdr:colOff>352425</xdr:colOff>
      <xdr:row>2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05" y="14605"/>
          <a:ext cx="442595" cy="45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comments" Target="../comments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workbookViewId="0">
      <selection activeCell="J19" sqref="J19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6.42857142857143" style="45" customWidth="1"/>
    <col min="6" max="6" width="10.7142857142857" style="45" customWidth="1"/>
    <col min="7" max="7" width="11.2857142857143" style="45" customWidth="1"/>
    <col min="8" max="8" width="12" style="45" customWidth="1"/>
    <col min="9" max="9" width="13.1428571428571" style="45" customWidth="1"/>
    <col min="10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4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126">
        <v>5500000</v>
      </c>
      <c r="E9" s="69"/>
      <c r="F9" s="69">
        <v>0</v>
      </c>
      <c r="G9" s="69">
        <f t="shared" ref="G9:H24" si="0">SUM(E9:F9)</f>
        <v>0</v>
      </c>
      <c r="H9" s="71">
        <f t="shared" si="0"/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126"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126">
        <v>1750000</v>
      </c>
      <c r="E11" s="69"/>
      <c r="F11" s="69"/>
      <c r="G11" s="69"/>
      <c r="H11" s="71">
        <f t="shared" si="0"/>
        <v>0</v>
      </c>
      <c r="I11" s="71">
        <f t="shared" si="2"/>
        <v>1750000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126"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126"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126"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126"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126"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126">
        <v>6500000</v>
      </c>
      <c r="E17" s="69"/>
      <c r="F17" s="69"/>
      <c r="G17" s="69"/>
      <c r="H17" s="71">
        <f t="shared" si="0"/>
        <v>0</v>
      </c>
      <c r="I17" s="71">
        <f t="shared" si="2"/>
        <v>6500000</v>
      </c>
      <c r="J17" s="69">
        <f t="shared" si="1"/>
        <v>0</v>
      </c>
    </row>
    <row r="18" ht="12.75" spans="1:10">
      <c r="A18" s="68">
        <v>10</v>
      </c>
      <c r="B18" s="69" t="s">
        <v>33</v>
      </c>
      <c r="C18" s="128" t="s">
        <v>34</v>
      </c>
      <c r="D18" s="126">
        <v>13195000</v>
      </c>
      <c r="E18" s="69"/>
      <c r="F18" s="69"/>
      <c r="G18" s="69"/>
      <c r="H18" s="71">
        <f t="shared" si="0"/>
        <v>0</v>
      </c>
      <c r="I18" s="71">
        <f t="shared" si="2"/>
        <v>13195000</v>
      </c>
      <c r="J18" s="69">
        <f t="shared" si="1"/>
        <v>0</v>
      </c>
    </row>
    <row r="19" ht="12.75" spans="1:10">
      <c r="A19" s="68">
        <v>14</v>
      </c>
      <c r="B19" s="69" t="s">
        <v>35</v>
      </c>
      <c r="C19" s="128" t="s">
        <v>36</v>
      </c>
      <c r="D19" s="126">
        <v>4250000</v>
      </c>
      <c r="E19" s="69">
        <v>4</v>
      </c>
      <c r="F19" s="69">
        <v>250000</v>
      </c>
      <c r="G19" s="69">
        <v>100000</v>
      </c>
      <c r="H19" s="73">
        <f t="shared" si="0"/>
        <v>350000</v>
      </c>
      <c r="I19" s="71">
        <f t="shared" si="2"/>
        <v>4000000</v>
      </c>
      <c r="J19" s="69">
        <f t="shared" si="1"/>
        <v>10000</v>
      </c>
    </row>
    <row r="20" ht="12.75" spans="1:10">
      <c r="A20" s="68">
        <v>18</v>
      </c>
      <c r="B20" s="69" t="s">
        <v>37</v>
      </c>
      <c r="C20" s="128" t="s">
        <v>38</v>
      </c>
      <c r="D20" s="126"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126"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126">
        <v>9380000</v>
      </c>
      <c r="E22" s="69">
        <v>9</v>
      </c>
      <c r="F22" s="69">
        <v>9380000</v>
      </c>
      <c r="G22" s="69">
        <v>2450000</v>
      </c>
      <c r="H22" s="71">
        <f t="shared" si="0"/>
        <v>11830000</v>
      </c>
      <c r="I22" s="71">
        <f t="shared" si="2"/>
        <v>0</v>
      </c>
      <c r="J22" s="69">
        <f t="shared" si="1"/>
        <v>245000</v>
      </c>
    </row>
    <row r="23" ht="12.75" spans="1:10">
      <c r="A23" s="68">
        <v>23</v>
      </c>
      <c r="B23" s="69" t="s">
        <v>43</v>
      </c>
      <c r="C23" s="128" t="s">
        <v>42</v>
      </c>
      <c r="D23" s="126"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126"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126">
        <v>22200000</v>
      </c>
      <c r="E25" s="69"/>
      <c r="F25" s="69"/>
      <c r="G25" s="69"/>
      <c r="H25" s="71">
        <f t="shared" ref="H25:H186" si="3">SUM(F25:G25)</f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126">
        <v>4800000</v>
      </c>
      <c r="E26" s="69">
        <v>7</v>
      </c>
      <c r="F26" s="69">
        <v>1000000</v>
      </c>
      <c r="G26" s="69">
        <v>200000</v>
      </c>
      <c r="H26" s="71">
        <f t="shared" si="3"/>
        <v>1200000</v>
      </c>
      <c r="I26" s="71">
        <f t="shared" si="2"/>
        <v>3800000</v>
      </c>
      <c r="J26" s="69">
        <f t="shared" si="1"/>
        <v>20000</v>
      </c>
    </row>
    <row r="27" ht="12.75" spans="1:10">
      <c r="A27" s="68">
        <v>29</v>
      </c>
      <c r="B27" s="69" t="s">
        <v>49</v>
      </c>
      <c r="C27" s="128" t="s">
        <v>50</v>
      </c>
      <c r="D27" s="126">
        <v>1030000</v>
      </c>
      <c r="E27" s="69"/>
      <c r="F27" s="69"/>
      <c r="G27" s="69"/>
      <c r="H27" s="71">
        <f t="shared" si="3"/>
        <v>0</v>
      </c>
      <c r="I27" s="71">
        <f t="shared" si="2"/>
        <v>1030000</v>
      </c>
      <c r="J27" s="69">
        <f t="shared" si="1"/>
        <v>0</v>
      </c>
    </row>
    <row r="28" ht="12.75" spans="1:10">
      <c r="A28" s="68">
        <v>30</v>
      </c>
      <c r="B28" s="69" t="s">
        <v>51</v>
      </c>
      <c r="C28" s="128" t="s">
        <v>52</v>
      </c>
      <c r="D28" s="126">
        <v>1500000</v>
      </c>
      <c r="E28" s="69"/>
      <c r="F28" s="69"/>
      <c r="G28" s="69"/>
      <c r="H28" s="71">
        <f t="shared" si="3"/>
        <v>0</v>
      </c>
      <c r="I28" s="71">
        <f t="shared" si="2"/>
        <v>1500000</v>
      </c>
      <c r="J28" s="69">
        <f t="shared" si="1"/>
        <v>0</v>
      </c>
    </row>
    <row r="29" ht="12.75" spans="1:10">
      <c r="A29" s="68">
        <v>31</v>
      </c>
      <c r="B29" s="69" t="s">
        <v>53</v>
      </c>
      <c r="C29" s="128" t="s">
        <v>54</v>
      </c>
      <c r="D29" s="126">
        <v>14000000</v>
      </c>
      <c r="E29" s="69">
        <v>4</v>
      </c>
      <c r="F29" s="69">
        <v>14000000</v>
      </c>
      <c r="G29" s="69">
        <v>3000000</v>
      </c>
      <c r="H29" s="71">
        <f t="shared" si="3"/>
        <v>17000000</v>
      </c>
      <c r="I29" s="71">
        <f t="shared" si="2"/>
        <v>0</v>
      </c>
      <c r="J29" s="69">
        <f t="shared" si="1"/>
        <v>300000</v>
      </c>
    </row>
    <row r="30" ht="12.75" spans="1:10">
      <c r="A30" s="68">
        <v>33</v>
      </c>
      <c r="B30" s="69" t="s">
        <v>55</v>
      </c>
      <c r="C30" s="128" t="s">
        <v>56</v>
      </c>
      <c r="D30" s="126">
        <v>2750000</v>
      </c>
      <c r="E30" s="69"/>
      <c r="F30" s="69"/>
      <c r="G30" s="69"/>
      <c r="H30" s="71">
        <f t="shared" si="3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126">
        <v>1500000</v>
      </c>
      <c r="E31" s="69"/>
      <c r="F31" s="69"/>
      <c r="G31" s="69"/>
      <c r="H31" s="71">
        <f t="shared" si="3"/>
        <v>0</v>
      </c>
      <c r="I31" s="71">
        <f t="shared" si="2"/>
        <v>1500000</v>
      </c>
      <c r="J31" s="69">
        <f t="shared" si="1"/>
        <v>0</v>
      </c>
    </row>
    <row r="32" ht="12.75" spans="1:10">
      <c r="A32" s="68">
        <v>35</v>
      </c>
      <c r="B32" s="69" t="s">
        <v>59</v>
      </c>
      <c r="C32" s="128" t="s">
        <v>58</v>
      </c>
      <c r="D32" s="126">
        <v>12000000</v>
      </c>
      <c r="E32" s="69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126">
        <v>750000</v>
      </c>
      <c r="E33" s="69"/>
      <c r="F33" s="69"/>
      <c r="G33" s="69"/>
      <c r="H33" s="71">
        <f t="shared" si="3"/>
        <v>0</v>
      </c>
      <c r="I33" s="71">
        <f t="shared" si="2"/>
        <v>750000</v>
      </c>
      <c r="J33" s="69">
        <f t="shared" si="1"/>
        <v>0</v>
      </c>
    </row>
    <row r="34" ht="12.75" spans="1:10">
      <c r="A34" s="68">
        <v>43</v>
      </c>
      <c r="B34" s="69" t="s">
        <v>62</v>
      </c>
      <c r="C34" s="127" t="s">
        <v>63</v>
      </c>
      <c r="D34" s="126">
        <v>2800000</v>
      </c>
      <c r="E34" s="69"/>
      <c r="F34" s="69"/>
      <c r="G34" s="69"/>
      <c r="H34" s="71">
        <f t="shared" si="3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126">
        <v>3500000</v>
      </c>
      <c r="E35" s="69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126">
        <v>12000000</v>
      </c>
      <c r="E36" s="69"/>
      <c r="F36" s="69"/>
      <c r="G36" s="69"/>
      <c r="H36" s="71">
        <f t="shared" si="3"/>
        <v>0</v>
      </c>
      <c r="I36" s="71">
        <f t="shared" si="2"/>
        <v>12000000</v>
      </c>
      <c r="J36" s="69">
        <f t="shared" si="1"/>
        <v>0</v>
      </c>
    </row>
    <row r="37" ht="12.75" spans="1:10">
      <c r="A37" s="68">
        <v>49</v>
      </c>
      <c r="B37" s="69" t="s">
        <v>67</v>
      </c>
      <c r="C37" s="127" t="s">
        <v>68</v>
      </c>
      <c r="D37" s="126">
        <v>1250000</v>
      </c>
      <c r="E37" s="69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126">
        <v>5800000</v>
      </c>
      <c r="E38" s="69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126">
        <v>14320000</v>
      </c>
      <c r="E39" s="69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126">
        <v>400000</v>
      </c>
      <c r="E40" s="69"/>
      <c r="F40" s="69"/>
      <c r="G40" s="69"/>
      <c r="H40" s="71">
        <f t="shared" si="3"/>
        <v>0</v>
      </c>
      <c r="I40" s="71">
        <f t="shared" si="2"/>
        <v>400000</v>
      </c>
      <c r="J40" s="69">
        <f t="shared" si="1"/>
        <v>0</v>
      </c>
    </row>
    <row r="41" ht="12.75" spans="1:10">
      <c r="A41" s="68">
        <v>64</v>
      </c>
      <c r="B41" s="69" t="s">
        <v>75</v>
      </c>
      <c r="C41" s="127" t="s">
        <v>76</v>
      </c>
      <c r="D41" s="126">
        <v>2100000</v>
      </c>
      <c r="E41" s="69"/>
      <c r="F41" s="69"/>
      <c r="G41" s="69"/>
      <c r="H41" s="71">
        <f t="shared" si="3"/>
        <v>0</v>
      </c>
      <c r="I41" s="71">
        <f t="shared" si="2"/>
        <v>2100000</v>
      </c>
      <c r="J41" s="69">
        <f t="shared" si="1"/>
        <v>0</v>
      </c>
    </row>
    <row r="42" ht="12.75" spans="1:10">
      <c r="A42" s="68">
        <v>65</v>
      </c>
      <c r="B42" s="69" t="s">
        <v>77</v>
      </c>
      <c r="C42" s="127" t="s">
        <v>78</v>
      </c>
      <c r="D42" s="126">
        <v>1500000</v>
      </c>
      <c r="E42" s="69"/>
      <c r="F42" s="69"/>
      <c r="G42" s="69"/>
      <c r="H42" s="71">
        <f t="shared" si="3"/>
        <v>0</v>
      </c>
      <c r="I42" s="71">
        <f t="shared" si="2"/>
        <v>1500000</v>
      </c>
      <c r="J42" s="69">
        <f t="shared" si="1"/>
        <v>0</v>
      </c>
    </row>
    <row r="43" ht="12.75" spans="1:10">
      <c r="A43" s="68">
        <v>69</v>
      </c>
      <c r="B43" s="69" t="s">
        <v>79</v>
      </c>
      <c r="C43" s="127" t="s">
        <v>80</v>
      </c>
      <c r="D43" s="126">
        <v>6000000</v>
      </c>
      <c r="E43" s="69"/>
      <c r="F43" s="69"/>
      <c r="G43" s="69"/>
      <c r="H43" s="71">
        <f t="shared" si="3"/>
        <v>0</v>
      </c>
      <c r="I43" s="71">
        <f t="shared" si="2"/>
        <v>6000000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126">
        <v>11000000</v>
      </c>
      <c r="E44" s="69"/>
      <c r="F44" s="69"/>
      <c r="G44" s="69"/>
      <c r="H44" s="71">
        <f t="shared" si="3"/>
        <v>0</v>
      </c>
      <c r="I44" s="71">
        <f t="shared" si="2"/>
        <v>11000000</v>
      </c>
      <c r="J44" s="69">
        <f t="shared" si="1"/>
        <v>0</v>
      </c>
    </row>
    <row r="45" ht="12.75" spans="1:10">
      <c r="A45" s="68">
        <v>71</v>
      </c>
      <c r="B45" s="69" t="s">
        <v>83</v>
      </c>
      <c r="C45" s="70" t="s">
        <v>84</v>
      </c>
      <c r="D45" s="126">
        <v>11250000</v>
      </c>
      <c r="E45" s="69"/>
      <c r="F45" s="69"/>
      <c r="G45" s="69"/>
      <c r="H45" s="71">
        <f t="shared" si="3"/>
        <v>0</v>
      </c>
      <c r="I45" s="71">
        <f t="shared" si="2"/>
        <v>11250000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126">
        <v>750000</v>
      </c>
      <c r="E46" s="69"/>
      <c r="F46" s="69"/>
      <c r="G46" s="69"/>
      <c r="H46" s="71">
        <f t="shared" si="3"/>
        <v>0</v>
      </c>
      <c r="I46" s="71">
        <f t="shared" si="2"/>
        <v>750000</v>
      </c>
      <c r="J46" s="69">
        <f t="shared" si="1"/>
        <v>0</v>
      </c>
    </row>
    <row r="47" ht="12.75" spans="1:10">
      <c r="A47" s="68">
        <v>76</v>
      </c>
      <c r="B47" s="69" t="s">
        <v>87</v>
      </c>
      <c r="C47" s="127" t="s">
        <v>88</v>
      </c>
      <c r="D47" s="126">
        <v>9900000</v>
      </c>
      <c r="E47" s="69"/>
      <c r="F47" s="69"/>
      <c r="G47" s="69"/>
      <c r="H47" s="71">
        <f t="shared" si="3"/>
        <v>0</v>
      </c>
      <c r="I47" s="71">
        <f t="shared" si="2"/>
        <v>9900000</v>
      </c>
      <c r="J47" s="69">
        <f t="shared" si="1"/>
        <v>0</v>
      </c>
    </row>
    <row r="48" ht="12.75" spans="1:10">
      <c r="A48" s="68">
        <v>77</v>
      </c>
      <c r="B48" s="69" t="s">
        <v>89</v>
      </c>
      <c r="C48" s="127" t="s">
        <v>88</v>
      </c>
      <c r="D48" s="126">
        <v>1400000</v>
      </c>
      <c r="E48" s="69">
        <v>9</v>
      </c>
      <c r="F48" s="69">
        <v>200000</v>
      </c>
      <c r="G48" s="69">
        <v>60000</v>
      </c>
      <c r="H48" s="71">
        <f t="shared" si="3"/>
        <v>260000</v>
      </c>
      <c r="I48" s="71">
        <f t="shared" si="2"/>
        <v>1200000</v>
      </c>
      <c r="J48" s="69">
        <f t="shared" si="1"/>
        <v>6000</v>
      </c>
    </row>
    <row r="49" ht="12.75" spans="1:10">
      <c r="A49" s="68">
        <v>80</v>
      </c>
      <c r="B49" s="69" t="s">
        <v>90</v>
      </c>
      <c r="C49" s="127" t="s">
        <v>91</v>
      </c>
      <c r="D49" s="126">
        <v>9900000</v>
      </c>
      <c r="E49" s="69"/>
      <c r="F49" s="69"/>
      <c r="G49" s="69"/>
      <c r="H49" s="71">
        <f t="shared" si="3"/>
        <v>0</v>
      </c>
      <c r="I49" s="71">
        <f t="shared" si="2"/>
        <v>9900000</v>
      </c>
      <c r="J49" s="69">
        <f t="shared" si="1"/>
        <v>0</v>
      </c>
    </row>
    <row r="50" ht="12.75" spans="1:10">
      <c r="A50" s="68">
        <v>82</v>
      </c>
      <c r="B50" s="69" t="s">
        <v>92</v>
      </c>
      <c r="C50" s="127" t="s">
        <v>93</v>
      </c>
      <c r="D50" s="126">
        <v>300000</v>
      </c>
      <c r="E50" s="69">
        <v>10</v>
      </c>
      <c r="F50" s="69">
        <v>300000</v>
      </c>
      <c r="G50" s="69">
        <v>60000</v>
      </c>
      <c r="H50" s="71">
        <f t="shared" si="3"/>
        <v>360000</v>
      </c>
      <c r="I50" s="71">
        <f t="shared" si="2"/>
        <v>0</v>
      </c>
      <c r="J50" s="69">
        <f t="shared" si="1"/>
        <v>6000</v>
      </c>
    </row>
    <row r="51" ht="12.75" spans="1:10">
      <c r="A51" s="68">
        <v>86</v>
      </c>
      <c r="B51" s="69" t="s">
        <v>94</v>
      </c>
      <c r="C51" s="70" t="s">
        <v>95</v>
      </c>
      <c r="D51" s="126">
        <v>16400000</v>
      </c>
      <c r="E51" s="69"/>
      <c r="F51" s="69"/>
      <c r="G51" s="69"/>
      <c r="H51" s="71">
        <f t="shared" si="3"/>
        <v>0</v>
      </c>
      <c r="I51" s="71">
        <f t="shared" si="2"/>
        <v>16400000</v>
      </c>
      <c r="J51" s="69">
        <f t="shared" si="1"/>
        <v>0</v>
      </c>
    </row>
    <row r="52" ht="12.75" spans="1:10">
      <c r="A52" s="68">
        <v>87</v>
      </c>
      <c r="B52" s="69" t="s">
        <v>96</v>
      </c>
      <c r="C52" s="70" t="s">
        <v>97</v>
      </c>
      <c r="D52" s="126">
        <v>25400000</v>
      </c>
      <c r="E52" s="69"/>
      <c r="F52" s="69"/>
      <c r="G52" s="69"/>
      <c r="H52" s="71">
        <f t="shared" si="3"/>
        <v>0</v>
      </c>
      <c r="I52" s="71">
        <f t="shared" si="2"/>
        <v>25400000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126">
        <v>200000</v>
      </c>
      <c r="E53" s="69">
        <v>9</v>
      </c>
      <c r="F53" s="69">
        <v>100000</v>
      </c>
      <c r="G53" s="69">
        <v>20000</v>
      </c>
      <c r="H53" s="71">
        <f t="shared" si="3"/>
        <v>120000</v>
      </c>
      <c r="I53" s="71">
        <f t="shared" si="2"/>
        <v>100000</v>
      </c>
      <c r="J53" s="69">
        <f t="shared" si="1"/>
        <v>2000</v>
      </c>
    </row>
    <row r="54" ht="12.75" spans="1:10">
      <c r="A54" s="68">
        <v>91</v>
      </c>
      <c r="B54" s="69" t="s">
        <v>100</v>
      </c>
      <c r="C54" s="127" t="s">
        <v>99</v>
      </c>
      <c r="D54" s="126">
        <v>5000000</v>
      </c>
      <c r="E54" s="69"/>
      <c r="F54" s="69"/>
      <c r="G54" s="69"/>
      <c r="H54" s="71">
        <f t="shared" si="3"/>
        <v>0</v>
      </c>
      <c r="I54" s="71">
        <f t="shared" si="2"/>
        <v>5000000</v>
      </c>
      <c r="J54" s="69">
        <f t="shared" si="1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126">
        <v>7460000</v>
      </c>
      <c r="E55" s="69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126">
        <v>600000</v>
      </c>
      <c r="E56" s="69"/>
      <c r="F56" s="69"/>
      <c r="G56" s="69"/>
      <c r="H56" s="71">
        <f t="shared" si="3"/>
        <v>0</v>
      </c>
      <c r="I56" s="71">
        <f t="shared" si="2"/>
        <v>600000</v>
      </c>
      <c r="J56" s="69">
        <f t="shared" si="1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126">
        <v>20000000</v>
      </c>
      <c r="E57" s="69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126">
        <v>1985000</v>
      </c>
      <c r="E58" s="69"/>
      <c r="F58" s="69"/>
      <c r="G58" s="69"/>
      <c r="H58" s="71">
        <f t="shared" si="3"/>
        <v>0</v>
      </c>
      <c r="I58" s="71">
        <f t="shared" si="2"/>
        <v>1985000</v>
      </c>
      <c r="J58" s="69">
        <f t="shared" si="1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126">
        <v>450000</v>
      </c>
      <c r="E59" s="69"/>
      <c r="F59" s="69"/>
      <c r="G59" s="69"/>
      <c r="H59" s="71">
        <f t="shared" si="3"/>
        <v>0</v>
      </c>
      <c r="I59" s="71">
        <f t="shared" si="2"/>
        <v>450000</v>
      </c>
      <c r="J59" s="69">
        <f t="shared" si="1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126">
        <v>3500000</v>
      </c>
      <c r="E60" s="69"/>
      <c r="F60" s="69"/>
      <c r="G60" s="69"/>
      <c r="H60" s="71">
        <f t="shared" si="3"/>
        <v>0</v>
      </c>
      <c r="I60" s="71">
        <f t="shared" si="2"/>
        <v>3500000</v>
      </c>
      <c r="J60" s="69">
        <f t="shared" si="1"/>
        <v>0</v>
      </c>
    </row>
    <row r="61" ht="12.75" spans="1:10">
      <c r="A61" s="68">
        <v>106</v>
      </c>
      <c r="B61" s="69" t="s">
        <v>111</v>
      </c>
      <c r="C61" s="70" t="s">
        <v>112</v>
      </c>
      <c r="D61" s="126">
        <v>230000</v>
      </c>
      <c r="E61" s="69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126">
        <v>1000000</v>
      </c>
      <c r="E62" s="69"/>
      <c r="F62" s="69"/>
      <c r="G62" s="69"/>
      <c r="H62" s="71">
        <f t="shared" si="3"/>
        <v>0</v>
      </c>
      <c r="I62" s="71">
        <f t="shared" si="2"/>
        <v>1000000</v>
      </c>
      <c r="J62" s="69">
        <f t="shared" si="1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126">
        <v>700000</v>
      </c>
      <c r="E63" s="69"/>
      <c r="F63" s="69"/>
      <c r="G63" s="69"/>
      <c r="H63" s="71">
        <f t="shared" si="3"/>
        <v>0</v>
      </c>
      <c r="I63" s="71">
        <f t="shared" si="2"/>
        <v>700000</v>
      </c>
      <c r="J63" s="69">
        <f t="shared" si="1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126">
        <v>1500000</v>
      </c>
      <c r="E64" s="69"/>
      <c r="F64" s="69"/>
      <c r="G64" s="69"/>
      <c r="H64" s="71">
        <f t="shared" si="3"/>
        <v>0</v>
      </c>
      <c r="I64" s="71">
        <f t="shared" si="2"/>
        <v>1500000</v>
      </c>
      <c r="J64" s="69">
        <f t="shared" si="1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126">
        <v>6570000</v>
      </c>
      <c r="E65" s="69"/>
      <c r="F65" s="69"/>
      <c r="G65" s="69"/>
      <c r="H65" s="71">
        <f t="shared" si="3"/>
        <v>0</v>
      </c>
      <c r="I65" s="71">
        <f t="shared" si="2"/>
        <v>6570000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126">
        <v>300000</v>
      </c>
      <c r="E66" s="69">
        <v>5</v>
      </c>
      <c r="F66" s="69">
        <v>50000</v>
      </c>
      <c r="G66" s="69">
        <v>10000</v>
      </c>
      <c r="H66" s="71">
        <f t="shared" si="3"/>
        <v>60000</v>
      </c>
      <c r="I66" s="71">
        <f t="shared" si="2"/>
        <v>250000</v>
      </c>
      <c r="J66" s="69">
        <f t="shared" si="1"/>
        <v>1000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126">
        <v>52000000</v>
      </c>
      <c r="E67" s="69"/>
      <c r="F67" s="69"/>
      <c r="G67" s="69"/>
      <c r="H67" s="71">
        <f t="shared" si="3"/>
        <v>0</v>
      </c>
      <c r="I67" s="71">
        <f t="shared" si="2"/>
        <v>52000000</v>
      </c>
      <c r="J67" s="69">
        <f t="shared" si="1"/>
        <v>0</v>
      </c>
    </row>
    <row r="68" ht="12.75" customHeight="1" spans="1:10">
      <c r="A68" s="68"/>
      <c r="B68" s="69"/>
      <c r="C68" s="70"/>
      <c r="D68" s="126"/>
      <c r="E68" s="69"/>
      <c r="F68" s="69"/>
      <c r="G68" s="69"/>
      <c r="H68" s="71"/>
      <c r="I68" s="71"/>
      <c r="J68" s="69">
        <f t="shared" si="1"/>
        <v>0</v>
      </c>
    </row>
    <row r="69" ht="12.75" customHeight="1" spans="1:10">
      <c r="A69" s="68"/>
      <c r="B69" s="69"/>
      <c r="C69" s="70"/>
      <c r="D69" s="126"/>
      <c r="E69" s="69"/>
      <c r="F69" s="69"/>
      <c r="G69" s="69"/>
      <c r="H69" s="71"/>
      <c r="I69" s="71"/>
      <c r="J69" s="69">
        <f t="shared" si="1"/>
        <v>0</v>
      </c>
    </row>
    <row r="70" ht="12.75" customHeight="1" spans="1:10">
      <c r="A70" s="68"/>
      <c r="B70" s="69"/>
      <c r="C70" s="70"/>
      <c r="D70" s="126"/>
      <c r="E70" s="69"/>
      <c r="F70" s="69"/>
      <c r="G70" s="69"/>
      <c r="H70" s="71"/>
      <c r="I70" s="71"/>
      <c r="J70" s="69">
        <f t="shared" si="1"/>
        <v>0</v>
      </c>
    </row>
    <row r="71" ht="12.75" customHeight="1" spans="1:10">
      <c r="A71" s="68"/>
      <c r="B71" s="69"/>
      <c r="C71" s="70"/>
      <c r="D71" s="126"/>
      <c r="E71" s="69"/>
      <c r="F71" s="69"/>
      <c r="G71" s="69"/>
      <c r="H71" s="71"/>
      <c r="I71" s="71"/>
      <c r="J71" s="69">
        <f t="shared" si="1"/>
        <v>0</v>
      </c>
    </row>
    <row r="72" ht="12.75" customHeight="1" spans="1:10">
      <c r="A72" s="68"/>
      <c r="B72" s="69"/>
      <c r="C72" s="70"/>
      <c r="D72" s="126"/>
      <c r="E72" s="69"/>
      <c r="F72" s="69"/>
      <c r="G72" s="69"/>
      <c r="H72" s="71"/>
      <c r="I72" s="71"/>
      <c r="J72" s="69">
        <f t="shared" si="1"/>
        <v>0</v>
      </c>
    </row>
    <row r="73" ht="12.75" customHeight="1" spans="1:10">
      <c r="A73" s="68"/>
      <c r="B73" s="69"/>
      <c r="C73" s="70"/>
      <c r="D73" s="126"/>
      <c r="E73" s="69"/>
      <c r="F73" s="69"/>
      <c r="G73" s="69"/>
      <c r="H73" s="71"/>
      <c r="I73" s="71"/>
      <c r="J73" s="69">
        <f t="shared" ref="J73:J136" si="4">1/10*G73</f>
        <v>0</v>
      </c>
    </row>
    <row r="74" ht="12.75" customHeight="1" spans="1:10">
      <c r="A74" s="68"/>
      <c r="B74" s="69"/>
      <c r="C74" s="70"/>
      <c r="D74" s="126"/>
      <c r="E74" s="69"/>
      <c r="F74" s="69"/>
      <c r="G74" s="69"/>
      <c r="H74" s="71"/>
      <c r="I74" s="71"/>
      <c r="J74" s="69">
        <f t="shared" si="4"/>
        <v>0</v>
      </c>
    </row>
    <row r="75" ht="12.75" customHeight="1" spans="1:10">
      <c r="A75" s="68"/>
      <c r="B75" s="69"/>
      <c r="C75" s="70"/>
      <c r="D75" s="126"/>
      <c r="E75" s="69"/>
      <c r="F75" s="69"/>
      <c r="G75" s="69"/>
      <c r="H75" s="71"/>
      <c r="I75" s="71"/>
      <c r="J75" s="69">
        <f t="shared" si="4"/>
        <v>0</v>
      </c>
    </row>
    <row r="76" ht="12.75" customHeight="1" spans="1:10">
      <c r="A76" s="68"/>
      <c r="B76" s="69"/>
      <c r="C76" s="70"/>
      <c r="D76" s="126"/>
      <c r="E76" s="69"/>
      <c r="F76" s="69"/>
      <c r="G76" s="69"/>
      <c r="H76" s="71"/>
      <c r="I76" s="71"/>
      <c r="J76" s="69">
        <f t="shared" si="4"/>
        <v>0</v>
      </c>
    </row>
    <row r="77" ht="12.75" customHeight="1" spans="1:10">
      <c r="A77" s="68"/>
      <c r="B77" s="69"/>
      <c r="C77" s="70"/>
      <c r="D77" s="126"/>
      <c r="E77" s="69"/>
      <c r="F77" s="69"/>
      <c r="G77" s="69"/>
      <c r="H77" s="71"/>
      <c r="I77" s="71"/>
      <c r="J77" s="69">
        <f t="shared" si="4"/>
        <v>0</v>
      </c>
    </row>
    <row r="78" ht="12.75" customHeight="1" spans="1:10">
      <c r="A78" s="68"/>
      <c r="B78" s="69"/>
      <c r="C78" s="70"/>
      <c r="D78" s="126"/>
      <c r="E78" s="69"/>
      <c r="F78" s="69"/>
      <c r="G78" s="69"/>
      <c r="H78" s="71"/>
      <c r="I78" s="71"/>
      <c r="J78" s="69">
        <f t="shared" si="4"/>
        <v>0</v>
      </c>
    </row>
    <row r="79" ht="12.75" customHeight="1" spans="1:10">
      <c r="A79" s="68"/>
      <c r="B79" s="69"/>
      <c r="C79" s="70"/>
      <c r="D79" s="126"/>
      <c r="E79" s="69"/>
      <c r="F79" s="69"/>
      <c r="G79" s="69"/>
      <c r="H79" s="71"/>
      <c r="I79" s="71"/>
      <c r="J79" s="69">
        <f t="shared" si="4"/>
        <v>0</v>
      </c>
    </row>
    <row r="80" ht="12.75" customHeight="1" spans="1:10">
      <c r="A80" s="68"/>
      <c r="B80" s="69"/>
      <c r="C80" s="70"/>
      <c r="D80" s="126"/>
      <c r="E80" s="69"/>
      <c r="F80" s="69"/>
      <c r="G80" s="69"/>
      <c r="H80" s="71"/>
      <c r="I80" s="71"/>
      <c r="J80" s="69">
        <f t="shared" si="4"/>
        <v>0</v>
      </c>
    </row>
    <row r="81" ht="12.75" customHeight="1" spans="1:10">
      <c r="A81" s="68"/>
      <c r="B81" s="69"/>
      <c r="C81" s="70"/>
      <c r="D81" s="126"/>
      <c r="E81" s="69"/>
      <c r="F81" s="69"/>
      <c r="G81" s="69"/>
      <c r="H81" s="71"/>
      <c r="I81" s="71"/>
      <c r="J81" s="69">
        <f t="shared" si="4"/>
        <v>0</v>
      </c>
    </row>
    <row r="82" ht="12.75" customHeight="1" spans="1:10">
      <c r="A82" s="68"/>
      <c r="B82" s="69"/>
      <c r="C82" s="70"/>
      <c r="D82" s="126"/>
      <c r="E82" s="69"/>
      <c r="F82" s="69"/>
      <c r="G82" s="69"/>
      <c r="H82" s="71"/>
      <c r="I82" s="71"/>
      <c r="J82" s="69">
        <f t="shared" si="4"/>
        <v>0</v>
      </c>
    </row>
    <row r="83" ht="12.75" customHeight="1" spans="1:10">
      <c r="A83" s="68"/>
      <c r="B83" s="69"/>
      <c r="C83" s="70"/>
      <c r="D83" s="126"/>
      <c r="E83" s="69"/>
      <c r="F83" s="69"/>
      <c r="G83" s="69"/>
      <c r="H83" s="71"/>
      <c r="I83" s="71"/>
      <c r="J83" s="69">
        <f t="shared" si="4"/>
        <v>0</v>
      </c>
    </row>
    <row r="84" ht="12.75" customHeight="1" spans="1:10">
      <c r="A84" s="68"/>
      <c r="B84" s="69"/>
      <c r="C84" s="70"/>
      <c r="D84" s="126"/>
      <c r="E84" s="69"/>
      <c r="F84" s="69"/>
      <c r="G84" s="69"/>
      <c r="H84" s="71"/>
      <c r="I84" s="71"/>
      <c r="J84" s="69">
        <f t="shared" si="4"/>
        <v>0</v>
      </c>
    </row>
    <row r="85" ht="12.75" customHeight="1" spans="1:10">
      <c r="A85" s="68"/>
      <c r="B85" s="69"/>
      <c r="C85" s="70"/>
      <c r="D85" s="126"/>
      <c r="E85" s="69"/>
      <c r="F85" s="69"/>
      <c r="G85" s="69"/>
      <c r="H85" s="71"/>
      <c r="I85" s="71"/>
      <c r="J85" s="69">
        <f t="shared" si="4"/>
        <v>0</v>
      </c>
    </row>
    <row r="86" ht="12.75" customHeight="1" spans="1:10">
      <c r="A86" s="68"/>
      <c r="B86" s="69"/>
      <c r="C86" s="70"/>
      <c r="D86" s="126"/>
      <c r="E86" s="69"/>
      <c r="F86" s="69"/>
      <c r="G86" s="69"/>
      <c r="H86" s="71"/>
      <c r="I86" s="71"/>
      <c r="J86" s="69">
        <f t="shared" si="4"/>
        <v>0</v>
      </c>
    </row>
    <row r="87" ht="12.75" customHeight="1" spans="1:10">
      <c r="A87" s="68"/>
      <c r="B87" s="69"/>
      <c r="C87" s="70"/>
      <c r="D87" s="126"/>
      <c r="E87" s="69"/>
      <c r="F87" s="69"/>
      <c r="G87" s="69"/>
      <c r="H87" s="71"/>
      <c r="I87" s="71"/>
      <c r="J87" s="69">
        <f t="shared" si="4"/>
        <v>0</v>
      </c>
    </row>
    <row r="88" ht="12.75" customHeight="1" spans="1:10">
      <c r="A88" s="68"/>
      <c r="B88" s="69"/>
      <c r="C88" s="70"/>
      <c r="D88" s="126"/>
      <c r="E88" s="69"/>
      <c r="F88" s="69"/>
      <c r="G88" s="69"/>
      <c r="H88" s="71"/>
      <c r="I88" s="71"/>
      <c r="J88" s="69">
        <f t="shared" si="4"/>
        <v>0</v>
      </c>
    </row>
    <row r="89" ht="12.75" customHeight="1" spans="1:10">
      <c r="A89" s="68"/>
      <c r="B89" s="69"/>
      <c r="C89" s="70"/>
      <c r="D89" s="126"/>
      <c r="E89" s="69"/>
      <c r="F89" s="69"/>
      <c r="G89" s="69"/>
      <c r="H89" s="71"/>
      <c r="I89" s="71"/>
      <c r="J89" s="69">
        <f t="shared" si="4"/>
        <v>0</v>
      </c>
    </row>
    <row r="90" ht="12.75" customHeight="1" spans="1:10">
      <c r="A90" s="68"/>
      <c r="B90" s="69"/>
      <c r="C90" s="70"/>
      <c r="D90" s="126"/>
      <c r="E90" s="69"/>
      <c r="F90" s="69"/>
      <c r="G90" s="69"/>
      <c r="H90" s="71"/>
      <c r="I90" s="71"/>
      <c r="J90" s="69">
        <f t="shared" si="4"/>
        <v>0</v>
      </c>
    </row>
    <row r="91" ht="12.75" customHeight="1" spans="1:10">
      <c r="A91" s="68"/>
      <c r="B91" s="69"/>
      <c r="C91" s="70"/>
      <c r="D91" s="126"/>
      <c r="E91" s="69"/>
      <c r="F91" s="69"/>
      <c r="G91" s="69"/>
      <c r="H91" s="71"/>
      <c r="I91" s="71"/>
      <c r="J91" s="69">
        <f t="shared" si="4"/>
        <v>0</v>
      </c>
    </row>
    <row r="92" ht="12.75" customHeight="1" spans="1:10">
      <c r="A92" s="68"/>
      <c r="B92" s="69"/>
      <c r="C92" s="70"/>
      <c r="D92" s="126"/>
      <c r="E92" s="69"/>
      <c r="F92" s="69"/>
      <c r="G92" s="69"/>
      <c r="H92" s="71"/>
      <c r="I92" s="71"/>
      <c r="J92" s="69">
        <f t="shared" si="4"/>
        <v>0</v>
      </c>
    </row>
    <row r="93" ht="12.75" customHeight="1" spans="1:10">
      <c r="A93" s="68"/>
      <c r="B93" s="69"/>
      <c r="C93" s="70"/>
      <c r="D93" s="126"/>
      <c r="E93" s="69"/>
      <c r="F93" s="69"/>
      <c r="G93" s="69"/>
      <c r="H93" s="71"/>
      <c r="I93" s="71"/>
      <c r="J93" s="69">
        <f t="shared" si="4"/>
        <v>0</v>
      </c>
    </row>
    <row r="94" ht="12.75" customHeight="1" spans="1:10">
      <c r="A94" s="68"/>
      <c r="B94" s="69"/>
      <c r="C94" s="70"/>
      <c r="D94" s="126"/>
      <c r="E94" s="69"/>
      <c r="F94" s="69"/>
      <c r="G94" s="69"/>
      <c r="H94" s="71"/>
      <c r="I94" s="71"/>
      <c r="J94" s="69">
        <f t="shared" si="4"/>
        <v>0</v>
      </c>
    </row>
    <row r="95" ht="12.75" customHeight="1" spans="1:10">
      <c r="A95" s="68"/>
      <c r="B95" s="69"/>
      <c r="C95" s="70"/>
      <c r="D95" s="126"/>
      <c r="E95" s="69"/>
      <c r="F95" s="69"/>
      <c r="G95" s="69"/>
      <c r="H95" s="71"/>
      <c r="I95" s="71"/>
      <c r="J95" s="69">
        <f t="shared" si="4"/>
        <v>0</v>
      </c>
    </row>
    <row r="96" ht="12.75" customHeight="1" spans="1:10">
      <c r="A96" s="68"/>
      <c r="B96" s="69"/>
      <c r="C96" s="70"/>
      <c r="D96" s="126"/>
      <c r="E96" s="69"/>
      <c r="F96" s="69"/>
      <c r="G96" s="69"/>
      <c r="H96" s="71"/>
      <c r="I96" s="71"/>
      <c r="J96" s="69">
        <f t="shared" si="4"/>
        <v>0</v>
      </c>
    </row>
    <row r="97" ht="12.75" customHeight="1" spans="1:10">
      <c r="A97" s="68"/>
      <c r="B97" s="69"/>
      <c r="C97" s="70"/>
      <c r="D97" s="126"/>
      <c r="E97" s="69"/>
      <c r="F97" s="69"/>
      <c r="G97" s="69"/>
      <c r="H97" s="71"/>
      <c r="I97" s="71"/>
      <c r="J97" s="69">
        <f t="shared" si="4"/>
        <v>0</v>
      </c>
    </row>
    <row r="98" ht="12.75" customHeight="1" spans="1:10">
      <c r="A98" s="68"/>
      <c r="B98" s="69"/>
      <c r="C98" s="70"/>
      <c r="D98" s="126"/>
      <c r="E98" s="69"/>
      <c r="F98" s="69"/>
      <c r="G98" s="69"/>
      <c r="H98" s="71"/>
      <c r="I98" s="71"/>
      <c r="J98" s="69">
        <f t="shared" si="4"/>
        <v>0</v>
      </c>
    </row>
    <row r="99" ht="12.75" customHeight="1" spans="1:10">
      <c r="A99" s="68"/>
      <c r="B99" s="69"/>
      <c r="C99" s="70"/>
      <c r="D99" s="126"/>
      <c r="E99" s="69"/>
      <c r="F99" s="69"/>
      <c r="G99" s="69"/>
      <c r="H99" s="71"/>
      <c r="I99" s="71"/>
      <c r="J99" s="69">
        <f t="shared" si="4"/>
        <v>0</v>
      </c>
    </row>
    <row r="100" ht="12.75" customHeight="1" spans="1:10">
      <c r="A100" s="68"/>
      <c r="B100" s="69"/>
      <c r="C100" s="70"/>
      <c r="D100" s="126"/>
      <c r="E100" s="69"/>
      <c r="F100" s="69"/>
      <c r="G100" s="69"/>
      <c r="H100" s="71"/>
      <c r="I100" s="71"/>
      <c r="J100" s="69">
        <f t="shared" si="4"/>
        <v>0</v>
      </c>
    </row>
    <row r="101" ht="12.75" customHeight="1" spans="1:10">
      <c r="A101" s="68"/>
      <c r="B101" s="69"/>
      <c r="C101" s="70"/>
      <c r="D101" s="126"/>
      <c r="E101" s="69"/>
      <c r="F101" s="69"/>
      <c r="G101" s="69"/>
      <c r="H101" s="71"/>
      <c r="I101" s="71"/>
      <c r="J101" s="69">
        <f t="shared" si="4"/>
        <v>0</v>
      </c>
    </row>
    <row r="102" ht="12.75" customHeight="1" spans="1:10">
      <c r="A102" s="68"/>
      <c r="B102" s="69"/>
      <c r="C102" s="70"/>
      <c r="D102" s="126"/>
      <c r="E102" s="69"/>
      <c r="F102" s="69"/>
      <c r="G102" s="69"/>
      <c r="H102" s="71"/>
      <c r="I102" s="71"/>
      <c r="J102" s="69">
        <f t="shared" si="4"/>
        <v>0</v>
      </c>
    </row>
    <row r="103" ht="12.75" customHeight="1" spans="1:10">
      <c r="A103" s="68"/>
      <c r="B103" s="69"/>
      <c r="C103" s="70"/>
      <c r="D103" s="126"/>
      <c r="E103" s="69"/>
      <c r="F103" s="69"/>
      <c r="G103" s="69"/>
      <c r="H103" s="71"/>
      <c r="I103" s="71"/>
      <c r="J103" s="69">
        <f t="shared" si="4"/>
        <v>0</v>
      </c>
    </row>
    <row r="104" ht="12.75" customHeight="1" spans="1:10">
      <c r="A104" s="68"/>
      <c r="B104" s="69"/>
      <c r="C104" s="70"/>
      <c r="D104" s="126"/>
      <c r="E104" s="69"/>
      <c r="F104" s="69"/>
      <c r="G104" s="69"/>
      <c r="H104" s="71"/>
      <c r="I104" s="71"/>
      <c r="J104" s="69">
        <f t="shared" si="4"/>
        <v>0</v>
      </c>
    </row>
    <row r="105" ht="12.75" customHeight="1" spans="1:10">
      <c r="A105" s="68"/>
      <c r="B105" s="69"/>
      <c r="C105" s="70"/>
      <c r="D105" s="126"/>
      <c r="E105" s="69"/>
      <c r="F105" s="69"/>
      <c r="G105" s="69"/>
      <c r="H105" s="71"/>
      <c r="I105" s="71"/>
      <c r="J105" s="69">
        <f t="shared" si="4"/>
        <v>0</v>
      </c>
    </row>
    <row r="106" ht="12.75" customHeight="1" spans="1:10">
      <c r="A106" s="68"/>
      <c r="B106" s="69"/>
      <c r="C106" s="70"/>
      <c r="D106" s="126"/>
      <c r="E106" s="69"/>
      <c r="F106" s="69"/>
      <c r="G106" s="69"/>
      <c r="H106" s="71"/>
      <c r="I106" s="71"/>
      <c r="J106" s="69">
        <f t="shared" si="4"/>
        <v>0</v>
      </c>
    </row>
    <row r="107" ht="12.75" customHeight="1" spans="1:10">
      <c r="A107" s="68"/>
      <c r="B107" s="69"/>
      <c r="C107" s="70"/>
      <c r="D107" s="126"/>
      <c r="E107" s="69"/>
      <c r="F107" s="69"/>
      <c r="G107" s="69"/>
      <c r="H107" s="71"/>
      <c r="I107" s="71"/>
      <c r="J107" s="69">
        <f t="shared" si="4"/>
        <v>0</v>
      </c>
    </row>
    <row r="108" ht="12.75" customHeight="1" spans="1:10">
      <c r="A108" s="68"/>
      <c r="B108" s="69"/>
      <c r="C108" s="70"/>
      <c r="D108" s="126"/>
      <c r="E108" s="69"/>
      <c r="F108" s="69"/>
      <c r="G108" s="69"/>
      <c r="H108" s="71"/>
      <c r="I108" s="71"/>
      <c r="J108" s="69">
        <f t="shared" si="4"/>
        <v>0</v>
      </c>
    </row>
    <row r="109" ht="12.75" customHeight="1" spans="1:10">
      <c r="A109" s="68"/>
      <c r="B109" s="69"/>
      <c r="C109" s="70"/>
      <c r="D109" s="126"/>
      <c r="E109" s="69"/>
      <c r="F109" s="69"/>
      <c r="G109" s="69"/>
      <c r="H109" s="71"/>
      <c r="I109" s="71"/>
      <c r="J109" s="69">
        <f t="shared" si="4"/>
        <v>0</v>
      </c>
    </row>
    <row r="110" ht="12.75" customHeight="1" spans="1:10">
      <c r="A110" s="68"/>
      <c r="B110" s="69"/>
      <c r="C110" s="70"/>
      <c r="D110" s="126"/>
      <c r="E110" s="69"/>
      <c r="F110" s="69"/>
      <c r="G110" s="69"/>
      <c r="H110" s="71"/>
      <c r="I110" s="71"/>
      <c r="J110" s="69">
        <f t="shared" si="4"/>
        <v>0</v>
      </c>
    </row>
    <row r="111" ht="12.75" customHeight="1" spans="1:10">
      <c r="A111" s="68"/>
      <c r="B111" s="69"/>
      <c r="C111" s="70"/>
      <c r="D111" s="126"/>
      <c r="E111" s="69"/>
      <c r="F111" s="69"/>
      <c r="G111" s="69"/>
      <c r="H111" s="71"/>
      <c r="I111" s="71"/>
      <c r="J111" s="69">
        <f t="shared" si="4"/>
        <v>0</v>
      </c>
    </row>
    <row r="112" ht="12.75" customHeight="1" spans="1:10">
      <c r="A112" s="68"/>
      <c r="B112" s="69"/>
      <c r="C112" s="70"/>
      <c r="D112" s="126"/>
      <c r="E112" s="69"/>
      <c r="F112" s="69"/>
      <c r="G112" s="69"/>
      <c r="H112" s="71"/>
      <c r="I112" s="71"/>
      <c r="J112" s="69">
        <f t="shared" si="4"/>
        <v>0</v>
      </c>
    </row>
    <row r="113" ht="12.75" customHeight="1" spans="1:10">
      <c r="A113" s="68"/>
      <c r="B113" s="69"/>
      <c r="C113" s="70"/>
      <c r="D113" s="126"/>
      <c r="E113" s="69"/>
      <c r="F113" s="69"/>
      <c r="G113" s="69"/>
      <c r="H113" s="71"/>
      <c r="I113" s="71"/>
      <c r="J113" s="69">
        <f t="shared" si="4"/>
        <v>0</v>
      </c>
    </row>
    <row r="114" ht="12.75" customHeight="1" spans="1:10">
      <c r="A114" s="68"/>
      <c r="B114" s="69"/>
      <c r="C114" s="70"/>
      <c r="D114" s="126"/>
      <c r="E114" s="69"/>
      <c r="F114" s="69"/>
      <c r="G114" s="69"/>
      <c r="H114" s="71"/>
      <c r="I114" s="71"/>
      <c r="J114" s="69">
        <f t="shared" si="4"/>
        <v>0</v>
      </c>
    </row>
    <row r="115" ht="12.75" customHeight="1" spans="1:10">
      <c r="A115" s="68"/>
      <c r="B115" s="69"/>
      <c r="C115" s="70"/>
      <c r="D115" s="126"/>
      <c r="E115" s="69"/>
      <c r="F115" s="69"/>
      <c r="G115" s="69"/>
      <c r="H115" s="71"/>
      <c r="I115" s="71"/>
      <c r="J115" s="69">
        <f t="shared" si="4"/>
        <v>0</v>
      </c>
    </row>
    <row r="116" ht="12.75" customHeight="1" spans="1:10">
      <c r="A116" s="68"/>
      <c r="B116" s="69"/>
      <c r="C116" s="70"/>
      <c r="D116" s="126"/>
      <c r="E116" s="69"/>
      <c r="F116" s="69"/>
      <c r="G116" s="69"/>
      <c r="H116" s="71"/>
      <c r="I116" s="71"/>
      <c r="J116" s="69">
        <f t="shared" si="4"/>
        <v>0</v>
      </c>
    </row>
    <row r="117" ht="12.75" customHeight="1" spans="1:10">
      <c r="A117" s="68"/>
      <c r="B117" s="69"/>
      <c r="C117" s="70"/>
      <c r="D117" s="126"/>
      <c r="E117" s="69"/>
      <c r="F117" s="69"/>
      <c r="G117" s="69"/>
      <c r="H117" s="71"/>
      <c r="I117" s="71"/>
      <c r="J117" s="69">
        <f t="shared" si="4"/>
        <v>0</v>
      </c>
    </row>
    <row r="118" ht="12.75" customHeight="1" spans="1:10">
      <c r="A118" s="68"/>
      <c r="B118" s="69"/>
      <c r="C118" s="70"/>
      <c r="D118" s="126"/>
      <c r="E118" s="69"/>
      <c r="F118" s="69"/>
      <c r="G118" s="69"/>
      <c r="H118" s="71"/>
      <c r="I118" s="71"/>
      <c r="J118" s="69">
        <f t="shared" si="4"/>
        <v>0</v>
      </c>
    </row>
    <row r="119" ht="12.75" customHeight="1" spans="1:10">
      <c r="A119" s="68"/>
      <c r="B119" s="69"/>
      <c r="C119" s="70"/>
      <c r="D119" s="126"/>
      <c r="E119" s="69"/>
      <c r="F119" s="69"/>
      <c r="G119" s="69"/>
      <c r="H119" s="71"/>
      <c r="I119" s="71"/>
      <c r="J119" s="69">
        <f t="shared" si="4"/>
        <v>0</v>
      </c>
    </row>
    <row r="120" ht="12.75" customHeight="1" spans="1:10">
      <c r="A120" s="68"/>
      <c r="B120" s="69"/>
      <c r="C120" s="70"/>
      <c r="D120" s="126"/>
      <c r="E120" s="69"/>
      <c r="F120" s="69"/>
      <c r="G120" s="69"/>
      <c r="H120" s="71"/>
      <c r="I120" s="71"/>
      <c r="J120" s="69">
        <f t="shared" si="4"/>
        <v>0</v>
      </c>
    </row>
    <row r="121" ht="12.75" customHeight="1" spans="1:10">
      <c r="A121" s="68"/>
      <c r="B121" s="69"/>
      <c r="C121" s="70"/>
      <c r="D121" s="126"/>
      <c r="E121" s="69"/>
      <c r="F121" s="69"/>
      <c r="G121" s="69"/>
      <c r="H121" s="71"/>
      <c r="I121" s="71"/>
      <c r="J121" s="69">
        <f t="shared" si="4"/>
        <v>0</v>
      </c>
    </row>
    <row r="122" ht="12.75" customHeight="1" spans="1:10">
      <c r="A122" s="68"/>
      <c r="B122" s="69"/>
      <c r="C122" s="70"/>
      <c r="D122" s="126"/>
      <c r="E122" s="69"/>
      <c r="F122" s="69"/>
      <c r="G122" s="69"/>
      <c r="H122" s="71"/>
      <c r="I122" s="71"/>
      <c r="J122" s="69">
        <f t="shared" si="4"/>
        <v>0</v>
      </c>
    </row>
    <row r="123" ht="12.75" customHeight="1" spans="1:10">
      <c r="A123" s="68"/>
      <c r="B123" s="69"/>
      <c r="C123" s="70"/>
      <c r="D123" s="126"/>
      <c r="E123" s="69"/>
      <c r="F123" s="69"/>
      <c r="G123" s="69"/>
      <c r="H123" s="71"/>
      <c r="I123" s="71"/>
      <c r="J123" s="69">
        <f t="shared" si="4"/>
        <v>0</v>
      </c>
    </row>
    <row r="124" ht="12.75" customHeight="1" spans="1:10">
      <c r="A124" s="68"/>
      <c r="B124" s="69"/>
      <c r="C124" s="70"/>
      <c r="D124" s="126"/>
      <c r="E124" s="69"/>
      <c r="F124" s="69"/>
      <c r="G124" s="69"/>
      <c r="H124" s="71"/>
      <c r="I124" s="71"/>
      <c r="J124" s="69">
        <f t="shared" si="4"/>
        <v>0</v>
      </c>
    </row>
    <row r="125" ht="12.75" customHeight="1" spans="1:10">
      <c r="A125" s="68"/>
      <c r="B125" s="69"/>
      <c r="C125" s="70"/>
      <c r="D125" s="126"/>
      <c r="E125" s="69"/>
      <c r="F125" s="69"/>
      <c r="G125" s="69"/>
      <c r="H125" s="71"/>
      <c r="I125" s="71"/>
      <c r="J125" s="69">
        <f t="shared" si="4"/>
        <v>0</v>
      </c>
    </row>
    <row r="126" ht="12.75" customHeight="1" spans="1:10">
      <c r="A126" s="68"/>
      <c r="B126" s="69"/>
      <c r="C126" s="70"/>
      <c r="D126" s="126"/>
      <c r="E126" s="69"/>
      <c r="F126" s="69"/>
      <c r="G126" s="69"/>
      <c r="H126" s="71"/>
      <c r="I126" s="71"/>
      <c r="J126" s="69">
        <f t="shared" si="4"/>
        <v>0</v>
      </c>
    </row>
    <row r="127" ht="12.75" customHeight="1" spans="1:10">
      <c r="A127" s="68"/>
      <c r="B127" s="69"/>
      <c r="C127" s="70"/>
      <c r="D127" s="126"/>
      <c r="E127" s="69"/>
      <c r="F127" s="69"/>
      <c r="G127" s="69"/>
      <c r="H127" s="71"/>
      <c r="I127" s="71"/>
      <c r="J127" s="69">
        <f t="shared" si="4"/>
        <v>0</v>
      </c>
    </row>
    <row r="128" ht="12.75" customHeight="1" spans="1:10">
      <c r="A128" s="68"/>
      <c r="B128" s="69"/>
      <c r="C128" s="70"/>
      <c r="D128" s="126"/>
      <c r="E128" s="69"/>
      <c r="F128" s="69"/>
      <c r="G128" s="69"/>
      <c r="H128" s="71"/>
      <c r="I128" s="71"/>
      <c r="J128" s="69">
        <f t="shared" si="4"/>
        <v>0</v>
      </c>
    </row>
    <row r="129" ht="12.75" customHeight="1" spans="1:10">
      <c r="A129" s="68"/>
      <c r="B129" s="69"/>
      <c r="C129" s="70"/>
      <c r="D129" s="126"/>
      <c r="E129" s="69"/>
      <c r="F129" s="69"/>
      <c r="G129" s="69"/>
      <c r="H129" s="71"/>
      <c r="I129" s="71"/>
      <c r="J129" s="69">
        <f t="shared" si="4"/>
        <v>0</v>
      </c>
    </row>
    <row r="130" ht="12.75" customHeight="1" spans="1:10">
      <c r="A130" s="68"/>
      <c r="B130" s="69"/>
      <c r="C130" s="70"/>
      <c r="D130" s="126"/>
      <c r="E130" s="69"/>
      <c r="F130" s="69"/>
      <c r="G130" s="69"/>
      <c r="H130" s="71"/>
      <c r="I130" s="71"/>
      <c r="J130" s="69">
        <f t="shared" si="4"/>
        <v>0</v>
      </c>
    </row>
    <row r="131" ht="12.75" customHeight="1" spans="1:10">
      <c r="A131" s="68"/>
      <c r="B131" s="69"/>
      <c r="C131" s="70"/>
      <c r="D131" s="126"/>
      <c r="E131" s="69"/>
      <c r="F131" s="69"/>
      <c r="G131" s="69"/>
      <c r="H131" s="71"/>
      <c r="I131" s="71"/>
      <c r="J131" s="69">
        <f t="shared" si="4"/>
        <v>0</v>
      </c>
    </row>
    <row r="132" ht="12.75" customHeight="1" spans="1:10">
      <c r="A132" s="68"/>
      <c r="B132" s="69"/>
      <c r="C132" s="70"/>
      <c r="D132" s="126"/>
      <c r="E132" s="69"/>
      <c r="F132" s="69"/>
      <c r="G132" s="69"/>
      <c r="H132" s="71"/>
      <c r="I132" s="71"/>
      <c r="J132" s="69">
        <f t="shared" si="4"/>
        <v>0</v>
      </c>
    </row>
    <row r="133" ht="12.75" customHeight="1" spans="1:10">
      <c r="A133" s="68"/>
      <c r="B133" s="69"/>
      <c r="C133" s="70"/>
      <c r="D133" s="126"/>
      <c r="E133" s="69"/>
      <c r="F133" s="69"/>
      <c r="G133" s="69"/>
      <c r="H133" s="71"/>
      <c r="I133" s="71"/>
      <c r="J133" s="69">
        <f t="shared" si="4"/>
        <v>0</v>
      </c>
    </row>
    <row r="134" ht="12.75" customHeight="1" spans="1:10">
      <c r="A134" s="68"/>
      <c r="B134" s="69"/>
      <c r="C134" s="70"/>
      <c r="D134" s="126"/>
      <c r="E134" s="69"/>
      <c r="F134" s="69"/>
      <c r="G134" s="69"/>
      <c r="H134" s="71"/>
      <c r="I134" s="71"/>
      <c r="J134" s="69">
        <f t="shared" si="4"/>
        <v>0</v>
      </c>
    </row>
    <row r="135" ht="12.75" customHeight="1" spans="1:10">
      <c r="A135" s="68"/>
      <c r="B135" s="69"/>
      <c r="C135" s="70"/>
      <c r="D135" s="126"/>
      <c r="E135" s="69"/>
      <c r="F135" s="69"/>
      <c r="G135" s="69"/>
      <c r="H135" s="71"/>
      <c r="I135" s="71"/>
      <c r="J135" s="69">
        <f t="shared" si="4"/>
        <v>0</v>
      </c>
    </row>
    <row r="136" ht="12.75" customHeight="1" spans="1:10">
      <c r="A136" s="68"/>
      <c r="B136" s="69"/>
      <c r="C136" s="70"/>
      <c r="D136" s="126"/>
      <c r="E136" s="69"/>
      <c r="F136" s="69"/>
      <c r="G136" s="69"/>
      <c r="H136" s="71"/>
      <c r="I136" s="71"/>
      <c r="J136" s="69">
        <f t="shared" si="4"/>
        <v>0</v>
      </c>
    </row>
    <row r="137" ht="12.75" customHeight="1" spans="1:10">
      <c r="A137" s="68"/>
      <c r="B137" s="69"/>
      <c r="C137" s="70"/>
      <c r="D137" s="126"/>
      <c r="E137" s="69"/>
      <c r="F137" s="69"/>
      <c r="G137" s="69"/>
      <c r="H137" s="71"/>
      <c r="I137" s="71"/>
      <c r="J137" s="69">
        <f t="shared" ref="J137:J186" si="5">1/10*G137</f>
        <v>0</v>
      </c>
    </row>
    <row r="138" ht="12.75" customHeight="1" spans="1:10">
      <c r="A138" s="68"/>
      <c r="B138" s="69"/>
      <c r="C138" s="70"/>
      <c r="D138" s="126"/>
      <c r="E138" s="69"/>
      <c r="F138" s="69"/>
      <c r="G138" s="69"/>
      <c r="H138" s="71"/>
      <c r="I138" s="71"/>
      <c r="J138" s="69">
        <f t="shared" si="5"/>
        <v>0</v>
      </c>
    </row>
    <row r="139" ht="12.75" customHeight="1" spans="1:10">
      <c r="A139" s="68"/>
      <c r="B139" s="69"/>
      <c r="C139" s="70"/>
      <c r="D139" s="126"/>
      <c r="E139" s="69"/>
      <c r="F139" s="69"/>
      <c r="G139" s="69"/>
      <c r="H139" s="71"/>
      <c r="I139" s="71"/>
      <c r="J139" s="69">
        <f t="shared" si="5"/>
        <v>0</v>
      </c>
    </row>
    <row r="140" ht="12.75" customHeight="1" spans="1:10">
      <c r="A140" s="68"/>
      <c r="B140" s="69"/>
      <c r="C140" s="70"/>
      <c r="D140" s="126"/>
      <c r="E140" s="69"/>
      <c r="F140" s="69"/>
      <c r="G140" s="69"/>
      <c r="H140" s="71"/>
      <c r="I140" s="71"/>
      <c r="J140" s="69">
        <f t="shared" si="5"/>
        <v>0</v>
      </c>
    </row>
    <row r="141" ht="12.75" customHeight="1" spans="1:10">
      <c r="A141" s="68"/>
      <c r="B141" s="69"/>
      <c r="C141" s="70"/>
      <c r="D141" s="126"/>
      <c r="E141" s="69"/>
      <c r="F141" s="69"/>
      <c r="G141" s="69"/>
      <c r="H141" s="71"/>
      <c r="I141" s="71"/>
      <c r="J141" s="69">
        <f t="shared" si="5"/>
        <v>0</v>
      </c>
    </row>
    <row r="142" ht="12.75" customHeight="1" spans="1:10">
      <c r="A142" s="68"/>
      <c r="B142" s="69"/>
      <c r="C142" s="70"/>
      <c r="D142" s="126"/>
      <c r="E142" s="69"/>
      <c r="F142" s="69"/>
      <c r="G142" s="69"/>
      <c r="H142" s="71"/>
      <c r="I142" s="71"/>
      <c r="J142" s="69">
        <f t="shared" si="5"/>
        <v>0</v>
      </c>
    </row>
    <row r="143" ht="12.75" customHeight="1" spans="1:10">
      <c r="A143" s="68"/>
      <c r="B143" s="69"/>
      <c r="C143" s="70"/>
      <c r="D143" s="126"/>
      <c r="E143" s="69"/>
      <c r="F143" s="69"/>
      <c r="G143" s="69"/>
      <c r="H143" s="71"/>
      <c r="I143" s="71"/>
      <c r="J143" s="69">
        <f t="shared" si="5"/>
        <v>0</v>
      </c>
    </row>
    <row r="144" ht="12.75" customHeight="1" spans="1:10">
      <c r="A144" s="68"/>
      <c r="B144" s="69"/>
      <c r="C144" s="70"/>
      <c r="D144" s="126"/>
      <c r="E144" s="69"/>
      <c r="F144" s="69"/>
      <c r="G144" s="69"/>
      <c r="H144" s="71"/>
      <c r="I144" s="71"/>
      <c r="J144" s="69">
        <f t="shared" si="5"/>
        <v>0</v>
      </c>
    </row>
    <row r="145" ht="12.75" customHeight="1" spans="1:10">
      <c r="A145" s="68"/>
      <c r="B145" s="69"/>
      <c r="C145" s="70"/>
      <c r="D145" s="126"/>
      <c r="E145" s="69"/>
      <c r="F145" s="69"/>
      <c r="G145" s="69"/>
      <c r="H145" s="71"/>
      <c r="I145" s="71"/>
      <c r="J145" s="69">
        <f t="shared" si="5"/>
        <v>0</v>
      </c>
    </row>
    <row r="146" ht="12.75" customHeight="1" spans="1:10">
      <c r="A146" s="68"/>
      <c r="B146" s="69"/>
      <c r="C146" s="70"/>
      <c r="D146" s="126"/>
      <c r="E146" s="69"/>
      <c r="F146" s="69"/>
      <c r="G146" s="69"/>
      <c r="H146" s="71"/>
      <c r="I146" s="71"/>
      <c r="J146" s="69">
        <f t="shared" si="5"/>
        <v>0</v>
      </c>
    </row>
    <row r="147" ht="12.75" customHeight="1" spans="1:10">
      <c r="A147" s="68"/>
      <c r="B147" s="69"/>
      <c r="C147" s="70"/>
      <c r="D147" s="126"/>
      <c r="E147" s="69"/>
      <c r="F147" s="69"/>
      <c r="G147" s="69"/>
      <c r="H147" s="71"/>
      <c r="I147" s="71"/>
      <c r="J147" s="69">
        <f t="shared" si="5"/>
        <v>0</v>
      </c>
    </row>
    <row r="148" ht="12.75" customHeight="1" spans="1:10">
      <c r="A148" s="68"/>
      <c r="B148" s="69"/>
      <c r="C148" s="70"/>
      <c r="D148" s="126"/>
      <c r="E148" s="69"/>
      <c r="F148" s="69"/>
      <c r="G148" s="69"/>
      <c r="H148" s="71"/>
      <c r="I148" s="71"/>
      <c r="J148" s="69">
        <f t="shared" si="5"/>
        <v>0</v>
      </c>
    </row>
    <row r="149" ht="12.75" customHeight="1" spans="1:10">
      <c r="A149" s="68"/>
      <c r="B149" s="69"/>
      <c r="C149" s="70"/>
      <c r="D149" s="126"/>
      <c r="E149" s="69"/>
      <c r="F149" s="69"/>
      <c r="G149" s="69"/>
      <c r="H149" s="71"/>
      <c r="I149" s="71"/>
      <c r="J149" s="69">
        <f t="shared" si="5"/>
        <v>0</v>
      </c>
    </row>
    <row r="150" ht="12.75" customHeight="1" spans="1:10">
      <c r="A150" s="68"/>
      <c r="B150" s="69"/>
      <c r="C150" s="70"/>
      <c r="D150" s="126"/>
      <c r="E150" s="69"/>
      <c r="F150" s="69"/>
      <c r="G150" s="69"/>
      <c r="H150" s="71"/>
      <c r="I150" s="71"/>
      <c r="J150" s="69">
        <f t="shared" si="5"/>
        <v>0</v>
      </c>
    </row>
    <row r="151" ht="12.75" customHeight="1" spans="1:10">
      <c r="A151" s="68"/>
      <c r="B151" s="69"/>
      <c r="C151" s="70"/>
      <c r="D151" s="126"/>
      <c r="E151" s="69"/>
      <c r="F151" s="69"/>
      <c r="G151" s="69"/>
      <c r="H151" s="71"/>
      <c r="I151" s="71"/>
      <c r="J151" s="69">
        <f t="shared" si="5"/>
        <v>0</v>
      </c>
    </row>
    <row r="152" ht="12.75" customHeight="1" spans="1:10">
      <c r="A152" s="68"/>
      <c r="B152" s="69"/>
      <c r="C152" s="70"/>
      <c r="D152" s="126"/>
      <c r="E152" s="69"/>
      <c r="F152" s="69"/>
      <c r="G152" s="69"/>
      <c r="H152" s="71"/>
      <c r="I152" s="71"/>
      <c r="J152" s="69">
        <f t="shared" si="5"/>
        <v>0</v>
      </c>
    </row>
    <row r="153" ht="12.75" customHeight="1" spans="1:10">
      <c r="A153" s="68"/>
      <c r="B153" s="69"/>
      <c r="C153" s="70"/>
      <c r="D153" s="126"/>
      <c r="E153" s="69"/>
      <c r="F153" s="69"/>
      <c r="G153" s="69"/>
      <c r="H153" s="71"/>
      <c r="I153" s="71"/>
      <c r="J153" s="69">
        <f t="shared" si="5"/>
        <v>0</v>
      </c>
    </row>
    <row r="154" ht="12.75" customHeight="1" spans="1:10">
      <c r="A154" s="68"/>
      <c r="B154" s="69"/>
      <c r="C154" s="70"/>
      <c r="D154" s="126"/>
      <c r="E154" s="69"/>
      <c r="F154" s="69"/>
      <c r="G154" s="69"/>
      <c r="H154" s="71"/>
      <c r="I154" s="71"/>
      <c r="J154" s="69">
        <f t="shared" si="5"/>
        <v>0</v>
      </c>
    </row>
    <row r="155" ht="12.75" customHeight="1" spans="1:10">
      <c r="A155" s="68"/>
      <c r="B155" s="69"/>
      <c r="C155" s="70"/>
      <c r="D155" s="126"/>
      <c r="E155" s="69"/>
      <c r="F155" s="69"/>
      <c r="G155" s="69"/>
      <c r="H155" s="71"/>
      <c r="I155" s="71"/>
      <c r="J155" s="69">
        <f t="shared" si="5"/>
        <v>0</v>
      </c>
    </row>
    <row r="156" ht="12.75" customHeight="1" spans="1:10">
      <c r="A156" s="68"/>
      <c r="B156" s="69"/>
      <c r="C156" s="70"/>
      <c r="D156" s="126"/>
      <c r="E156" s="69"/>
      <c r="F156" s="69"/>
      <c r="G156" s="69"/>
      <c r="H156" s="71"/>
      <c r="I156" s="71"/>
      <c r="J156" s="69">
        <f t="shared" si="5"/>
        <v>0</v>
      </c>
    </row>
    <row r="157" ht="12.75" customHeight="1" spans="1:10">
      <c r="A157" s="68"/>
      <c r="B157" s="69"/>
      <c r="C157" s="70"/>
      <c r="D157" s="126"/>
      <c r="E157" s="69"/>
      <c r="F157" s="69"/>
      <c r="G157" s="69"/>
      <c r="H157" s="71"/>
      <c r="I157" s="71"/>
      <c r="J157" s="69">
        <f t="shared" si="5"/>
        <v>0</v>
      </c>
    </row>
    <row r="158" ht="12.75" customHeight="1" spans="1:10">
      <c r="A158" s="68"/>
      <c r="B158" s="69"/>
      <c r="C158" s="70"/>
      <c r="D158" s="126"/>
      <c r="E158" s="69"/>
      <c r="F158" s="69"/>
      <c r="G158" s="69"/>
      <c r="H158" s="71"/>
      <c r="I158" s="71"/>
      <c r="J158" s="69">
        <f t="shared" si="5"/>
        <v>0</v>
      </c>
    </row>
    <row r="159" ht="12.75" customHeight="1" spans="1:10">
      <c r="A159" s="68"/>
      <c r="B159" s="69"/>
      <c r="C159" s="70"/>
      <c r="D159" s="126"/>
      <c r="E159" s="69"/>
      <c r="F159" s="69"/>
      <c r="G159" s="69"/>
      <c r="H159" s="71"/>
      <c r="I159" s="71"/>
      <c r="J159" s="69">
        <f t="shared" si="5"/>
        <v>0</v>
      </c>
    </row>
    <row r="160" ht="12.75" customHeight="1" spans="1:10">
      <c r="A160" s="68"/>
      <c r="B160" s="69"/>
      <c r="C160" s="70"/>
      <c r="D160" s="126"/>
      <c r="E160" s="69"/>
      <c r="F160" s="69"/>
      <c r="G160" s="69"/>
      <c r="H160" s="71"/>
      <c r="I160" s="71"/>
      <c r="J160" s="69">
        <f t="shared" si="5"/>
        <v>0</v>
      </c>
    </row>
    <row r="161" ht="12.75" customHeight="1" spans="1:10">
      <c r="A161" s="68"/>
      <c r="B161" s="69"/>
      <c r="C161" s="70"/>
      <c r="D161" s="126"/>
      <c r="E161" s="69"/>
      <c r="F161" s="69"/>
      <c r="G161" s="69"/>
      <c r="H161" s="71"/>
      <c r="I161" s="71"/>
      <c r="J161" s="69">
        <f t="shared" si="5"/>
        <v>0</v>
      </c>
    </row>
    <row r="162" ht="12.75" customHeight="1" spans="1:10">
      <c r="A162" s="68"/>
      <c r="B162" s="69"/>
      <c r="C162" s="70"/>
      <c r="D162" s="126"/>
      <c r="E162" s="69"/>
      <c r="F162" s="69"/>
      <c r="G162" s="69"/>
      <c r="H162" s="71"/>
      <c r="I162" s="71"/>
      <c r="J162" s="69">
        <f t="shared" si="5"/>
        <v>0</v>
      </c>
    </row>
    <row r="163" ht="12.75" customHeight="1" spans="1:10">
      <c r="A163" s="68"/>
      <c r="B163" s="69"/>
      <c r="C163" s="70"/>
      <c r="D163" s="126"/>
      <c r="E163" s="69"/>
      <c r="F163" s="69"/>
      <c r="G163" s="69"/>
      <c r="H163" s="71"/>
      <c r="I163" s="71"/>
      <c r="J163" s="69">
        <f t="shared" si="5"/>
        <v>0</v>
      </c>
    </row>
    <row r="164" ht="12.75" customHeight="1" spans="1:10">
      <c r="A164" s="68"/>
      <c r="B164" s="69"/>
      <c r="C164" s="70"/>
      <c r="D164" s="126"/>
      <c r="E164" s="69"/>
      <c r="F164" s="69"/>
      <c r="G164" s="69"/>
      <c r="H164" s="71"/>
      <c r="I164" s="71"/>
      <c r="J164" s="69">
        <f t="shared" si="5"/>
        <v>0</v>
      </c>
    </row>
    <row r="165" ht="12.75" customHeight="1" spans="1:10">
      <c r="A165" s="68"/>
      <c r="B165" s="69"/>
      <c r="C165" s="70"/>
      <c r="D165" s="126"/>
      <c r="E165" s="69"/>
      <c r="F165" s="69"/>
      <c r="G165" s="69"/>
      <c r="H165" s="71"/>
      <c r="I165" s="71"/>
      <c r="J165" s="69">
        <f t="shared" si="5"/>
        <v>0</v>
      </c>
    </row>
    <row r="166" ht="12.75" customHeight="1" spans="1:10">
      <c r="A166" s="68"/>
      <c r="B166" s="69"/>
      <c r="C166" s="70"/>
      <c r="D166" s="126"/>
      <c r="E166" s="69"/>
      <c r="F166" s="69"/>
      <c r="G166" s="69"/>
      <c r="H166" s="71"/>
      <c r="I166" s="71"/>
      <c r="J166" s="69">
        <f t="shared" si="5"/>
        <v>0</v>
      </c>
    </row>
    <row r="167" ht="12.75" customHeight="1" spans="1:10">
      <c r="A167" s="68"/>
      <c r="B167" s="69"/>
      <c r="C167" s="70"/>
      <c r="D167" s="126"/>
      <c r="E167" s="69"/>
      <c r="F167" s="69"/>
      <c r="G167" s="69"/>
      <c r="H167" s="71"/>
      <c r="I167" s="71"/>
      <c r="J167" s="69">
        <f t="shared" si="5"/>
        <v>0</v>
      </c>
    </row>
    <row r="168" ht="12.75" customHeight="1" spans="1:10">
      <c r="A168" s="68"/>
      <c r="B168" s="69"/>
      <c r="C168" s="70"/>
      <c r="D168" s="126"/>
      <c r="E168" s="69"/>
      <c r="F168" s="69"/>
      <c r="G168" s="69"/>
      <c r="H168" s="71"/>
      <c r="I168" s="71"/>
      <c r="J168" s="69">
        <f t="shared" si="5"/>
        <v>0</v>
      </c>
    </row>
    <row r="169" ht="12.75" customHeight="1" spans="1:10">
      <c r="A169" s="68"/>
      <c r="B169" s="69"/>
      <c r="C169" s="70"/>
      <c r="D169" s="126"/>
      <c r="E169" s="69"/>
      <c r="F169" s="69"/>
      <c r="G169" s="69"/>
      <c r="H169" s="71"/>
      <c r="I169" s="71"/>
      <c r="J169" s="69">
        <f t="shared" si="5"/>
        <v>0</v>
      </c>
    </row>
    <row r="170" ht="12.75" customHeight="1" spans="1:10">
      <c r="A170" s="68"/>
      <c r="B170" s="69"/>
      <c r="C170" s="70"/>
      <c r="D170" s="126"/>
      <c r="E170" s="69"/>
      <c r="F170" s="69"/>
      <c r="G170" s="69"/>
      <c r="H170" s="71"/>
      <c r="I170" s="71"/>
      <c r="J170" s="69">
        <f t="shared" si="5"/>
        <v>0</v>
      </c>
    </row>
    <row r="171" ht="12.75" customHeight="1" spans="1:10">
      <c r="A171" s="68"/>
      <c r="B171" s="69"/>
      <c r="C171" s="70"/>
      <c r="D171" s="126"/>
      <c r="E171" s="69"/>
      <c r="F171" s="69"/>
      <c r="G171" s="69"/>
      <c r="H171" s="71"/>
      <c r="I171" s="71"/>
      <c r="J171" s="69">
        <f t="shared" si="5"/>
        <v>0</v>
      </c>
    </row>
    <row r="172" ht="12.75" customHeight="1" spans="1:10">
      <c r="A172" s="68"/>
      <c r="B172" s="69"/>
      <c r="C172" s="70"/>
      <c r="D172" s="126"/>
      <c r="E172" s="69"/>
      <c r="F172" s="69"/>
      <c r="G172" s="69"/>
      <c r="H172" s="71"/>
      <c r="I172" s="71"/>
      <c r="J172" s="69">
        <f t="shared" si="5"/>
        <v>0</v>
      </c>
    </row>
    <row r="173" ht="12.75" customHeight="1" spans="1:10">
      <c r="A173" s="68"/>
      <c r="B173" s="69"/>
      <c r="C173" s="70"/>
      <c r="D173" s="126"/>
      <c r="E173" s="69"/>
      <c r="F173" s="69"/>
      <c r="G173" s="69"/>
      <c r="H173" s="71"/>
      <c r="I173" s="71"/>
      <c r="J173" s="69">
        <f t="shared" si="5"/>
        <v>0</v>
      </c>
    </row>
    <row r="174" ht="12.75" customHeight="1" spans="1:10">
      <c r="A174" s="68"/>
      <c r="B174" s="69"/>
      <c r="C174" s="70"/>
      <c r="D174" s="126"/>
      <c r="E174" s="69"/>
      <c r="F174" s="69"/>
      <c r="G174" s="69"/>
      <c r="H174" s="71"/>
      <c r="I174" s="71"/>
      <c r="J174" s="69">
        <f t="shared" si="5"/>
        <v>0</v>
      </c>
    </row>
    <row r="175" ht="12.75" customHeight="1" spans="1:10">
      <c r="A175" s="68"/>
      <c r="B175" s="69"/>
      <c r="C175" s="70"/>
      <c r="D175" s="126"/>
      <c r="E175" s="69"/>
      <c r="F175" s="69"/>
      <c r="G175" s="69"/>
      <c r="H175" s="71"/>
      <c r="I175" s="71"/>
      <c r="J175" s="69">
        <f t="shared" si="5"/>
        <v>0</v>
      </c>
    </row>
    <row r="176" ht="12.75" customHeight="1" spans="1:10">
      <c r="A176" s="68"/>
      <c r="B176" s="69"/>
      <c r="C176" s="70"/>
      <c r="D176" s="126"/>
      <c r="E176" s="69"/>
      <c r="F176" s="69"/>
      <c r="G176" s="69"/>
      <c r="H176" s="71"/>
      <c r="I176" s="71"/>
      <c r="J176" s="69">
        <f t="shared" si="5"/>
        <v>0</v>
      </c>
    </row>
    <row r="177" ht="12.75" customHeight="1" spans="1:11">
      <c r="A177" s="68"/>
      <c r="B177" s="69"/>
      <c r="C177" s="70"/>
      <c r="D177" s="126"/>
      <c r="E177" s="69"/>
      <c r="F177" s="69"/>
      <c r="G177" s="69"/>
      <c r="H177" s="71"/>
      <c r="I177" s="71"/>
      <c r="J177" s="69">
        <f t="shared" si="5"/>
        <v>0</v>
      </c>
    </row>
    <row r="178" ht="12.75" customHeight="1" spans="1:11">
      <c r="A178" s="68"/>
      <c r="B178" s="69"/>
      <c r="C178" s="70"/>
      <c r="D178" s="126"/>
      <c r="E178" s="69"/>
      <c r="F178" s="69"/>
      <c r="G178" s="69"/>
      <c r="H178" s="71"/>
      <c r="I178" s="71"/>
      <c r="J178" s="69">
        <f t="shared" si="5"/>
        <v>0</v>
      </c>
    </row>
    <row r="179" ht="12.75" customHeight="1" spans="1:11">
      <c r="A179" s="68"/>
      <c r="B179" s="69"/>
      <c r="C179" s="70"/>
      <c r="D179" s="126"/>
      <c r="E179" s="69"/>
      <c r="F179" s="69"/>
      <c r="G179" s="69"/>
      <c r="H179" s="71"/>
      <c r="I179" s="71"/>
      <c r="J179" s="69">
        <f t="shared" si="5"/>
        <v>0</v>
      </c>
    </row>
    <row r="180" ht="12.75" customHeight="1" spans="1:11">
      <c r="A180" s="68"/>
      <c r="B180" s="69"/>
      <c r="C180" s="70"/>
      <c r="D180" s="126"/>
      <c r="E180" s="69"/>
      <c r="F180" s="69"/>
      <c r="G180" s="69"/>
      <c r="H180" s="71"/>
      <c r="I180" s="71"/>
      <c r="J180" s="69">
        <f t="shared" si="5"/>
        <v>0</v>
      </c>
    </row>
    <row r="181" ht="12.75" customHeight="1" spans="1:11">
      <c r="A181" s="68"/>
      <c r="B181" s="69"/>
      <c r="C181" s="70"/>
      <c r="D181" s="126"/>
      <c r="E181" s="69"/>
      <c r="F181" s="69"/>
      <c r="G181" s="69"/>
      <c r="H181" s="71"/>
      <c r="I181" s="71"/>
      <c r="J181" s="69">
        <f t="shared" si="5"/>
        <v>0</v>
      </c>
    </row>
    <row r="182" ht="12.75" customHeight="1" spans="1:11">
      <c r="A182" s="68"/>
      <c r="B182" s="69"/>
      <c r="C182" s="70"/>
      <c r="D182" s="126"/>
      <c r="E182" s="69"/>
      <c r="F182" s="69"/>
      <c r="G182" s="69"/>
      <c r="H182" s="71"/>
      <c r="I182" s="71"/>
      <c r="J182" s="69">
        <f t="shared" si="5"/>
        <v>0</v>
      </c>
    </row>
    <row r="183" ht="12.75" customHeight="1" spans="1:11">
      <c r="A183" s="68"/>
      <c r="B183" s="69"/>
      <c r="C183" s="70"/>
      <c r="D183" s="126"/>
      <c r="E183" s="69"/>
      <c r="F183" s="69"/>
      <c r="G183" s="69"/>
      <c r="H183" s="71"/>
      <c r="I183" s="71"/>
      <c r="J183" s="69">
        <f t="shared" si="5"/>
        <v>0</v>
      </c>
    </row>
    <row r="184" ht="12.75" customHeight="1" spans="1:11">
      <c r="A184" s="68"/>
      <c r="B184" s="69"/>
      <c r="C184" s="70"/>
      <c r="D184" s="126"/>
      <c r="E184" s="69"/>
      <c r="F184" s="69"/>
      <c r="G184" s="69"/>
      <c r="H184" s="71"/>
      <c r="I184" s="71"/>
      <c r="J184" s="69">
        <f t="shared" si="5"/>
        <v>0</v>
      </c>
    </row>
    <row r="185" ht="12.75" customHeight="1" spans="1:11">
      <c r="A185" s="68"/>
      <c r="B185" s="69"/>
      <c r="C185" s="70"/>
      <c r="D185" s="126"/>
      <c r="E185" s="69"/>
      <c r="F185" s="69"/>
      <c r="G185" s="69"/>
      <c r="H185" s="71"/>
      <c r="I185" s="71"/>
      <c r="J185" s="69">
        <f t="shared" si="5"/>
        <v>0</v>
      </c>
    </row>
    <row r="186" ht="12.75" spans="1:11">
      <c r="A186" s="68"/>
      <c r="B186" s="69"/>
      <c r="C186" s="74"/>
      <c r="D186" s="126"/>
      <c r="E186" s="69"/>
      <c r="F186" s="69"/>
      <c r="G186" s="69"/>
      <c r="H186" s="71">
        <f t="shared" si="3"/>
        <v>0</v>
      </c>
      <c r="I186" s="71">
        <f t="shared" si="2"/>
        <v>0</v>
      </c>
      <c r="J186" s="69">
        <f t="shared" si="5"/>
        <v>0</v>
      </c>
    </row>
    <row r="187" ht="11.25" spans="1:11">
      <c r="A187" s="75"/>
      <c r="B187" s="76" t="s">
        <v>124</v>
      </c>
      <c r="C187" s="77"/>
      <c r="D187" s="78">
        <f>SUM(D9:D186)</f>
        <v>456870000</v>
      </c>
      <c r="E187" s="78">
        <f t="shared" ref="E187:J187" si="6">SUM(E9:E186)</f>
        <v>57</v>
      </c>
      <c r="F187" s="78">
        <f t="shared" si="6"/>
        <v>25280000</v>
      </c>
      <c r="G187" s="78">
        <f t="shared" si="6"/>
        <v>5900000</v>
      </c>
      <c r="H187" s="78">
        <f t="shared" si="6"/>
        <v>31180000</v>
      </c>
      <c r="I187" s="78">
        <f t="shared" si="6"/>
        <v>431590000</v>
      </c>
      <c r="J187" s="78">
        <f t="shared" si="6"/>
        <v>590000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J189" s="82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5900000</v>
      </c>
      <c r="F190" s="129" t="s">
        <v>129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295000</v>
      </c>
      <c r="F191" s="80" t="s">
        <v>131</v>
      </c>
      <c r="G191" s="80"/>
      <c r="H191" s="80"/>
      <c r="I191" s="80"/>
      <c r="J191" s="82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J192" s="82"/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3245000</v>
      </c>
      <c r="F193" s="80"/>
      <c r="G193" s="86"/>
      <c r="H193" s="80"/>
      <c r="J193" s="82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147500</v>
      </c>
      <c r="F194" s="80"/>
      <c r="G194" s="86"/>
      <c r="H194" s="80"/>
      <c r="J194" s="82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147500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147500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147500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590000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1475000</v>
      </c>
    </row>
    <row r="200" customHeight="1" spans="1:11">
      <c r="B200" s="87" t="s">
        <v>124</v>
      </c>
      <c r="C200" s="88" t="s">
        <v>128</v>
      </c>
      <c r="D200" s="87">
        <f>SUM(D193:D199)</f>
        <v>5900000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20" workbookViewId="0">
      <selection activeCell="J28" sqref="J28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6.42857142857143" style="45" customWidth="1"/>
    <col min="6" max="6" width="10.7142857142857" style="45" customWidth="1"/>
    <col min="7" max="7" width="11.2857142857143" style="45" customWidth="1"/>
    <col min="8" max="8" width="12" style="45" customWidth="1"/>
    <col min="9" max="9" width="13.1428571428571" style="45" customWidth="1"/>
    <col min="10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144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126">
        <f>'6-1-26'!I9</f>
        <v>5500000</v>
      </c>
      <c r="E9" s="69"/>
      <c r="F9" s="69">
        <v>0</v>
      </c>
      <c r="G9" s="69">
        <f t="shared" ref="G9:H24" si="0">SUM(E9:F9)</f>
        <v>0</v>
      </c>
      <c r="H9" s="71">
        <f t="shared" si="0"/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126">
        <f>'6-1-26'!I10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126">
        <f>'6-1-26'!I11</f>
        <v>1750000</v>
      </c>
      <c r="E11" s="69"/>
      <c r="F11" s="69"/>
      <c r="G11" s="69"/>
      <c r="H11" s="71">
        <f t="shared" si="0"/>
        <v>0</v>
      </c>
      <c r="I11" s="71">
        <f t="shared" si="2"/>
        <v>1750000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126">
        <f>'6-1-26'!I12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126">
        <f>'6-1-26'!I13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126">
        <f>'6-1-26'!I14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126">
        <f>'6-1-26'!I15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126">
        <f>'6-1-26'!I16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126">
        <f>'6-1-26'!I17</f>
        <v>6500000</v>
      </c>
      <c r="E17" s="69"/>
      <c r="F17" s="69"/>
      <c r="G17" s="69"/>
      <c r="H17" s="71">
        <f t="shared" si="0"/>
        <v>0</v>
      </c>
      <c r="I17" s="71">
        <f t="shared" si="2"/>
        <v>6500000</v>
      </c>
      <c r="J17" s="69">
        <f t="shared" si="1"/>
        <v>0</v>
      </c>
    </row>
    <row r="18" ht="12.75" spans="1:10">
      <c r="A18" s="68">
        <v>10</v>
      </c>
      <c r="B18" s="69" t="s">
        <v>33</v>
      </c>
      <c r="C18" s="128" t="s">
        <v>34</v>
      </c>
      <c r="D18" s="126">
        <f>'6-1-26'!I18</f>
        <v>13195000</v>
      </c>
      <c r="E18" s="69"/>
      <c r="F18" s="69"/>
      <c r="G18" s="69"/>
      <c r="H18" s="71">
        <f t="shared" si="0"/>
        <v>0</v>
      </c>
      <c r="I18" s="71">
        <f t="shared" si="2"/>
        <v>13195000</v>
      </c>
      <c r="J18" s="69">
        <f t="shared" si="1"/>
        <v>0</v>
      </c>
    </row>
    <row r="19" ht="12.75" spans="1:10">
      <c r="A19" s="68">
        <v>14</v>
      </c>
      <c r="B19" s="69" t="s">
        <v>35</v>
      </c>
      <c r="C19" s="128" t="s">
        <v>36</v>
      </c>
      <c r="D19" s="126">
        <f>'6-1-26'!I19</f>
        <v>4000000</v>
      </c>
      <c r="E19" s="69"/>
      <c r="F19" s="69"/>
      <c r="G19" s="69"/>
      <c r="H19" s="71">
        <f t="shared" si="0"/>
        <v>0</v>
      </c>
      <c r="I19" s="71">
        <f t="shared" si="2"/>
        <v>4000000</v>
      </c>
      <c r="J19" s="69">
        <f t="shared" si="1"/>
        <v>0</v>
      </c>
    </row>
    <row r="20" ht="12.75" spans="1:10">
      <c r="A20" s="68">
        <v>18</v>
      </c>
      <c r="B20" s="69" t="s">
        <v>37</v>
      </c>
      <c r="C20" s="128" t="s">
        <v>38</v>
      </c>
      <c r="D20" s="126">
        <f>'6-1-26'!I20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126">
        <f>'6-1-26'!I21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126">
        <f>'6-1-26'!I22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ht="12.75" spans="1:10">
      <c r="A23" s="68">
        <v>23</v>
      </c>
      <c r="B23" s="69" t="s">
        <v>43</v>
      </c>
      <c r="C23" s="128" t="s">
        <v>42</v>
      </c>
      <c r="D23" s="126">
        <f>'6-1-26'!I23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126">
        <f>'6-1-26'!I24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126">
        <f>'6-1-26'!I25</f>
        <v>22200000</v>
      </c>
      <c r="E25" s="69"/>
      <c r="F25" s="69"/>
      <c r="G25" s="69"/>
      <c r="H25" s="71">
        <f t="shared" ref="H25:H66" si="3">SUM(F25:G25)</f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126">
        <f>'6-1-26'!I26</f>
        <v>3800000</v>
      </c>
      <c r="E26" s="69"/>
      <c r="F26" s="69"/>
      <c r="G26" s="69"/>
      <c r="H26" s="71">
        <f t="shared" si="3"/>
        <v>0</v>
      </c>
      <c r="I26" s="71">
        <f t="shared" si="2"/>
        <v>3800000</v>
      </c>
      <c r="J26" s="69">
        <f t="shared" si="1"/>
        <v>0</v>
      </c>
    </row>
    <row r="27" ht="12.75" spans="1:10">
      <c r="A27" s="68">
        <v>29</v>
      </c>
      <c r="B27" s="69" t="s">
        <v>49</v>
      </c>
      <c r="C27" s="128" t="s">
        <v>50</v>
      </c>
      <c r="D27" s="126">
        <f>'6-1-26'!I27</f>
        <v>1030000</v>
      </c>
      <c r="E27" s="69"/>
      <c r="F27" s="69"/>
      <c r="G27" s="69"/>
      <c r="H27" s="71">
        <f t="shared" si="3"/>
        <v>0</v>
      </c>
      <c r="I27" s="71">
        <f t="shared" si="2"/>
        <v>1030000</v>
      </c>
      <c r="J27" s="69">
        <f t="shared" si="1"/>
        <v>0</v>
      </c>
    </row>
    <row r="28" ht="12.75" spans="1:10">
      <c r="A28" s="68">
        <v>30</v>
      </c>
      <c r="B28" s="69" t="s">
        <v>51</v>
      </c>
      <c r="C28" s="128" t="s">
        <v>52</v>
      </c>
      <c r="D28" s="126">
        <f>'6-1-26'!I28</f>
        <v>1500000</v>
      </c>
      <c r="E28" s="69">
        <v>14</v>
      </c>
      <c r="F28" s="69">
        <v>1500000</v>
      </c>
      <c r="G28" s="69">
        <v>500000</v>
      </c>
      <c r="H28" s="73">
        <f t="shared" si="3"/>
        <v>2000000</v>
      </c>
      <c r="I28" s="71">
        <f t="shared" si="2"/>
        <v>0</v>
      </c>
      <c r="J28" s="69">
        <f t="shared" si="1"/>
        <v>50000</v>
      </c>
    </row>
    <row r="29" ht="12.75" spans="1:10">
      <c r="A29" s="68">
        <v>31</v>
      </c>
      <c r="B29" s="69" t="s">
        <v>53</v>
      </c>
      <c r="C29" s="128" t="s">
        <v>54</v>
      </c>
      <c r="D29" s="126">
        <f>'6-1-26'!I29</f>
        <v>0</v>
      </c>
      <c r="E29" s="69"/>
      <c r="F29" s="69"/>
      <c r="G29" s="69"/>
      <c r="H29" s="71">
        <f t="shared" si="3"/>
        <v>0</v>
      </c>
      <c r="I29" s="71">
        <f t="shared" si="2"/>
        <v>0</v>
      </c>
      <c r="J29" s="69">
        <f t="shared" si="1"/>
        <v>0</v>
      </c>
    </row>
    <row r="30" ht="12.75" spans="1:10">
      <c r="A30" s="68">
        <v>33</v>
      </c>
      <c r="B30" s="69" t="s">
        <v>55</v>
      </c>
      <c r="C30" s="128" t="s">
        <v>56</v>
      </c>
      <c r="D30" s="126">
        <f>'6-1-26'!I30</f>
        <v>2750000</v>
      </c>
      <c r="E30" s="69"/>
      <c r="F30" s="69"/>
      <c r="G30" s="69"/>
      <c r="H30" s="71">
        <f t="shared" si="3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126">
        <f>'6-1-26'!I31</f>
        <v>1500000</v>
      </c>
      <c r="E31" s="69">
        <v>15</v>
      </c>
      <c r="F31" s="69">
        <v>250000</v>
      </c>
      <c r="G31" s="69">
        <v>100000</v>
      </c>
      <c r="H31" s="73">
        <f t="shared" si="3"/>
        <v>350000</v>
      </c>
      <c r="I31" s="71">
        <f t="shared" si="2"/>
        <v>1250000</v>
      </c>
      <c r="J31" s="69">
        <f t="shared" si="1"/>
        <v>10000</v>
      </c>
    </row>
    <row r="32" ht="12.75" spans="1:10">
      <c r="A32" s="68">
        <v>35</v>
      </c>
      <c r="B32" s="69" t="s">
        <v>59</v>
      </c>
      <c r="C32" s="128" t="s">
        <v>58</v>
      </c>
      <c r="D32" s="126">
        <f>'6-1-26'!I32</f>
        <v>12000000</v>
      </c>
      <c r="E32" s="69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126">
        <f>'6-1-26'!I33</f>
        <v>750000</v>
      </c>
      <c r="E33" s="69"/>
      <c r="F33" s="69"/>
      <c r="G33" s="69"/>
      <c r="H33" s="71">
        <f t="shared" si="3"/>
        <v>0</v>
      </c>
      <c r="I33" s="71">
        <f t="shared" si="2"/>
        <v>750000</v>
      </c>
      <c r="J33" s="69">
        <f t="shared" si="1"/>
        <v>0</v>
      </c>
    </row>
    <row r="34" ht="12.75" spans="1:10">
      <c r="A34" s="68">
        <v>43</v>
      </c>
      <c r="B34" s="69" t="s">
        <v>62</v>
      </c>
      <c r="C34" s="127" t="s">
        <v>63</v>
      </c>
      <c r="D34" s="126">
        <f>'6-1-26'!I34</f>
        <v>2800000</v>
      </c>
      <c r="E34" s="69"/>
      <c r="F34" s="69"/>
      <c r="G34" s="69"/>
      <c r="H34" s="71">
        <f t="shared" si="3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126">
        <f>'6-1-26'!I35</f>
        <v>3500000</v>
      </c>
      <c r="E35" s="69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126">
        <f>'6-1-26'!I36</f>
        <v>12000000</v>
      </c>
      <c r="E36" s="69"/>
      <c r="F36" s="69"/>
      <c r="G36" s="69"/>
      <c r="H36" s="71">
        <f t="shared" si="3"/>
        <v>0</v>
      </c>
      <c r="I36" s="71">
        <f t="shared" si="2"/>
        <v>12000000</v>
      </c>
      <c r="J36" s="69">
        <f t="shared" si="1"/>
        <v>0</v>
      </c>
    </row>
    <row r="37" ht="12.75" spans="1:10">
      <c r="A37" s="68">
        <v>49</v>
      </c>
      <c r="B37" s="69" t="s">
        <v>67</v>
      </c>
      <c r="C37" s="127" t="s">
        <v>68</v>
      </c>
      <c r="D37" s="126">
        <f>'6-1-26'!I37</f>
        <v>1250000</v>
      </c>
      <c r="E37" s="69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126">
        <f>'6-1-26'!I38</f>
        <v>5800000</v>
      </c>
      <c r="E38" s="69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126">
        <f>'6-1-26'!I39</f>
        <v>14320000</v>
      </c>
      <c r="E39" s="69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126">
        <f>'6-1-26'!I40</f>
        <v>400000</v>
      </c>
      <c r="E40" s="69"/>
      <c r="F40" s="69"/>
      <c r="G40" s="69"/>
      <c r="H40" s="71">
        <f t="shared" si="3"/>
        <v>0</v>
      </c>
      <c r="I40" s="71">
        <f t="shared" si="2"/>
        <v>400000</v>
      </c>
      <c r="J40" s="69">
        <f t="shared" si="1"/>
        <v>0</v>
      </c>
    </row>
    <row r="41" ht="12.75" spans="1:10">
      <c r="A41" s="68">
        <v>64</v>
      </c>
      <c r="B41" s="69" t="s">
        <v>75</v>
      </c>
      <c r="C41" s="127" t="s">
        <v>76</v>
      </c>
      <c r="D41" s="126">
        <f>'6-1-26'!I41</f>
        <v>2100000</v>
      </c>
      <c r="E41" s="69">
        <v>12</v>
      </c>
      <c r="F41" s="69">
        <v>300000</v>
      </c>
      <c r="G41" s="69">
        <v>120000</v>
      </c>
      <c r="H41" s="73">
        <f t="shared" si="3"/>
        <v>420000</v>
      </c>
      <c r="I41" s="71">
        <f t="shared" si="2"/>
        <v>1800000</v>
      </c>
      <c r="J41" s="69">
        <f t="shared" si="1"/>
        <v>12000</v>
      </c>
    </row>
    <row r="42" ht="12.75" spans="1:10">
      <c r="A42" s="68">
        <v>65</v>
      </c>
      <c r="B42" s="69" t="s">
        <v>77</v>
      </c>
      <c r="C42" s="127" t="s">
        <v>78</v>
      </c>
      <c r="D42" s="126">
        <f>'6-1-26'!I42</f>
        <v>1500000</v>
      </c>
      <c r="E42" s="69">
        <v>11</v>
      </c>
      <c r="F42" s="69">
        <v>300000</v>
      </c>
      <c r="G42" s="69">
        <v>120000</v>
      </c>
      <c r="H42" s="73">
        <f t="shared" si="3"/>
        <v>420000</v>
      </c>
      <c r="I42" s="71">
        <f t="shared" si="2"/>
        <v>1200000</v>
      </c>
      <c r="J42" s="69">
        <f t="shared" si="1"/>
        <v>12000</v>
      </c>
    </row>
    <row r="43" ht="12.75" spans="1:10">
      <c r="A43" s="68">
        <v>69</v>
      </c>
      <c r="B43" s="69" t="s">
        <v>79</v>
      </c>
      <c r="C43" s="127" t="s">
        <v>80</v>
      </c>
      <c r="D43" s="126">
        <f>'6-1-26'!I43</f>
        <v>6000000</v>
      </c>
      <c r="E43" s="69"/>
      <c r="F43" s="69"/>
      <c r="G43" s="69"/>
      <c r="H43" s="71">
        <f t="shared" si="3"/>
        <v>0</v>
      </c>
      <c r="I43" s="71">
        <f t="shared" si="2"/>
        <v>6000000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126">
        <f>'6-1-26'!I44</f>
        <v>11000000</v>
      </c>
      <c r="E44" s="69">
        <v>2</v>
      </c>
      <c r="F44" s="69">
        <v>680000</v>
      </c>
      <c r="G44" s="69">
        <v>320000</v>
      </c>
      <c r="H44" s="73">
        <f t="shared" si="3"/>
        <v>1000000</v>
      </c>
      <c r="I44" s="71">
        <f t="shared" si="2"/>
        <v>10320000</v>
      </c>
      <c r="J44" s="69">
        <f t="shared" si="1"/>
        <v>32000</v>
      </c>
    </row>
    <row r="45" ht="12.75" spans="1:10">
      <c r="A45" s="68">
        <v>71</v>
      </c>
      <c r="B45" s="69" t="s">
        <v>83</v>
      </c>
      <c r="C45" s="70" t="s">
        <v>84</v>
      </c>
      <c r="D45" s="126">
        <f>'6-1-26'!I45</f>
        <v>11250000</v>
      </c>
      <c r="E45" s="69"/>
      <c r="F45" s="69"/>
      <c r="G45" s="69"/>
      <c r="H45" s="71">
        <f t="shared" si="3"/>
        <v>0</v>
      </c>
      <c r="I45" s="71">
        <f t="shared" si="2"/>
        <v>11250000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126">
        <f>'6-1-26'!I46</f>
        <v>750000</v>
      </c>
      <c r="E46" s="69">
        <v>16</v>
      </c>
      <c r="F46" s="69">
        <v>150000</v>
      </c>
      <c r="G46" s="69">
        <v>60000</v>
      </c>
      <c r="H46" s="73">
        <f t="shared" si="3"/>
        <v>210000</v>
      </c>
      <c r="I46" s="71">
        <f t="shared" si="2"/>
        <v>600000</v>
      </c>
      <c r="J46" s="69">
        <f t="shared" si="1"/>
        <v>6000</v>
      </c>
    </row>
    <row r="47" ht="12.75" spans="1:10">
      <c r="A47" s="68">
        <v>76</v>
      </c>
      <c r="B47" s="69" t="s">
        <v>87</v>
      </c>
      <c r="C47" s="127" t="s">
        <v>88</v>
      </c>
      <c r="D47" s="126">
        <f>'6-1-26'!I47</f>
        <v>9900000</v>
      </c>
      <c r="E47" s="69">
        <v>8</v>
      </c>
      <c r="F47" s="69">
        <v>300000</v>
      </c>
      <c r="G47" s="69">
        <v>240000</v>
      </c>
      <c r="H47" s="71">
        <f t="shared" si="3"/>
        <v>540000</v>
      </c>
      <c r="I47" s="71">
        <f t="shared" si="2"/>
        <v>9600000</v>
      </c>
      <c r="J47" s="69">
        <f t="shared" si="1"/>
        <v>24000</v>
      </c>
    </row>
    <row r="48" ht="12.75" spans="1:10">
      <c r="A48" s="68">
        <v>77</v>
      </c>
      <c r="B48" s="69" t="s">
        <v>89</v>
      </c>
      <c r="C48" s="127" t="s">
        <v>88</v>
      </c>
      <c r="D48" s="126">
        <f>'6-1-26'!I48</f>
        <v>1200000</v>
      </c>
      <c r="E48" s="69"/>
      <c r="F48" s="69"/>
      <c r="G48" s="69"/>
      <c r="H48" s="71">
        <f t="shared" si="3"/>
        <v>0</v>
      </c>
      <c r="I48" s="71">
        <f t="shared" si="2"/>
        <v>1200000</v>
      </c>
      <c r="J48" s="69">
        <f t="shared" si="1"/>
        <v>0</v>
      </c>
    </row>
    <row r="49" ht="12.75" spans="1:10">
      <c r="A49" s="68">
        <v>80</v>
      </c>
      <c r="B49" s="69" t="s">
        <v>90</v>
      </c>
      <c r="C49" s="127" t="s">
        <v>91</v>
      </c>
      <c r="D49" s="126">
        <f>'6-1-26'!I49</f>
        <v>9900000</v>
      </c>
      <c r="E49" s="69"/>
      <c r="F49" s="69"/>
      <c r="G49" s="69"/>
      <c r="H49" s="71">
        <f t="shared" si="3"/>
        <v>0</v>
      </c>
      <c r="I49" s="71">
        <f t="shared" si="2"/>
        <v>9900000</v>
      </c>
      <c r="J49" s="69">
        <f t="shared" si="1"/>
        <v>0</v>
      </c>
    </row>
    <row r="50" ht="12.75" spans="1:10">
      <c r="A50" s="68">
        <v>82</v>
      </c>
      <c r="B50" s="69" t="s">
        <v>92</v>
      </c>
      <c r="C50" s="127" t="s">
        <v>93</v>
      </c>
      <c r="D50" s="126">
        <f>'6-1-26'!I50</f>
        <v>0</v>
      </c>
      <c r="E50" s="69"/>
      <c r="F50" s="69"/>
      <c r="G50" s="69"/>
      <c r="H50" s="71">
        <f t="shared" si="3"/>
        <v>0</v>
      </c>
      <c r="I50" s="71">
        <f t="shared" si="2"/>
        <v>0</v>
      </c>
      <c r="J50" s="69">
        <f t="shared" si="1"/>
        <v>0</v>
      </c>
    </row>
    <row r="51" ht="12.75" spans="1:10">
      <c r="A51" s="68">
        <v>86</v>
      </c>
      <c r="B51" s="69" t="s">
        <v>94</v>
      </c>
      <c r="C51" s="70" t="s">
        <v>95</v>
      </c>
      <c r="D51" s="126">
        <f>'6-1-26'!I51</f>
        <v>16400000</v>
      </c>
      <c r="E51" s="69"/>
      <c r="F51" s="69"/>
      <c r="G51" s="69"/>
      <c r="H51" s="71">
        <f t="shared" si="3"/>
        <v>0</v>
      </c>
      <c r="I51" s="71">
        <f t="shared" si="2"/>
        <v>16400000</v>
      </c>
      <c r="J51" s="69">
        <f t="shared" si="1"/>
        <v>0</v>
      </c>
    </row>
    <row r="52" ht="12.75" spans="1:10">
      <c r="A52" s="68">
        <v>87</v>
      </c>
      <c r="B52" s="69" t="s">
        <v>96</v>
      </c>
      <c r="C52" s="70" t="s">
        <v>97</v>
      </c>
      <c r="D52" s="126">
        <f>'6-1-26'!I52</f>
        <v>25400000</v>
      </c>
      <c r="E52" s="69"/>
      <c r="F52" s="69"/>
      <c r="G52" s="69"/>
      <c r="H52" s="71">
        <f t="shared" si="3"/>
        <v>0</v>
      </c>
      <c r="I52" s="71">
        <f t="shared" si="2"/>
        <v>25400000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126">
        <f>'6-1-26'!I53</f>
        <v>100000</v>
      </c>
      <c r="E53" s="69"/>
      <c r="F53" s="69"/>
      <c r="G53" s="69"/>
      <c r="H53" s="71">
        <f t="shared" si="3"/>
        <v>0</v>
      </c>
      <c r="I53" s="71">
        <f t="shared" si="2"/>
        <v>100000</v>
      </c>
      <c r="J53" s="69">
        <f t="shared" si="1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126">
        <f>'6-1-26'!I54</f>
        <v>5000000</v>
      </c>
      <c r="E54" s="69"/>
      <c r="F54" s="69"/>
      <c r="G54" s="69"/>
      <c r="H54" s="71">
        <f t="shared" si="3"/>
        <v>0</v>
      </c>
      <c r="I54" s="71">
        <f t="shared" si="2"/>
        <v>5000000</v>
      </c>
      <c r="J54" s="69">
        <f t="shared" si="1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126">
        <f>'6-1-26'!I55</f>
        <v>7460000</v>
      </c>
      <c r="E55" s="69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126">
        <f>'6-1-26'!I56</f>
        <v>600000</v>
      </c>
      <c r="E56" s="69"/>
      <c r="F56" s="69"/>
      <c r="G56" s="69"/>
      <c r="H56" s="71">
        <f t="shared" si="3"/>
        <v>0</v>
      </c>
      <c r="I56" s="71">
        <f t="shared" si="2"/>
        <v>600000</v>
      </c>
      <c r="J56" s="69">
        <f t="shared" si="1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126">
        <f>'6-1-26'!I57</f>
        <v>20000000</v>
      </c>
      <c r="E57" s="69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126">
        <f>'6-1-26'!I58</f>
        <v>1985000</v>
      </c>
      <c r="E58" s="69"/>
      <c r="F58" s="69"/>
      <c r="G58" s="69"/>
      <c r="H58" s="71">
        <f t="shared" si="3"/>
        <v>0</v>
      </c>
      <c r="I58" s="71">
        <f t="shared" si="2"/>
        <v>1985000</v>
      </c>
      <c r="J58" s="69">
        <f t="shared" si="1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126">
        <f>'6-1-26'!I59</f>
        <v>450000</v>
      </c>
      <c r="E59" s="69">
        <v>7</v>
      </c>
      <c r="F59" s="69">
        <v>450000</v>
      </c>
      <c r="G59" s="69">
        <v>200000</v>
      </c>
      <c r="H59" s="71">
        <f t="shared" si="3"/>
        <v>650000</v>
      </c>
      <c r="I59" s="71">
        <f t="shared" si="2"/>
        <v>0</v>
      </c>
      <c r="J59" s="69">
        <f t="shared" si="1"/>
        <v>20000</v>
      </c>
    </row>
    <row r="60" ht="12.75" spans="1:10">
      <c r="A60" s="68">
        <v>103</v>
      </c>
      <c r="B60" s="69" t="s">
        <v>109</v>
      </c>
      <c r="C60" s="127" t="s">
        <v>110</v>
      </c>
      <c r="D60" s="126">
        <f>'6-1-26'!I60</f>
        <v>3500000</v>
      </c>
      <c r="E60" s="69">
        <v>7</v>
      </c>
      <c r="F60" s="69">
        <v>250000</v>
      </c>
      <c r="G60" s="69">
        <v>100000</v>
      </c>
      <c r="H60" s="71">
        <f t="shared" si="3"/>
        <v>350000</v>
      </c>
      <c r="I60" s="71">
        <f t="shared" si="2"/>
        <v>3250000</v>
      </c>
      <c r="J60" s="69">
        <f t="shared" si="1"/>
        <v>10000</v>
      </c>
    </row>
    <row r="61" ht="12.75" spans="1:10">
      <c r="A61" s="68">
        <v>106</v>
      </c>
      <c r="B61" s="69" t="s">
        <v>111</v>
      </c>
      <c r="C61" s="70" t="s">
        <v>112</v>
      </c>
      <c r="D61" s="126">
        <f>'6-1-26'!I61</f>
        <v>230000</v>
      </c>
      <c r="E61" s="69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126">
        <f>'6-1-26'!I62</f>
        <v>1000000</v>
      </c>
      <c r="E62" s="69"/>
      <c r="F62" s="69"/>
      <c r="G62" s="69"/>
      <c r="H62" s="71">
        <f t="shared" si="3"/>
        <v>0</v>
      </c>
      <c r="I62" s="71">
        <f t="shared" si="2"/>
        <v>1000000</v>
      </c>
      <c r="J62" s="69">
        <f t="shared" si="1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126">
        <f>'6-1-26'!I63</f>
        <v>700000</v>
      </c>
      <c r="E63" s="69"/>
      <c r="F63" s="69"/>
      <c r="G63" s="69"/>
      <c r="H63" s="71">
        <f t="shared" si="3"/>
        <v>0</v>
      </c>
      <c r="I63" s="71">
        <f t="shared" si="2"/>
        <v>700000</v>
      </c>
      <c r="J63" s="69">
        <f t="shared" si="1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126">
        <f>'6-1-26'!I64</f>
        <v>1500000</v>
      </c>
      <c r="E64" s="69"/>
      <c r="F64" s="69"/>
      <c r="G64" s="69"/>
      <c r="H64" s="71">
        <f t="shared" si="3"/>
        <v>0</v>
      </c>
      <c r="I64" s="71">
        <f t="shared" si="2"/>
        <v>1500000</v>
      </c>
      <c r="J64" s="69">
        <f t="shared" si="1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126">
        <f>'6-1-26'!I65</f>
        <v>6570000</v>
      </c>
      <c r="E65" s="69"/>
      <c r="F65" s="69"/>
      <c r="G65" s="69"/>
      <c r="H65" s="71">
        <f t="shared" si="3"/>
        <v>0</v>
      </c>
      <c r="I65" s="71">
        <f t="shared" si="2"/>
        <v>6570000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126">
        <f>'6-1-26'!I66</f>
        <v>250000</v>
      </c>
      <c r="E66" s="69"/>
      <c r="F66" s="69"/>
      <c r="G66" s="69"/>
      <c r="H66" s="71">
        <f t="shared" si="3"/>
        <v>0</v>
      </c>
      <c r="I66" s="71">
        <f t="shared" si="2"/>
        <v>250000</v>
      </c>
      <c r="J66" s="69">
        <f t="shared" si="1"/>
        <v>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126">
        <f>'6-1-26'!I67</f>
        <v>52000000</v>
      </c>
      <c r="E67" s="69"/>
      <c r="F67" s="69"/>
      <c r="G67" s="69"/>
      <c r="H67" s="71">
        <f t="shared" ref="H67:H186" si="4">SUM(F67:G67)</f>
        <v>0</v>
      </c>
      <c r="I67" s="71">
        <f t="shared" si="2"/>
        <v>52000000</v>
      </c>
      <c r="J67" s="69">
        <f t="shared" si="1"/>
        <v>0</v>
      </c>
    </row>
    <row r="68" ht="12.75" customHeight="1" spans="1:10">
      <c r="A68" s="68"/>
      <c r="B68" s="69"/>
      <c r="C68" s="70"/>
      <c r="D68" s="126"/>
      <c r="E68" s="69"/>
      <c r="F68" s="69"/>
      <c r="G68" s="69"/>
      <c r="H68" s="71"/>
      <c r="I68" s="71"/>
      <c r="J68" s="69">
        <f t="shared" si="1"/>
        <v>0</v>
      </c>
    </row>
    <row r="69" ht="12.75" customHeight="1" spans="1:10">
      <c r="A69" s="68"/>
      <c r="B69" s="69"/>
      <c r="C69" s="70"/>
      <c r="D69" s="126"/>
      <c r="E69" s="69"/>
      <c r="F69" s="69"/>
      <c r="G69" s="69"/>
      <c r="H69" s="71"/>
      <c r="I69" s="71"/>
      <c r="J69" s="69">
        <f t="shared" si="1"/>
        <v>0</v>
      </c>
    </row>
    <row r="70" ht="12.75" customHeight="1" spans="1:10">
      <c r="A70" s="68"/>
      <c r="B70" s="69"/>
      <c r="C70" s="70"/>
      <c r="D70" s="126"/>
      <c r="E70" s="69"/>
      <c r="F70" s="69"/>
      <c r="G70" s="69"/>
      <c r="H70" s="71"/>
      <c r="I70" s="71"/>
      <c r="J70" s="69">
        <f t="shared" si="1"/>
        <v>0</v>
      </c>
    </row>
    <row r="71" ht="12.75" customHeight="1" spans="1:10">
      <c r="A71" s="68"/>
      <c r="B71" s="69"/>
      <c r="C71" s="70"/>
      <c r="D71" s="126"/>
      <c r="E71" s="69"/>
      <c r="F71" s="69"/>
      <c r="G71" s="69"/>
      <c r="H71" s="71"/>
      <c r="I71" s="71"/>
      <c r="J71" s="69">
        <f t="shared" si="1"/>
        <v>0</v>
      </c>
    </row>
    <row r="72" ht="12.75" customHeight="1" spans="1:10">
      <c r="A72" s="68"/>
      <c r="B72" s="69"/>
      <c r="C72" s="70"/>
      <c r="D72" s="126"/>
      <c r="E72" s="69"/>
      <c r="F72" s="69"/>
      <c r="G72" s="69"/>
      <c r="H72" s="71"/>
      <c r="I72" s="71"/>
      <c r="J72" s="69">
        <f t="shared" si="1"/>
        <v>0</v>
      </c>
    </row>
    <row r="73" ht="12.75" customHeight="1" spans="1:10">
      <c r="A73" s="68"/>
      <c r="B73" s="69"/>
      <c r="C73" s="70"/>
      <c r="D73" s="126"/>
      <c r="E73" s="69"/>
      <c r="F73" s="69"/>
      <c r="G73" s="69"/>
      <c r="H73" s="71"/>
      <c r="I73" s="71"/>
      <c r="J73" s="69">
        <f t="shared" ref="J73:J136" si="5">1/10*G73</f>
        <v>0</v>
      </c>
    </row>
    <row r="74" ht="12.75" customHeight="1" spans="1:10">
      <c r="A74" s="68"/>
      <c r="B74" s="69"/>
      <c r="C74" s="70"/>
      <c r="D74" s="126"/>
      <c r="E74" s="69"/>
      <c r="F74" s="69"/>
      <c r="G74" s="69"/>
      <c r="H74" s="71"/>
      <c r="I74" s="71"/>
      <c r="J74" s="69">
        <f t="shared" si="5"/>
        <v>0</v>
      </c>
    </row>
    <row r="75" ht="12.75" customHeight="1" spans="1:10">
      <c r="A75" s="68"/>
      <c r="B75" s="69"/>
      <c r="C75" s="70"/>
      <c r="D75" s="126"/>
      <c r="E75" s="69"/>
      <c r="F75" s="69"/>
      <c r="G75" s="69"/>
      <c r="H75" s="71"/>
      <c r="I75" s="71"/>
      <c r="J75" s="69">
        <f t="shared" si="5"/>
        <v>0</v>
      </c>
    </row>
    <row r="76" ht="12.75" customHeight="1" spans="1:10">
      <c r="A76" s="68"/>
      <c r="B76" s="69"/>
      <c r="C76" s="70"/>
      <c r="D76" s="126"/>
      <c r="E76" s="69"/>
      <c r="F76" s="69"/>
      <c r="G76" s="69"/>
      <c r="H76" s="71"/>
      <c r="I76" s="71"/>
      <c r="J76" s="69">
        <f t="shared" si="5"/>
        <v>0</v>
      </c>
    </row>
    <row r="77" ht="12.75" customHeight="1" spans="1:10">
      <c r="A77" s="68"/>
      <c r="B77" s="69"/>
      <c r="C77" s="70"/>
      <c r="D77" s="126"/>
      <c r="E77" s="69"/>
      <c r="F77" s="69"/>
      <c r="G77" s="69"/>
      <c r="H77" s="71"/>
      <c r="I77" s="71"/>
      <c r="J77" s="69">
        <f t="shared" si="5"/>
        <v>0</v>
      </c>
    </row>
    <row r="78" ht="12.75" customHeight="1" spans="1:10">
      <c r="A78" s="68"/>
      <c r="B78" s="69"/>
      <c r="C78" s="70"/>
      <c r="D78" s="126"/>
      <c r="E78" s="69"/>
      <c r="F78" s="69"/>
      <c r="G78" s="69"/>
      <c r="H78" s="71"/>
      <c r="I78" s="71"/>
      <c r="J78" s="69">
        <f t="shared" si="5"/>
        <v>0</v>
      </c>
    </row>
    <row r="79" ht="12.75" customHeight="1" spans="1:10">
      <c r="A79" s="68"/>
      <c r="B79" s="69"/>
      <c r="C79" s="70"/>
      <c r="D79" s="126"/>
      <c r="E79" s="69"/>
      <c r="F79" s="69"/>
      <c r="G79" s="69"/>
      <c r="H79" s="71"/>
      <c r="I79" s="71"/>
      <c r="J79" s="69">
        <f t="shared" si="5"/>
        <v>0</v>
      </c>
    </row>
    <row r="80" ht="12.75" customHeight="1" spans="1:10">
      <c r="A80" s="68"/>
      <c r="B80" s="69"/>
      <c r="C80" s="70"/>
      <c r="D80" s="126"/>
      <c r="E80" s="69"/>
      <c r="F80" s="69"/>
      <c r="G80" s="69"/>
      <c r="H80" s="71"/>
      <c r="I80" s="71"/>
      <c r="J80" s="69">
        <f t="shared" si="5"/>
        <v>0</v>
      </c>
    </row>
    <row r="81" ht="12.75" customHeight="1" spans="1:10">
      <c r="A81" s="68"/>
      <c r="B81" s="69"/>
      <c r="C81" s="70"/>
      <c r="D81" s="126"/>
      <c r="E81" s="69"/>
      <c r="F81" s="69"/>
      <c r="G81" s="69"/>
      <c r="H81" s="71"/>
      <c r="I81" s="71"/>
      <c r="J81" s="69">
        <f t="shared" si="5"/>
        <v>0</v>
      </c>
    </row>
    <row r="82" ht="12.75" customHeight="1" spans="1:10">
      <c r="A82" s="68"/>
      <c r="B82" s="69"/>
      <c r="C82" s="70"/>
      <c r="D82" s="126"/>
      <c r="E82" s="69"/>
      <c r="F82" s="69"/>
      <c r="G82" s="69"/>
      <c r="H82" s="71"/>
      <c r="I82" s="71"/>
      <c r="J82" s="69">
        <f t="shared" si="5"/>
        <v>0</v>
      </c>
    </row>
    <row r="83" ht="12.75" customHeight="1" spans="1:10">
      <c r="A83" s="68"/>
      <c r="B83" s="69"/>
      <c r="C83" s="70"/>
      <c r="D83" s="126"/>
      <c r="E83" s="69"/>
      <c r="F83" s="69"/>
      <c r="G83" s="69"/>
      <c r="H83" s="71"/>
      <c r="I83" s="71"/>
      <c r="J83" s="69">
        <f t="shared" si="5"/>
        <v>0</v>
      </c>
    </row>
    <row r="84" ht="12.75" customHeight="1" spans="1:10">
      <c r="A84" s="68"/>
      <c r="B84" s="69"/>
      <c r="C84" s="70"/>
      <c r="D84" s="126"/>
      <c r="E84" s="69"/>
      <c r="F84" s="69"/>
      <c r="G84" s="69"/>
      <c r="H84" s="71"/>
      <c r="I84" s="71"/>
      <c r="J84" s="69">
        <f t="shared" si="5"/>
        <v>0</v>
      </c>
    </row>
    <row r="85" ht="12.75" customHeight="1" spans="1:10">
      <c r="A85" s="68"/>
      <c r="B85" s="69"/>
      <c r="C85" s="70"/>
      <c r="D85" s="126"/>
      <c r="E85" s="69"/>
      <c r="F85" s="69"/>
      <c r="G85" s="69"/>
      <c r="H85" s="71"/>
      <c r="I85" s="71"/>
      <c r="J85" s="69">
        <f t="shared" si="5"/>
        <v>0</v>
      </c>
    </row>
    <row r="86" ht="12.75" customHeight="1" spans="1:10">
      <c r="A86" s="68"/>
      <c r="B86" s="69"/>
      <c r="C86" s="70"/>
      <c r="D86" s="126"/>
      <c r="E86" s="69"/>
      <c r="F86" s="69"/>
      <c r="G86" s="69"/>
      <c r="H86" s="71"/>
      <c r="I86" s="71"/>
      <c r="J86" s="69">
        <f t="shared" si="5"/>
        <v>0</v>
      </c>
    </row>
    <row r="87" ht="12.75" customHeight="1" spans="1:10">
      <c r="A87" s="68"/>
      <c r="B87" s="69"/>
      <c r="C87" s="70"/>
      <c r="D87" s="126"/>
      <c r="E87" s="69"/>
      <c r="F87" s="69"/>
      <c r="G87" s="69"/>
      <c r="H87" s="71"/>
      <c r="I87" s="71"/>
      <c r="J87" s="69">
        <f t="shared" si="5"/>
        <v>0</v>
      </c>
    </row>
    <row r="88" ht="12.75" customHeight="1" spans="1:10">
      <c r="A88" s="68"/>
      <c r="B88" s="69"/>
      <c r="C88" s="70"/>
      <c r="D88" s="126"/>
      <c r="E88" s="69"/>
      <c r="F88" s="69"/>
      <c r="G88" s="69"/>
      <c r="H88" s="71"/>
      <c r="I88" s="71"/>
      <c r="J88" s="69">
        <f t="shared" si="5"/>
        <v>0</v>
      </c>
    </row>
    <row r="89" ht="12.75" customHeight="1" spans="1:10">
      <c r="A89" s="68"/>
      <c r="B89" s="69"/>
      <c r="C89" s="70"/>
      <c r="D89" s="126"/>
      <c r="E89" s="69"/>
      <c r="F89" s="69"/>
      <c r="G89" s="69"/>
      <c r="H89" s="71"/>
      <c r="I89" s="71"/>
      <c r="J89" s="69">
        <f t="shared" si="5"/>
        <v>0</v>
      </c>
    </row>
    <row r="90" ht="12.75" customHeight="1" spans="1:10">
      <c r="A90" s="68"/>
      <c r="B90" s="69"/>
      <c r="C90" s="70"/>
      <c r="D90" s="126"/>
      <c r="E90" s="69"/>
      <c r="F90" s="69"/>
      <c r="G90" s="69"/>
      <c r="H90" s="71"/>
      <c r="I90" s="71"/>
      <c r="J90" s="69">
        <f t="shared" si="5"/>
        <v>0</v>
      </c>
    </row>
    <row r="91" ht="12.75" customHeight="1" spans="1:10">
      <c r="A91" s="68"/>
      <c r="B91" s="69"/>
      <c r="C91" s="70"/>
      <c r="D91" s="126"/>
      <c r="E91" s="69"/>
      <c r="F91" s="69"/>
      <c r="G91" s="69"/>
      <c r="H91" s="71"/>
      <c r="I91" s="71"/>
      <c r="J91" s="69">
        <f t="shared" si="5"/>
        <v>0</v>
      </c>
    </row>
    <row r="92" ht="12.75" customHeight="1" spans="1:10">
      <c r="A92" s="68"/>
      <c r="B92" s="69"/>
      <c r="C92" s="70"/>
      <c r="D92" s="126"/>
      <c r="E92" s="69"/>
      <c r="F92" s="69"/>
      <c r="G92" s="69"/>
      <c r="H92" s="71"/>
      <c r="I92" s="71"/>
      <c r="J92" s="69">
        <f t="shared" si="5"/>
        <v>0</v>
      </c>
    </row>
    <row r="93" ht="12.75" customHeight="1" spans="1:10">
      <c r="A93" s="68"/>
      <c r="B93" s="69"/>
      <c r="C93" s="70"/>
      <c r="D93" s="126"/>
      <c r="E93" s="69"/>
      <c r="F93" s="69"/>
      <c r="G93" s="69"/>
      <c r="H93" s="71"/>
      <c r="I93" s="71"/>
      <c r="J93" s="69">
        <f t="shared" si="5"/>
        <v>0</v>
      </c>
    </row>
    <row r="94" ht="12.75" customHeight="1" spans="1:10">
      <c r="A94" s="68"/>
      <c r="B94" s="69"/>
      <c r="C94" s="70"/>
      <c r="D94" s="126"/>
      <c r="E94" s="69"/>
      <c r="F94" s="69"/>
      <c r="G94" s="69"/>
      <c r="H94" s="71"/>
      <c r="I94" s="71"/>
      <c r="J94" s="69">
        <f t="shared" si="5"/>
        <v>0</v>
      </c>
    </row>
    <row r="95" ht="12.75" customHeight="1" spans="1:10">
      <c r="A95" s="68"/>
      <c r="B95" s="69"/>
      <c r="C95" s="70"/>
      <c r="D95" s="126"/>
      <c r="E95" s="69"/>
      <c r="F95" s="69"/>
      <c r="G95" s="69"/>
      <c r="H95" s="71"/>
      <c r="I95" s="71"/>
      <c r="J95" s="69">
        <f t="shared" si="5"/>
        <v>0</v>
      </c>
    </row>
    <row r="96" ht="12.75" customHeight="1" spans="1:10">
      <c r="A96" s="68"/>
      <c r="B96" s="69"/>
      <c r="C96" s="70"/>
      <c r="D96" s="126"/>
      <c r="E96" s="69"/>
      <c r="F96" s="69"/>
      <c r="G96" s="69"/>
      <c r="H96" s="71"/>
      <c r="I96" s="71"/>
      <c r="J96" s="69">
        <f t="shared" si="5"/>
        <v>0</v>
      </c>
    </row>
    <row r="97" ht="12.75" customHeight="1" spans="1:10">
      <c r="A97" s="68"/>
      <c r="B97" s="69"/>
      <c r="C97" s="70"/>
      <c r="D97" s="126"/>
      <c r="E97" s="69"/>
      <c r="F97" s="69"/>
      <c r="G97" s="69"/>
      <c r="H97" s="71"/>
      <c r="I97" s="71"/>
      <c r="J97" s="69">
        <f t="shared" si="5"/>
        <v>0</v>
      </c>
    </row>
    <row r="98" ht="12.75" customHeight="1" spans="1:10">
      <c r="A98" s="68"/>
      <c r="B98" s="69"/>
      <c r="C98" s="70"/>
      <c r="D98" s="126"/>
      <c r="E98" s="69"/>
      <c r="F98" s="69"/>
      <c r="G98" s="69"/>
      <c r="H98" s="71"/>
      <c r="I98" s="71"/>
      <c r="J98" s="69">
        <f t="shared" si="5"/>
        <v>0</v>
      </c>
    </row>
    <row r="99" ht="12.75" customHeight="1" spans="1:10">
      <c r="A99" s="68"/>
      <c r="B99" s="69"/>
      <c r="C99" s="70"/>
      <c r="D99" s="126"/>
      <c r="E99" s="69"/>
      <c r="F99" s="69"/>
      <c r="G99" s="69"/>
      <c r="H99" s="71"/>
      <c r="I99" s="71"/>
      <c r="J99" s="69">
        <f t="shared" si="5"/>
        <v>0</v>
      </c>
    </row>
    <row r="100" ht="12.75" customHeight="1" spans="1:10">
      <c r="A100" s="68"/>
      <c r="B100" s="69"/>
      <c r="C100" s="70"/>
      <c r="D100" s="126"/>
      <c r="E100" s="69"/>
      <c r="F100" s="69"/>
      <c r="G100" s="69"/>
      <c r="H100" s="71"/>
      <c r="I100" s="71"/>
      <c r="J100" s="69">
        <f t="shared" si="5"/>
        <v>0</v>
      </c>
    </row>
    <row r="101" ht="12.75" customHeight="1" spans="1:10">
      <c r="A101" s="68"/>
      <c r="B101" s="69"/>
      <c r="C101" s="70"/>
      <c r="D101" s="126"/>
      <c r="E101" s="69"/>
      <c r="F101" s="69"/>
      <c r="G101" s="69"/>
      <c r="H101" s="71"/>
      <c r="I101" s="71"/>
      <c r="J101" s="69">
        <f t="shared" si="5"/>
        <v>0</v>
      </c>
    </row>
    <row r="102" ht="12.75" customHeight="1" spans="1:10">
      <c r="A102" s="68"/>
      <c r="B102" s="69"/>
      <c r="C102" s="70"/>
      <c r="D102" s="126"/>
      <c r="E102" s="69"/>
      <c r="F102" s="69"/>
      <c r="G102" s="69"/>
      <c r="H102" s="71"/>
      <c r="I102" s="71"/>
      <c r="J102" s="69">
        <f t="shared" si="5"/>
        <v>0</v>
      </c>
    </row>
    <row r="103" ht="12.75" customHeight="1" spans="1:10">
      <c r="A103" s="68"/>
      <c r="B103" s="69"/>
      <c r="C103" s="70"/>
      <c r="D103" s="126"/>
      <c r="E103" s="69"/>
      <c r="F103" s="69"/>
      <c r="G103" s="69"/>
      <c r="H103" s="71"/>
      <c r="I103" s="71"/>
      <c r="J103" s="69">
        <f t="shared" si="5"/>
        <v>0</v>
      </c>
    </row>
    <row r="104" ht="12.75" customHeight="1" spans="1:10">
      <c r="A104" s="68"/>
      <c r="B104" s="69"/>
      <c r="C104" s="70"/>
      <c r="D104" s="126"/>
      <c r="E104" s="69"/>
      <c r="F104" s="69"/>
      <c r="G104" s="69"/>
      <c r="H104" s="71"/>
      <c r="I104" s="71"/>
      <c r="J104" s="69">
        <f t="shared" si="5"/>
        <v>0</v>
      </c>
    </row>
    <row r="105" ht="12.75" customHeight="1" spans="1:10">
      <c r="A105" s="68"/>
      <c r="B105" s="69"/>
      <c r="C105" s="70"/>
      <c r="D105" s="126"/>
      <c r="E105" s="69"/>
      <c r="F105" s="69"/>
      <c r="G105" s="69"/>
      <c r="H105" s="71"/>
      <c r="I105" s="71"/>
      <c r="J105" s="69">
        <f t="shared" si="5"/>
        <v>0</v>
      </c>
    </row>
    <row r="106" ht="12.75" customHeight="1" spans="1:10">
      <c r="A106" s="68"/>
      <c r="B106" s="69"/>
      <c r="C106" s="70"/>
      <c r="D106" s="126"/>
      <c r="E106" s="69"/>
      <c r="F106" s="69"/>
      <c r="G106" s="69"/>
      <c r="H106" s="71"/>
      <c r="I106" s="71"/>
      <c r="J106" s="69">
        <f t="shared" si="5"/>
        <v>0</v>
      </c>
    </row>
    <row r="107" ht="12.75" customHeight="1" spans="1:10">
      <c r="A107" s="68"/>
      <c r="B107" s="69"/>
      <c r="C107" s="70"/>
      <c r="D107" s="126"/>
      <c r="E107" s="69"/>
      <c r="F107" s="69"/>
      <c r="G107" s="69"/>
      <c r="H107" s="71"/>
      <c r="I107" s="71"/>
      <c r="J107" s="69">
        <f t="shared" si="5"/>
        <v>0</v>
      </c>
    </row>
    <row r="108" ht="12.75" customHeight="1" spans="1:10">
      <c r="A108" s="68"/>
      <c r="B108" s="69"/>
      <c r="C108" s="70"/>
      <c r="D108" s="126"/>
      <c r="E108" s="69"/>
      <c r="F108" s="69"/>
      <c r="G108" s="69"/>
      <c r="H108" s="71"/>
      <c r="I108" s="71"/>
      <c r="J108" s="69">
        <f t="shared" si="5"/>
        <v>0</v>
      </c>
    </row>
    <row r="109" ht="12.75" customHeight="1" spans="1:10">
      <c r="A109" s="68"/>
      <c r="B109" s="69"/>
      <c r="C109" s="70"/>
      <c r="D109" s="126"/>
      <c r="E109" s="69"/>
      <c r="F109" s="69"/>
      <c r="G109" s="69"/>
      <c r="H109" s="71"/>
      <c r="I109" s="71"/>
      <c r="J109" s="69">
        <f t="shared" si="5"/>
        <v>0</v>
      </c>
    </row>
    <row r="110" ht="12.75" customHeight="1" spans="1:10">
      <c r="A110" s="68"/>
      <c r="B110" s="69"/>
      <c r="C110" s="70"/>
      <c r="D110" s="126"/>
      <c r="E110" s="69"/>
      <c r="F110" s="69"/>
      <c r="G110" s="69"/>
      <c r="H110" s="71"/>
      <c r="I110" s="71"/>
      <c r="J110" s="69">
        <f t="shared" si="5"/>
        <v>0</v>
      </c>
    </row>
    <row r="111" ht="12.75" customHeight="1" spans="1:10">
      <c r="A111" s="68"/>
      <c r="B111" s="69"/>
      <c r="C111" s="70"/>
      <c r="D111" s="126"/>
      <c r="E111" s="69"/>
      <c r="F111" s="69"/>
      <c r="G111" s="69"/>
      <c r="H111" s="71"/>
      <c r="I111" s="71"/>
      <c r="J111" s="69">
        <f t="shared" si="5"/>
        <v>0</v>
      </c>
    </row>
    <row r="112" ht="12.75" customHeight="1" spans="1:10">
      <c r="A112" s="68"/>
      <c r="B112" s="69"/>
      <c r="C112" s="70"/>
      <c r="D112" s="126"/>
      <c r="E112" s="69"/>
      <c r="F112" s="69"/>
      <c r="G112" s="69"/>
      <c r="H112" s="71"/>
      <c r="I112" s="71"/>
      <c r="J112" s="69">
        <f t="shared" si="5"/>
        <v>0</v>
      </c>
    </row>
    <row r="113" ht="12.75" customHeight="1" spans="1:10">
      <c r="A113" s="68"/>
      <c r="B113" s="69"/>
      <c r="C113" s="70"/>
      <c r="D113" s="126"/>
      <c r="E113" s="69"/>
      <c r="F113" s="69"/>
      <c r="G113" s="69"/>
      <c r="H113" s="71"/>
      <c r="I113" s="71"/>
      <c r="J113" s="69">
        <f t="shared" si="5"/>
        <v>0</v>
      </c>
    </row>
    <row r="114" ht="12.75" customHeight="1" spans="1:10">
      <c r="A114" s="68"/>
      <c r="B114" s="69"/>
      <c r="C114" s="70"/>
      <c r="D114" s="126"/>
      <c r="E114" s="69"/>
      <c r="F114" s="69"/>
      <c r="G114" s="69"/>
      <c r="H114" s="71"/>
      <c r="I114" s="71"/>
      <c r="J114" s="69">
        <f t="shared" si="5"/>
        <v>0</v>
      </c>
    </row>
    <row r="115" ht="12.75" customHeight="1" spans="1:10">
      <c r="A115" s="68"/>
      <c r="B115" s="69"/>
      <c r="C115" s="70"/>
      <c r="D115" s="126"/>
      <c r="E115" s="69"/>
      <c r="F115" s="69"/>
      <c r="G115" s="69"/>
      <c r="H115" s="71"/>
      <c r="I115" s="71"/>
      <c r="J115" s="69">
        <f t="shared" si="5"/>
        <v>0</v>
      </c>
    </row>
    <row r="116" ht="12.75" customHeight="1" spans="1:10">
      <c r="A116" s="68"/>
      <c r="B116" s="69"/>
      <c r="C116" s="70"/>
      <c r="D116" s="126"/>
      <c r="E116" s="69"/>
      <c r="F116" s="69"/>
      <c r="G116" s="69"/>
      <c r="H116" s="71"/>
      <c r="I116" s="71"/>
      <c r="J116" s="69">
        <f t="shared" si="5"/>
        <v>0</v>
      </c>
    </row>
    <row r="117" ht="12.75" customHeight="1" spans="1:10">
      <c r="A117" s="68"/>
      <c r="B117" s="69"/>
      <c r="C117" s="70"/>
      <c r="D117" s="126"/>
      <c r="E117" s="69"/>
      <c r="F117" s="69"/>
      <c r="G117" s="69"/>
      <c r="H117" s="71"/>
      <c r="I117" s="71"/>
      <c r="J117" s="69">
        <f t="shared" si="5"/>
        <v>0</v>
      </c>
    </row>
    <row r="118" ht="12.75" customHeight="1" spans="1:10">
      <c r="A118" s="68"/>
      <c r="B118" s="69"/>
      <c r="C118" s="70"/>
      <c r="D118" s="126"/>
      <c r="E118" s="69"/>
      <c r="F118" s="69"/>
      <c r="G118" s="69"/>
      <c r="H118" s="71"/>
      <c r="I118" s="71"/>
      <c r="J118" s="69">
        <f t="shared" si="5"/>
        <v>0</v>
      </c>
    </row>
    <row r="119" ht="12.75" customHeight="1" spans="1:10">
      <c r="A119" s="68"/>
      <c r="B119" s="69"/>
      <c r="C119" s="70"/>
      <c r="D119" s="126"/>
      <c r="E119" s="69"/>
      <c r="F119" s="69"/>
      <c r="G119" s="69"/>
      <c r="H119" s="71"/>
      <c r="I119" s="71"/>
      <c r="J119" s="69">
        <f t="shared" si="5"/>
        <v>0</v>
      </c>
    </row>
    <row r="120" ht="12.75" customHeight="1" spans="1:10">
      <c r="A120" s="68"/>
      <c r="B120" s="69"/>
      <c r="C120" s="70"/>
      <c r="D120" s="126"/>
      <c r="E120" s="69"/>
      <c r="F120" s="69"/>
      <c r="G120" s="69"/>
      <c r="H120" s="71"/>
      <c r="I120" s="71"/>
      <c r="J120" s="69">
        <f t="shared" si="5"/>
        <v>0</v>
      </c>
    </row>
    <row r="121" ht="12.75" customHeight="1" spans="1:10">
      <c r="A121" s="68"/>
      <c r="B121" s="69"/>
      <c r="C121" s="70"/>
      <c r="D121" s="126"/>
      <c r="E121" s="69"/>
      <c r="F121" s="69"/>
      <c r="G121" s="69"/>
      <c r="H121" s="71"/>
      <c r="I121" s="71"/>
      <c r="J121" s="69">
        <f t="shared" si="5"/>
        <v>0</v>
      </c>
    </row>
    <row r="122" ht="12.75" customHeight="1" spans="1:10">
      <c r="A122" s="68"/>
      <c r="B122" s="69"/>
      <c r="C122" s="70"/>
      <c r="D122" s="126"/>
      <c r="E122" s="69"/>
      <c r="F122" s="69"/>
      <c r="G122" s="69"/>
      <c r="H122" s="71"/>
      <c r="I122" s="71"/>
      <c r="J122" s="69">
        <f t="shared" si="5"/>
        <v>0</v>
      </c>
    </row>
    <row r="123" ht="12.75" customHeight="1" spans="1:10">
      <c r="A123" s="68"/>
      <c r="B123" s="69"/>
      <c r="C123" s="70"/>
      <c r="D123" s="126"/>
      <c r="E123" s="69"/>
      <c r="F123" s="69"/>
      <c r="G123" s="69"/>
      <c r="H123" s="71"/>
      <c r="I123" s="71"/>
      <c r="J123" s="69">
        <f t="shared" si="5"/>
        <v>0</v>
      </c>
    </row>
    <row r="124" ht="12.75" customHeight="1" spans="1:10">
      <c r="A124" s="68"/>
      <c r="B124" s="69"/>
      <c r="C124" s="70"/>
      <c r="D124" s="126"/>
      <c r="E124" s="69"/>
      <c r="F124" s="69"/>
      <c r="G124" s="69"/>
      <c r="H124" s="71"/>
      <c r="I124" s="71"/>
      <c r="J124" s="69">
        <f t="shared" si="5"/>
        <v>0</v>
      </c>
    </row>
    <row r="125" ht="12.75" customHeight="1" spans="1:10">
      <c r="A125" s="68"/>
      <c r="B125" s="69"/>
      <c r="C125" s="70"/>
      <c r="D125" s="126"/>
      <c r="E125" s="69"/>
      <c r="F125" s="69"/>
      <c r="G125" s="69"/>
      <c r="H125" s="71"/>
      <c r="I125" s="71"/>
      <c r="J125" s="69">
        <f t="shared" si="5"/>
        <v>0</v>
      </c>
    </row>
    <row r="126" ht="12.75" customHeight="1" spans="1:10">
      <c r="A126" s="68"/>
      <c r="B126" s="69"/>
      <c r="C126" s="70"/>
      <c r="D126" s="126"/>
      <c r="E126" s="69"/>
      <c r="F126" s="69"/>
      <c r="G126" s="69"/>
      <c r="H126" s="71"/>
      <c r="I126" s="71"/>
      <c r="J126" s="69">
        <f t="shared" si="5"/>
        <v>0</v>
      </c>
    </row>
    <row r="127" ht="12.75" customHeight="1" spans="1:10">
      <c r="A127" s="68"/>
      <c r="B127" s="69"/>
      <c r="C127" s="70"/>
      <c r="D127" s="126"/>
      <c r="E127" s="69"/>
      <c r="F127" s="69"/>
      <c r="G127" s="69"/>
      <c r="H127" s="71"/>
      <c r="I127" s="71"/>
      <c r="J127" s="69">
        <f t="shared" si="5"/>
        <v>0</v>
      </c>
    </row>
    <row r="128" ht="12.75" customHeight="1" spans="1:10">
      <c r="A128" s="68"/>
      <c r="B128" s="69"/>
      <c r="C128" s="70"/>
      <c r="D128" s="126"/>
      <c r="E128" s="69"/>
      <c r="F128" s="69"/>
      <c r="G128" s="69"/>
      <c r="H128" s="71"/>
      <c r="I128" s="71"/>
      <c r="J128" s="69">
        <f t="shared" si="5"/>
        <v>0</v>
      </c>
    </row>
    <row r="129" ht="12.75" customHeight="1" spans="1:10">
      <c r="A129" s="68"/>
      <c r="B129" s="69"/>
      <c r="C129" s="70"/>
      <c r="D129" s="126"/>
      <c r="E129" s="69"/>
      <c r="F129" s="69"/>
      <c r="G129" s="69"/>
      <c r="H129" s="71"/>
      <c r="I129" s="71"/>
      <c r="J129" s="69">
        <f t="shared" si="5"/>
        <v>0</v>
      </c>
    </row>
    <row r="130" ht="12.75" customHeight="1" spans="1:10">
      <c r="A130" s="68"/>
      <c r="B130" s="69"/>
      <c r="C130" s="70"/>
      <c r="D130" s="126"/>
      <c r="E130" s="69"/>
      <c r="F130" s="69"/>
      <c r="G130" s="69"/>
      <c r="H130" s="71"/>
      <c r="I130" s="71"/>
      <c r="J130" s="69">
        <f t="shared" si="5"/>
        <v>0</v>
      </c>
    </row>
    <row r="131" ht="12.75" customHeight="1" spans="1:10">
      <c r="A131" s="68"/>
      <c r="B131" s="69"/>
      <c r="C131" s="70"/>
      <c r="D131" s="126"/>
      <c r="E131" s="69"/>
      <c r="F131" s="69"/>
      <c r="G131" s="69"/>
      <c r="H131" s="71"/>
      <c r="I131" s="71"/>
      <c r="J131" s="69">
        <f t="shared" si="5"/>
        <v>0</v>
      </c>
    </row>
    <row r="132" ht="12.75" customHeight="1" spans="1:10">
      <c r="A132" s="68"/>
      <c r="B132" s="69"/>
      <c r="C132" s="70"/>
      <c r="D132" s="126"/>
      <c r="E132" s="69"/>
      <c r="F132" s="69"/>
      <c r="G132" s="69"/>
      <c r="H132" s="71"/>
      <c r="I132" s="71"/>
      <c r="J132" s="69">
        <f t="shared" si="5"/>
        <v>0</v>
      </c>
    </row>
    <row r="133" ht="12.75" customHeight="1" spans="1:10">
      <c r="A133" s="68"/>
      <c r="B133" s="69"/>
      <c r="C133" s="70"/>
      <c r="D133" s="126"/>
      <c r="E133" s="69"/>
      <c r="F133" s="69"/>
      <c r="G133" s="69"/>
      <c r="H133" s="71"/>
      <c r="I133" s="71"/>
      <c r="J133" s="69">
        <f t="shared" si="5"/>
        <v>0</v>
      </c>
    </row>
    <row r="134" ht="12.75" customHeight="1" spans="1:10">
      <c r="A134" s="68"/>
      <c r="B134" s="69"/>
      <c r="C134" s="70"/>
      <c r="D134" s="126"/>
      <c r="E134" s="69"/>
      <c r="F134" s="69"/>
      <c r="G134" s="69"/>
      <c r="H134" s="71"/>
      <c r="I134" s="71"/>
      <c r="J134" s="69">
        <f t="shared" si="5"/>
        <v>0</v>
      </c>
    </row>
    <row r="135" ht="12.75" customHeight="1" spans="1:10">
      <c r="A135" s="68"/>
      <c r="B135" s="69"/>
      <c r="C135" s="70"/>
      <c r="D135" s="126"/>
      <c r="E135" s="69"/>
      <c r="F135" s="69"/>
      <c r="G135" s="69"/>
      <c r="H135" s="71"/>
      <c r="I135" s="71"/>
      <c r="J135" s="69">
        <f t="shared" si="5"/>
        <v>0</v>
      </c>
    </row>
    <row r="136" ht="12.75" customHeight="1" spans="1:10">
      <c r="A136" s="68"/>
      <c r="B136" s="69"/>
      <c r="C136" s="70"/>
      <c r="D136" s="126"/>
      <c r="E136" s="69"/>
      <c r="F136" s="69"/>
      <c r="G136" s="69"/>
      <c r="H136" s="71"/>
      <c r="I136" s="71"/>
      <c r="J136" s="69">
        <f t="shared" si="5"/>
        <v>0</v>
      </c>
    </row>
    <row r="137" ht="12.75" customHeight="1" spans="1:10">
      <c r="A137" s="68"/>
      <c r="B137" s="69"/>
      <c r="C137" s="70"/>
      <c r="D137" s="126"/>
      <c r="E137" s="69"/>
      <c r="F137" s="69"/>
      <c r="G137" s="69"/>
      <c r="H137" s="71"/>
      <c r="I137" s="71"/>
      <c r="J137" s="69">
        <f t="shared" ref="J137:J186" si="6">1/10*G137</f>
        <v>0</v>
      </c>
    </row>
    <row r="138" ht="12.75" customHeight="1" spans="1:10">
      <c r="A138" s="68"/>
      <c r="B138" s="69"/>
      <c r="C138" s="70"/>
      <c r="D138" s="126"/>
      <c r="E138" s="69"/>
      <c r="F138" s="69"/>
      <c r="G138" s="69"/>
      <c r="H138" s="71"/>
      <c r="I138" s="71"/>
      <c r="J138" s="69">
        <f t="shared" si="6"/>
        <v>0</v>
      </c>
    </row>
    <row r="139" ht="12.75" customHeight="1" spans="1:10">
      <c r="A139" s="68"/>
      <c r="B139" s="69"/>
      <c r="C139" s="70"/>
      <c r="D139" s="126"/>
      <c r="E139" s="69"/>
      <c r="F139" s="69"/>
      <c r="G139" s="69"/>
      <c r="H139" s="71"/>
      <c r="I139" s="71"/>
      <c r="J139" s="69">
        <f t="shared" si="6"/>
        <v>0</v>
      </c>
    </row>
    <row r="140" ht="12.75" customHeight="1" spans="1:10">
      <c r="A140" s="68"/>
      <c r="B140" s="69"/>
      <c r="C140" s="70"/>
      <c r="D140" s="126"/>
      <c r="E140" s="69"/>
      <c r="F140" s="69"/>
      <c r="G140" s="69"/>
      <c r="H140" s="71"/>
      <c r="I140" s="71"/>
      <c r="J140" s="69">
        <f t="shared" si="6"/>
        <v>0</v>
      </c>
    </row>
    <row r="141" ht="12.75" customHeight="1" spans="1:10">
      <c r="A141" s="68"/>
      <c r="B141" s="69"/>
      <c r="C141" s="70"/>
      <c r="D141" s="126"/>
      <c r="E141" s="69"/>
      <c r="F141" s="69"/>
      <c r="G141" s="69"/>
      <c r="H141" s="71"/>
      <c r="I141" s="71"/>
      <c r="J141" s="69">
        <f t="shared" si="6"/>
        <v>0</v>
      </c>
    </row>
    <row r="142" ht="12.75" customHeight="1" spans="1:10">
      <c r="A142" s="68"/>
      <c r="B142" s="69"/>
      <c r="C142" s="70"/>
      <c r="D142" s="126"/>
      <c r="E142" s="69"/>
      <c r="F142" s="69"/>
      <c r="G142" s="69"/>
      <c r="H142" s="71"/>
      <c r="I142" s="71"/>
      <c r="J142" s="69">
        <f t="shared" si="6"/>
        <v>0</v>
      </c>
    </row>
    <row r="143" ht="12.75" customHeight="1" spans="1:10">
      <c r="A143" s="68"/>
      <c r="B143" s="69"/>
      <c r="C143" s="70"/>
      <c r="D143" s="126"/>
      <c r="E143" s="69"/>
      <c r="F143" s="69"/>
      <c r="G143" s="69"/>
      <c r="H143" s="71"/>
      <c r="I143" s="71"/>
      <c r="J143" s="69">
        <f t="shared" si="6"/>
        <v>0</v>
      </c>
    </row>
    <row r="144" ht="12.75" customHeight="1" spans="1:10">
      <c r="A144" s="68"/>
      <c r="B144" s="69"/>
      <c r="C144" s="70"/>
      <c r="D144" s="126"/>
      <c r="E144" s="69"/>
      <c r="F144" s="69"/>
      <c r="G144" s="69"/>
      <c r="H144" s="71"/>
      <c r="I144" s="71"/>
      <c r="J144" s="69">
        <f t="shared" si="6"/>
        <v>0</v>
      </c>
    </row>
    <row r="145" ht="12.75" customHeight="1" spans="1:10">
      <c r="A145" s="68"/>
      <c r="B145" s="69"/>
      <c r="C145" s="70"/>
      <c r="D145" s="126"/>
      <c r="E145" s="69"/>
      <c r="F145" s="69"/>
      <c r="G145" s="69"/>
      <c r="H145" s="71"/>
      <c r="I145" s="71"/>
      <c r="J145" s="69">
        <f t="shared" si="6"/>
        <v>0</v>
      </c>
    </row>
    <row r="146" ht="12.75" customHeight="1" spans="1:10">
      <c r="A146" s="68"/>
      <c r="B146" s="69"/>
      <c r="C146" s="70"/>
      <c r="D146" s="126"/>
      <c r="E146" s="69"/>
      <c r="F146" s="69"/>
      <c r="G146" s="69"/>
      <c r="H146" s="71"/>
      <c r="I146" s="71"/>
      <c r="J146" s="69">
        <f t="shared" si="6"/>
        <v>0</v>
      </c>
    </row>
    <row r="147" ht="12.75" customHeight="1" spans="1:10">
      <c r="A147" s="68"/>
      <c r="B147" s="69"/>
      <c r="C147" s="70"/>
      <c r="D147" s="126"/>
      <c r="E147" s="69"/>
      <c r="F147" s="69"/>
      <c r="G147" s="69"/>
      <c r="H147" s="71"/>
      <c r="I147" s="71"/>
      <c r="J147" s="69">
        <f t="shared" si="6"/>
        <v>0</v>
      </c>
    </row>
    <row r="148" ht="12.75" customHeight="1" spans="1:10">
      <c r="A148" s="68"/>
      <c r="B148" s="69"/>
      <c r="C148" s="70"/>
      <c r="D148" s="126"/>
      <c r="E148" s="69"/>
      <c r="F148" s="69"/>
      <c r="G148" s="69"/>
      <c r="H148" s="71"/>
      <c r="I148" s="71"/>
      <c r="J148" s="69">
        <f t="shared" si="6"/>
        <v>0</v>
      </c>
    </row>
    <row r="149" ht="12.75" customHeight="1" spans="1:10">
      <c r="A149" s="68"/>
      <c r="B149" s="69"/>
      <c r="C149" s="70"/>
      <c r="D149" s="126"/>
      <c r="E149" s="69"/>
      <c r="F149" s="69"/>
      <c r="G149" s="69"/>
      <c r="H149" s="71"/>
      <c r="I149" s="71"/>
      <c r="J149" s="69">
        <f t="shared" si="6"/>
        <v>0</v>
      </c>
    </row>
    <row r="150" ht="12.75" customHeight="1" spans="1:10">
      <c r="A150" s="68"/>
      <c r="B150" s="69"/>
      <c r="C150" s="70"/>
      <c r="D150" s="126"/>
      <c r="E150" s="69"/>
      <c r="F150" s="69"/>
      <c r="G150" s="69"/>
      <c r="H150" s="71"/>
      <c r="I150" s="71"/>
      <c r="J150" s="69">
        <f t="shared" si="6"/>
        <v>0</v>
      </c>
    </row>
    <row r="151" ht="12.75" customHeight="1" spans="1:10">
      <c r="A151" s="68"/>
      <c r="B151" s="69"/>
      <c r="C151" s="70"/>
      <c r="D151" s="126"/>
      <c r="E151" s="69"/>
      <c r="F151" s="69"/>
      <c r="G151" s="69"/>
      <c r="H151" s="71"/>
      <c r="I151" s="71"/>
      <c r="J151" s="69">
        <f t="shared" si="6"/>
        <v>0</v>
      </c>
    </row>
    <row r="152" ht="12.75" customHeight="1" spans="1:10">
      <c r="A152" s="68"/>
      <c r="B152" s="69"/>
      <c r="C152" s="70"/>
      <c r="D152" s="126"/>
      <c r="E152" s="69"/>
      <c r="F152" s="69"/>
      <c r="G152" s="69"/>
      <c r="H152" s="71"/>
      <c r="I152" s="71"/>
      <c r="J152" s="69">
        <f t="shared" si="6"/>
        <v>0</v>
      </c>
    </row>
    <row r="153" ht="12.75" customHeight="1" spans="1:10">
      <c r="A153" s="68"/>
      <c r="B153" s="69"/>
      <c r="C153" s="70"/>
      <c r="D153" s="126"/>
      <c r="E153" s="69"/>
      <c r="F153" s="69"/>
      <c r="G153" s="69"/>
      <c r="H153" s="71"/>
      <c r="I153" s="71"/>
      <c r="J153" s="69">
        <f t="shared" si="6"/>
        <v>0</v>
      </c>
    </row>
    <row r="154" ht="12.75" customHeight="1" spans="1:10">
      <c r="A154" s="68"/>
      <c r="B154" s="69"/>
      <c r="C154" s="70"/>
      <c r="D154" s="126"/>
      <c r="E154" s="69"/>
      <c r="F154" s="69"/>
      <c r="G154" s="69"/>
      <c r="H154" s="71"/>
      <c r="I154" s="71"/>
      <c r="J154" s="69">
        <f t="shared" si="6"/>
        <v>0</v>
      </c>
    </row>
    <row r="155" ht="12.75" customHeight="1" spans="1:10">
      <c r="A155" s="68"/>
      <c r="B155" s="69"/>
      <c r="C155" s="70"/>
      <c r="D155" s="126"/>
      <c r="E155" s="69"/>
      <c r="F155" s="69"/>
      <c r="G155" s="69"/>
      <c r="H155" s="71"/>
      <c r="I155" s="71"/>
      <c r="J155" s="69">
        <f t="shared" si="6"/>
        <v>0</v>
      </c>
    </row>
    <row r="156" ht="12.75" customHeight="1" spans="1:10">
      <c r="A156" s="68"/>
      <c r="B156" s="69"/>
      <c r="C156" s="70"/>
      <c r="D156" s="126"/>
      <c r="E156" s="69"/>
      <c r="F156" s="69"/>
      <c r="G156" s="69"/>
      <c r="H156" s="71"/>
      <c r="I156" s="71"/>
      <c r="J156" s="69">
        <f t="shared" si="6"/>
        <v>0</v>
      </c>
    </row>
    <row r="157" ht="12.75" customHeight="1" spans="1:10">
      <c r="A157" s="68"/>
      <c r="B157" s="69"/>
      <c r="C157" s="70"/>
      <c r="D157" s="126"/>
      <c r="E157" s="69"/>
      <c r="F157" s="69"/>
      <c r="G157" s="69"/>
      <c r="H157" s="71"/>
      <c r="I157" s="71"/>
      <c r="J157" s="69">
        <f t="shared" si="6"/>
        <v>0</v>
      </c>
    </row>
    <row r="158" ht="12.75" customHeight="1" spans="1:10">
      <c r="A158" s="68"/>
      <c r="B158" s="69"/>
      <c r="C158" s="70"/>
      <c r="D158" s="126"/>
      <c r="E158" s="69"/>
      <c r="F158" s="69"/>
      <c r="G158" s="69"/>
      <c r="H158" s="71"/>
      <c r="I158" s="71"/>
      <c r="J158" s="69">
        <f t="shared" si="6"/>
        <v>0</v>
      </c>
    </row>
    <row r="159" ht="12.75" customHeight="1" spans="1:10">
      <c r="A159" s="68"/>
      <c r="B159" s="69"/>
      <c r="C159" s="70"/>
      <c r="D159" s="126"/>
      <c r="E159" s="69"/>
      <c r="F159" s="69"/>
      <c r="G159" s="69"/>
      <c r="H159" s="71"/>
      <c r="I159" s="71"/>
      <c r="J159" s="69">
        <f t="shared" si="6"/>
        <v>0</v>
      </c>
    </row>
    <row r="160" ht="12.75" customHeight="1" spans="1:10">
      <c r="A160" s="68"/>
      <c r="B160" s="69"/>
      <c r="C160" s="70"/>
      <c r="D160" s="126"/>
      <c r="E160" s="69"/>
      <c r="F160" s="69"/>
      <c r="G160" s="69"/>
      <c r="H160" s="71"/>
      <c r="I160" s="71"/>
      <c r="J160" s="69">
        <f t="shared" si="6"/>
        <v>0</v>
      </c>
    </row>
    <row r="161" ht="12.75" customHeight="1" spans="1:10">
      <c r="A161" s="68"/>
      <c r="B161" s="69"/>
      <c r="C161" s="70"/>
      <c r="D161" s="126"/>
      <c r="E161" s="69"/>
      <c r="F161" s="69"/>
      <c r="G161" s="69"/>
      <c r="H161" s="71"/>
      <c r="I161" s="71"/>
      <c r="J161" s="69">
        <f t="shared" si="6"/>
        <v>0</v>
      </c>
    </row>
    <row r="162" ht="12.75" customHeight="1" spans="1:10">
      <c r="A162" s="68"/>
      <c r="B162" s="69"/>
      <c r="C162" s="70"/>
      <c r="D162" s="126"/>
      <c r="E162" s="69"/>
      <c r="F162" s="69"/>
      <c r="G162" s="69"/>
      <c r="H162" s="71"/>
      <c r="I162" s="71"/>
      <c r="J162" s="69">
        <f t="shared" si="6"/>
        <v>0</v>
      </c>
    </row>
    <row r="163" ht="12.75" customHeight="1" spans="1:10">
      <c r="A163" s="68"/>
      <c r="B163" s="69"/>
      <c r="C163" s="70"/>
      <c r="D163" s="126"/>
      <c r="E163" s="69"/>
      <c r="F163" s="69"/>
      <c r="G163" s="69"/>
      <c r="H163" s="71"/>
      <c r="I163" s="71"/>
      <c r="J163" s="69">
        <f t="shared" si="6"/>
        <v>0</v>
      </c>
    </row>
    <row r="164" ht="12.75" customHeight="1" spans="1:10">
      <c r="A164" s="68"/>
      <c r="B164" s="69"/>
      <c r="C164" s="70"/>
      <c r="D164" s="126"/>
      <c r="E164" s="69"/>
      <c r="F164" s="69"/>
      <c r="G164" s="69"/>
      <c r="H164" s="71"/>
      <c r="I164" s="71"/>
      <c r="J164" s="69">
        <f t="shared" si="6"/>
        <v>0</v>
      </c>
    </row>
    <row r="165" ht="12.75" customHeight="1" spans="1:10">
      <c r="A165" s="68"/>
      <c r="B165" s="69"/>
      <c r="C165" s="70"/>
      <c r="D165" s="126"/>
      <c r="E165" s="69"/>
      <c r="F165" s="69"/>
      <c r="G165" s="69"/>
      <c r="H165" s="71"/>
      <c r="I165" s="71"/>
      <c r="J165" s="69">
        <f t="shared" si="6"/>
        <v>0</v>
      </c>
    </row>
    <row r="166" ht="12.75" customHeight="1" spans="1:10">
      <c r="A166" s="68"/>
      <c r="B166" s="69"/>
      <c r="C166" s="70"/>
      <c r="D166" s="126"/>
      <c r="E166" s="69"/>
      <c r="F166" s="69"/>
      <c r="G166" s="69"/>
      <c r="H166" s="71"/>
      <c r="I166" s="71"/>
      <c r="J166" s="69">
        <f t="shared" si="6"/>
        <v>0</v>
      </c>
    </row>
    <row r="167" ht="12.75" customHeight="1" spans="1:10">
      <c r="A167" s="68"/>
      <c r="B167" s="69"/>
      <c r="C167" s="70"/>
      <c r="D167" s="126"/>
      <c r="E167" s="69"/>
      <c r="F167" s="69"/>
      <c r="G167" s="69"/>
      <c r="H167" s="71"/>
      <c r="I167" s="71"/>
      <c r="J167" s="69">
        <f t="shared" si="6"/>
        <v>0</v>
      </c>
    </row>
    <row r="168" ht="12.75" customHeight="1" spans="1:10">
      <c r="A168" s="68"/>
      <c r="B168" s="69"/>
      <c r="C168" s="70"/>
      <c r="D168" s="126"/>
      <c r="E168" s="69"/>
      <c r="F168" s="69"/>
      <c r="G168" s="69"/>
      <c r="H168" s="71"/>
      <c r="I168" s="71"/>
      <c r="J168" s="69">
        <f t="shared" si="6"/>
        <v>0</v>
      </c>
    </row>
    <row r="169" ht="12.75" customHeight="1" spans="1:10">
      <c r="A169" s="68"/>
      <c r="B169" s="69"/>
      <c r="C169" s="70"/>
      <c r="D169" s="126"/>
      <c r="E169" s="69"/>
      <c r="F169" s="69"/>
      <c r="G169" s="69"/>
      <c r="H169" s="71"/>
      <c r="I169" s="71"/>
      <c r="J169" s="69">
        <f t="shared" si="6"/>
        <v>0</v>
      </c>
    </row>
    <row r="170" ht="12.75" customHeight="1" spans="1:10">
      <c r="A170" s="68"/>
      <c r="B170" s="69"/>
      <c r="C170" s="70"/>
      <c r="D170" s="126"/>
      <c r="E170" s="69"/>
      <c r="F170" s="69"/>
      <c r="G170" s="69"/>
      <c r="H170" s="71"/>
      <c r="I170" s="71"/>
      <c r="J170" s="69">
        <f t="shared" si="6"/>
        <v>0</v>
      </c>
    </row>
    <row r="171" ht="12.75" customHeight="1" spans="1:10">
      <c r="A171" s="68"/>
      <c r="B171" s="69"/>
      <c r="C171" s="70"/>
      <c r="D171" s="126"/>
      <c r="E171" s="69"/>
      <c r="F171" s="69"/>
      <c r="G171" s="69"/>
      <c r="H171" s="71"/>
      <c r="I171" s="71"/>
      <c r="J171" s="69">
        <f t="shared" si="6"/>
        <v>0</v>
      </c>
    </row>
    <row r="172" ht="12.75" customHeight="1" spans="1:10">
      <c r="A172" s="68"/>
      <c r="B172" s="69"/>
      <c r="C172" s="70"/>
      <c r="D172" s="126"/>
      <c r="E172" s="69"/>
      <c r="F172" s="69"/>
      <c r="G172" s="69"/>
      <c r="H172" s="71"/>
      <c r="I172" s="71"/>
      <c r="J172" s="69">
        <f t="shared" si="6"/>
        <v>0</v>
      </c>
    </row>
    <row r="173" ht="12.75" customHeight="1" spans="1:10">
      <c r="A173" s="68"/>
      <c r="B173" s="69"/>
      <c r="C173" s="70"/>
      <c r="D173" s="126"/>
      <c r="E173" s="69"/>
      <c r="F173" s="69"/>
      <c r="G173" s="69"/>
      <c r="H173" s="71"/>
      <c r="I173" s="71"/>
      <c r="J173" s="69">
        <f t="shared" si="6"/>
        <v>0</v>
      </c>
    </row>
    <row r="174" ht="12.75" customHeight="1" spans="1:10">
      <c r="A174" s="68"/>
      <c r="B174" s="69"/>
      <c r="C174" s="70"/>
      <c r="D174" s="126"/>
      <c r="E174" s="69"/>
      <c r="F174" s="69"/>
      <c r="G174" s="69"/>
      <c r="H174" s="71"/>
      <c r="I174" s="71"/>
      <c r="J174" s="69">
        <f t="shared" si="6"/>
        <v>0</v>
      </c>
    </row>
    <row r="175" ht="12.75" customHeight="1" spans="1:10">
      <c r="A175" s="68"/>
      <c r="B175" s="69"/>
      <c r="C175" s="70"/>
      <c r="D175" s="126"/>
      <c r="E175" s="69"/>
      <c r="F175" s="69"/>
      <c r="G175" s="69"/>
      <c r="H175" s="71"/>
      <c r="I175" s="71"/>
      <c r="J175" s="69">
        <f t="shared" si="6"/>
        <v>0</v>
      </c>
    </row>
    <row r="176" ht="12.75" customHeight="1" spans="1:10">
      <c r="A176" s="68"/>
      <c r="B176" s="69"/>
      <c r="C176" s="70"/>
      <c r="D176" s="126"/>
      <c r="E176" s="69"/>
      <c r="F176" s="69"/>
      <c r="G176" s="69"/>
      <c r="H176" s="71"/>
      <c r="I176" s="71"/>
      <c r="J176" s="69">
        <f t="shared" si="6"/>
        <v>0</v>
      </c>
    </row>
    <row r="177" ht="12.75" customHeight="1" spans="1:11">
      <c r="A177" s="68"/>
      <c r="B177" s="69"/>
      <c r="C177" s="70"/>
      <c r="D177" s="126"/>
      <c r="E177" s="69"/>
      <c r="F177" s="69"/>
      <c r="G177" s="69"/>
      <c r="H177" s="71"/>
      <c r="I177" s="71"/>
      <c r="J177" s="69">
        <f t="shared" si="6"/>
        <v>0</v>
      </c>
    </row>
    <row r="178" ht="12.75" customHeight="1" spans="1:11">
      <c r="A178" s="68"/>
      <c r="B178" s="69"/>
      <c r="C178" s="70"/>
      <c r="D178" s="126"/>
      <c r="E178" s="69"/>
      <c r="F178" s="69"/>
      <c r="G178" s="69"/>
      <c r="H178" s="71"/>
      <c r="I178" s="71"/>
      <c r="J178" s="69">
        <f t="shared" si="6"/>
        <v>0</v>
      </c>
    </row>
    <row r="179" ht="12.75" customHeight="1" spans="1:11">
      <c r="A179" s="68"/>
      <c r="B179" s="69"/>
      <c r="C179" s="70"/>
      <c r="D179" s="126"/>
      <c r="E179" s="69"/>
      <c r="F179" s="69"/>
      <c r="G179" s="69"/>
      <c r="H179" s="71"/>
      <c r="I179" s="71"/>
      <c r="J179" s="69">
        <f t="shared" si="6"/>
        <v>0</v>
      </c>
    </row>
    <row r="180" ht="12.75" customHeight="1" spans="1:11">
      <c r="A180" s="68"/>
      <c r="B180" s="69"/>
      <c r="C180" s="70"/>
      <c r="D180" s="126"/>
      <c r="E180" s="69"/>
      <c r="F180" s="69"/>
      <c r="G180" s="69"/>
      <c r="H180" s="71"/>
      <c r="I180" s="71"/>
      <c r="J180" s="69">
        <f t="shared" si="6"/>
        <v>0</v>
      </c>
    </row>
    <row r="181" ht="12.75" customHeight="1" spans="1:11">
      <c r="A181" s="68"/>
      <c r="B181" s="69"/>
      <c r="C181" s="70"/>
      <c r="D181" s="126"/>
      <c r="E181" s="69"/>
      <c r="F181" s="69"/>
      <c r="G181" s="69"/>
      <c r="H181" s="71"/>
      <c r="I181" s="71"/>
      <c r="J181" s="69">
        <f t="shared" si="6"/>
        <v>0</v>
      </c>
    </row>
    <row r="182" ht="12.75" customHeight="1" spans="1:11">
      <c r="A182" s="68"/>
      <c r="B182" s="69"/>
      <c r="C182" s="70"/>
      <c r="D182" s="126"/>
      <c r="E182" s="69"/>
      <c r="F182" s="69"/>
      <c r="G182" s="69"/>
      <c r="H182" s="71"/>
      <c r="I182" s="71"/>
      <c r="J182" s="69">
        <f t="shared" si="6"/>
        <v>0</v>
      </c>
    </row>
    <row r="183" ht="12.75" customHeight="1" spans="1:11">
      <c r="A183" s="68"/>
      <c r="B183" s="69"/>
      <c r="C183" s="70"/>
      <c r="D183" s="126"/>
      <c r="E183" s="69"/>
      <c r="F183" s="69"/>
      <c r="G183" s="69"/>
      <c r="H183" s="71"/>
      <c r="I183" s="71"/>
      <c r="J183" s="69">
        <f t="shared" si="6"/>
        <v>0</v>
      </c>
    </row>
    <row r="184" ht="12.75" customHeight="1" spans="1:11">
      <c r="A184" s="68"/>
      <c r="B184" s="69"/>
      <c r="C184" s="70"/>
      <c r="D184" s="126"/>
      <c r="E184" s="69"/>
      <c r="F184" s="69"/>
      <c r="G184" s="69"/>
      <c r="H184" s="71"/>
      <c r="I184" s="71"/>
      <c r="J184" s="69">
        <f t="shared" si="6"/>
        <v>0</v>
      </c>
    </row>
    <row r="185" ht="12.75" customHeight="1" spans="1:11">
      <c r="A185" s="68"/>
      <c r="B185" s="69"/>
      <c r="C185" s="70"/>
      <c r="D185" s="126"/>
      <c r="E185" s="69"/>
      <c r="F185" s="69"/>
      <c r="G185" s="69"/>
      <c r="H185" s="71"/>
      <c r="I185" s="71"/>
      <c r="J185" s="69">
        <f t="shared" si="6"/>
        <v>0</v>
      </c>
    </row>
    <row r="186" ht="12.75" spans="1:11">
      <c r="A186" s="68"/>
      <c r="B186" s="69"/>
      <c r="C186" s="74"/>
      <c r="D186" s="126"/>
      <c r="E186" s="69"/>
      <c r="F186" s="69"/>
      <c r="G186" s="69"/>
      <c r="H186" s="71">
        <f t="shared" si="4"/>
        <v>0</v>
      </c>
      <c r="I186" s="71">
        <f t="shared" si="2"/>
        <v>0</v>
      </c>
      <c r="J186" s="69">
        <f t="shared" si="6"/>
        <v>0</v>
      </c>
    </row>
    <row r="187" ht="11.25" spans="1:11">
      <c r="A187" s="75"/>
      <c r="B187" s="76" t="s">
        <v>124</v>
      </c>
      <c r="C187" s="77"/>
      <c r="D187" s="78">
        <f>SUM(D9:D186)</f>
        <v>431590000</v>
      </c>
      <c r="E187" s="78">
        <f t="shared" ref="E187:J187" si="7">SUM(E9:E186)</f>
        <v>92</v>
      </c>
      <c r="F187" s="78">
        <f t="shared" si="7"/>
        <v>4180000</v>
      </c>
      <c r="G187" s="78">
        <f t="shared" si="7"/>
        <v>1760000</v>
      </c>
      <c r="H187" s="78">
        <f t="shared" si="7"/>
        <v>5940000</v>
      </c>
      <c r="I187" s="78">
        <f t="shared" si="7"/>
        <v>427410000</v>
      </c>
      <c r="J187" s="78">
        <f t="shared" si="7"/>
        <v>176000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1760000</v>
      </c>
      <c r="F190" s="129" t="s">
        <v>145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88000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968000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44000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44000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44000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44000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176000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440000</v>
      </c>
    </row>
    <row r="200" customHeight="1" spans="1:11">
      <c r="B200" s="87" t="s">
        <v>124</v>
      </c>
      <c r="C200" s="88" t="s">
        <v>128</v>
      </c>
      <c r="D200" s="87">
        <f>SUM(D193:D199)</f>
        <v>1760000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zoomScale="120" zoomScaleNormal="120" topLeftCell="A46" workbookViewId="0">
      <selection activeCell="J67" sqref="J67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6.42857142857143" style="45" customWidth="1"/>
    <col min="6" max="6" width="10.7142857142857" style="45" customWidth="1"/>
    <col min="7" max="7" width="11.2857142857143" style="45" customWidth="1"/>
    <col min="8" max="8" width="12" style="45" customWidth="1"/>
    <col min="9" max="9" width="13.1428571428571" style="45" customWidth="1"/>
    <col min="10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146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'13-1-26'!I9</f>
        <v>5500000</v>
      </c>
      <c r="E9" s="69"/>
      <c r="F9" s="69">
        <v>0</v>
      </c>
      <c r="G9" s="69">
        <f t="shared" ref="G9:H24" si="0">SUM(E9:F9)</f>
        <v>0</v>
      </c>
      <c r="H9" s="71">
        <f t="shared" si="0"/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'13-1-26'!I10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'13-1-26'!I11</f>
        <v>1750000</v>
      </c>
      <c r="E11" s="69"/>
      <c r="F11" s="69"/>
      <c r="G11" s="69"/>
      <c r="H11" s="71">
        <f t="shared" si="0"/>
        <v>0</v>
      </c>
      <c r="I11" s="71">
        <f t="shared" si="2"/>
        <v>1750000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'13-1-26'!I12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'13-1-26'!I13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'13-1-26'!I14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'13-1-26'!I15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'13-1-26'!I16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'13-1-26'!I17</f>
        <v>6500000</v>
      </c>
      <c r="E17" s="69"/>
      <c r="F17" s="69"/>
      <c r="G17" s="69"/>
      <c r="H17" s="71">
        <f t="shared" si="0"/>
        <v>0</v>
      </c>
      <c r="I17" s="71">
        <f t="shared" si="2"/>
        <v>6500000</v>
      </c>
      <c r="J17" s="69">
        <f t="shared" si="1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'13-1-26'!I18</f>
        <v>13195000</v>
      </c>
      <c r="E18" s="69"/>
      <c r="F18" s="69"/>
      <c r="G18" s="69"/>
      <c r="H18" s="71">
        <f t="shared" si="0"/>
        <v>0</v>
      </c>
      <c r="I18" s="71">
        <f t="shared" si="2"/>
        <v>13195000</v>
      </c>
      <c r="J18" s="69">
        <f t="shared" si="1"/>
        <v>0</v>
      </c>
    </row>
    <row r="19" ht="12.75" spans="1:10">
      <c r="A19" s="68">
        <v>14</v>
      </c>
      <c r="B19" s="69" t="s">
        <v>35</v>
      </c>
      <c r="C19" s="128" t="s">
        <v>36</v>
      </c>
      <c r="D19" s="71">
        <f>'13-1-26'!I19</f>
        <v>4000000</v>
      </c>
      <c r="E19" s="69"/>
      <c r="F19" s="69"/>
      <c r="G19" s="69"/>
      <c r="H19" s="71">
        <f t="shared" si="0"/>
        <v>0</v>
      </c>
      <c r="I19" s="71">
        <f t="shared" si="2"/>
        <v>4000000</v>
      </c>
      <c r="J19" s="69">
        <f t="shared" si="1"/>
        <v>0</v>
      </c>
    </row>
    <row r="20" ht="12.75" spans="1:10">
      <c r="A20" s="68">
        <v>18</v>
      </c>
      <c r="B20" s="69" t="s">
        <v>37</v>
      </c>
      <c r="C20" s="128" t="s">
        <v>38</v>
      </c>
      <c r="D20" s="71">
        <f>'13-1-26'!I20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71">
        <f>'13-1-26'!I21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71">
        <f>'13-1-26'!I22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ht="12.75" spans="1:10">
      <c r="A23" s="68">
        <v>23</v>
      </c>
      <c r="B23" s="69" t="s">
        <v>43</v>
      </c>
      <c r="C23" s="128" t="s">
        <v>42</v>
      </c>
      <c r="D23" s="71">
        <f>'13-1-26'!I23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71">
        <f>'13-1-26'!I24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71">
        <f>'13-1-26'!I25</f>
        <v>22200000</v>
      </c>
      <c r="E25" s="69"/>
      <c r="F25" s="69"/>
      <c r="G25" s="69"/>
      <c r="H25" s="71">
        <f t="shared" ref="H25:H67" si="3">SUM(F25:G25)</f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71">
        <f>'13-1-26'!I26</f>
        <v>3800000</v>
      </c>
      <c r="E26" s="69"/>
      <c r="F26" s="69"/>
      <c r="G26" s="69"/>
      <c r="H26" s="71">
        <f t="shared" si="3"/>
        <v>0</v>
      </c>
      <c r="I26" s="71">
        <f t="shared" si="2"/>
        <v>3800000</v>
      </c>
      <c r="J26" s="69">
        <f t="shared" si="1"/>
        <v>0</v>
      </c>
    </row>
    <row r="27" ht="12.75" spans="1:10">
      <c r="A27" s="68">
        <v>29</v>
      </c>
      <c r="B27" s="69" t="s">
        <v>49</v>
      </c>
      <c r="C27" s="128" t="s">
        <v>50</v>
      </c>
      <c r="D27" s="71">
        <f>'13-1-26'!I27</f>
        <v>1030000</v>
      </c>
      <c r="E27" s="69"/>
      <c r="F27" s="69"/>
      <c r="G27" s="69"/>
      <c r="H27" s="71">
        <f t="shared" si="3"/>
        <v>0</v>
      </c>
      <c r="I27" s="71">
        <f t="shared" si="2"/>
        <v>1030000</v>
      </c>
      <c r="J27" s="69">
        <f t="shared" si="1"/>
        <v>0</v>
      </c>
    </row>
    <row r="28" ht="12.75" spans="1:10">
      <c r="A28" s="68">
        <v>30</v>
      </c>
      <c r="B28" s="69" t="s">
        <v>51</v>
      </c>
      <c r="C28" s="128" t="s">
        <v>52</v>
      </c>
      <c r="D28" s="71">
        <f>'13-1-26'!I28</f>
        <v>0</v>
      </c>
      <c r="E28" s="69"/>
      <c r="F28" s="69"/>
      <c r="G28" s="69"/>
      <c r="H28" s="71">
        <f t="shared" si="3"/>
        <v>0</v>
      </c>
      <c r="I28" s="71">
        <f t="shared" si="2"/>
        <v>0</v>
      </c>
      <c r="J28" s="69">
        <f t="shared" si="1"/>
        <v>0</v>
      </c>
    </row>
    <row r="29" ht="12.75" spans="1:10">
      <c r="A29" s="68">
        <v>31</v>
      </c>
      <c r="B29" s="69" t="s">
        <v>53</v>
      </c>
      <c r="C29" s="128" t="s">
        <v>54</v>
      </c>
      <c r="D29" s="71">
        <f>'13-1-26'!I29</f>
        <v>0</v>
      </c>
      <c r="E29" s="69"/>
      <c r="F29" s="69"/>
      <c r="G29" s="69"/>
      <c r="H29" s="71">
        <f t="shared" si="3"/>
        <v>0</v>
      </c>
      <c r="I29" s="71">
        <f t="shared" si="2"/>
        <v>0</v>
      </c>
      <c r="J29" s="69">
        <f t="shared" si="1"/>
        <v>0</v>
      </c>
    </row>
    <row r="30" ht="12.75" spans="1:10">
      <c r="A30" s="68">
        <v>33</v>
      </c>
      <c r="B30" s="69" t="s">
        <v>55</v>
      </c>
      <c r="C30" s="128" t="s">
        <v>56</v>
      </c>
      <c r="D30" s="71">
        <f>'13-1-26'!I30</f>
        <v>2750000</v>
      </c>
      <c r="E30" s="69"/>
      <c r="F30" s="69"/>
      <c r="G30" s="69"/>
      <c r="H30" s="71">
        <f t="shared" si="3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71">
        <f>'13-1-26'!I31</f>
        <v>1250000</v>
      </c>
      <c r="E31" s="69"/>
      <c r="F31" s="69"/>
      <c r="G31" s="69"/>
      <c r="H31" s="71">
        <f t="shared" si="3"/>
        <v>0</v>
      </c>
      <c r="I31" s="71">
        <f t="shared" si="2"/>
        <v>1250000</v>
      </c>
      <c r="J31" s="69">
        <f t="shared" si="1"/>
        <v>0</v>
      </c>
    </row>
    <row r="32" ht="12.75" spans="1:10">
      <c r="A32" s="68">
        <v>35</v>
      </c>
      <c r="B32" s="69" t="s">
        <v>59</v>
      </c>
      <c r="C32" s="128" t="s">
        <v>58</v>
      </c>
      <c r="D32" s="71">
        <f>'13-1-26'!I32</f>
        <v>12000000</v>
      </c>
      <c r="E32" s="69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71">
        <f>'13-1-26'!I33</f>
        <v>750000</v>
      </c>
      <c r="E33" s="69"/>
      <c r="F33" s="69"/>
      <c r="G33" s="69"/>
      <c r="H33" s="71">
        <f t="shared" si="3"/>
        <v>0</v>
      </c>
      <c r="I33" s="71">
        <f t="shared" si="2"/>
        <v>750000</v>
      </c>
      <c r="J33" s="69">
        <f t="shared" si="1"/>
        <v>0</v>
      </c>
    </row>
    <row r="34" ht="12.75" spans="1:10">
      <c r="A34" s="68">
        <v>43</v>
      </c>
      <c r="B34" s="69" t="s">
        <v>62</v>
      </c>
      <c r="C34" s="127" t="s">
        <v>63</v>
      </c>
      <c r="D34" s="71">
        <f>'13-1-26'!I34</f>
        <v>2800000</v>
      </c>
      <c r="E34" s="69"/>
      <c r="F34" s="69"/>
      <c r="G34" s="69"/>
      <c r="H34" s="71">
        <f t="shared" si="3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71">
        <f>'13-1-26'!I35</f>
        <v>3500000</v>
      </c>
      <c r="E35" s="69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71">
        <f>'13-1-26'!I36</f>
        <v>12000000</v>
      </c>
      <c r="E36" s="69"/>
      <c r="F36" s="69"/>
      <c r="G36" s="69"/>
      <c r="H36" s="71">
        <f t="shared" si="3"/>
        <v>0</v>
      </c>
      <c r="I36" s="71">
        <f t="shared" si="2"/>
        <v>12000000</v>
      </c>
      <c r="J36" s="69">
        <f t="shared" si="1"/>
        <v>0</v>
      </c>
    </row>
    <row r="37" ht="12.75" spans="1:10">
      <c r="A37" s="68">
        <v>49</v>
      </c>
      <c r="B37" s="69" t="s">
        <v>67</v>
      </c>
      <c r="C37" s="127" t="s">
        <v>68</v>
      </c>
      <c r="D37" s="71">
        <f>'13-1-26'!I37</f>
        <v>1250000</v>
      </c>
      <c r="E37" s="69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71">
        <f>'13-1-26'!I38</f>
        <v>5800000</v>
      </c>
      <c r="E38" s="69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71">
        <f>'13-1-26'!I39</f>
        <v>14320000</v>
      </c>
      <c r="E39" s="69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71">
        <f>'13-1-26'!I40</f>
        <v>400000</v>
      </c>
      <c r="E40" s="69"/>
      <c r="F40" s="69"/>
      <c r="G40" s="69"/>
      <c r="H40" s="71">
        <f t="shared" si="3"/>
        <v>0</v>
      </c>
      <c r="I40" s="71">
        <f t="shared" si="2"/>
        <v>400000</v>
      </c>
      <c r="J40" s="69">
        <f t="shared" si="1"/>
        <v>0</v>
      </c>
    </row>
    <row r="41" ht="12.75" spans="1:10">
      <c r="A41" s="68">
        <v>64</v>
      </c>
      <c r="B41" s="69" t="s">
        <v>75</v>
      </c>
      <c r="C41" s="127" t="s">
        <v>76</v>
      </c>
      <c r="D41" s="71">
        <f>'13-1-26'!I41</f>
        <v>1800000</v>
      </c>
      <c r="E41" s="69"/>
      <c r="F41" s="69"/>
      <c r="G41" s="69"/>
      <c r="H41" s="71">
        <f t="shared" si="3"/>
        <v>0</v>
      </c>
      <c r="I41" s="71">
        <f t="shared" si="2"/>
        <v>1800000</v>
      </c>
      <c r="J41" s="69">
        <f t="shared" si="1"/>
        <v>0</v>
      </c>
    </row>
    <row r="42" ht="12.75" spans="1:10">
      <c r="A42" s="68">
        <v>65</v>
      </c>
      <c r="B42" s="69" t="s">
        <v>77</v>
      </c>
      <c r="C42" s="127" t="s">
        <v>78</v>
      </c>
      <c r="D42" s="71">
        <f>'13-1-26'!I42</f>
        <v>1200000</v>
      </c>
      <c r="E42" s="69"/>
      <c r="F42" s="69"/>
      <c r="G42" s="69"/>
      <c r="H42" s="71">
        <f t="shared" si="3"/>
        <v>0</v>
      </c>
      <c r="I42" s="71">
        <f t="shared" si="2"/>
        <v>1200000</v>
      </c>
      <c r="J42" s="69">
        <f t="shared" si="1"/>
        <v>0</v>
      </c>
    </row>
    <row r="43" ht="12.75" spans="1:10">
      <c r="A43" s="68">
        <v>69</v>
      </c>
      <c r="B43" s="69" t="s">
        <v>79</v>
      </c>
      <c r="C43" s="127" t="s">
        <v>80</v>
      </c>
      <c r="D43" s="71">
        <f>'13-1-26'!I43</f>
        <v>6000000</v>
      </c>
      <c r="E43" s="69"/>
      <c r="F43" s="69"/>
      <c r="G43" s="69"/>
      <c r="H43" s="71">
        <f t="shared" si="3"/>
        <v>0</v>
      </c>
      <c r="I43" s="71">
        <f t="shared" si="2"/>
        <v>6000000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71">
        <f>'13-1-26'!I44</f>
        <v>10320000</v>
      </c>
      <c r="E44" s="69"/>
      <c r="F44" s="69"/>
      <c r="G44" s="69"/>
      <c r="H44" s="71">
        <f t="shared" si="3"/>
        <v>0</v>
      </c>
      <c r="I44" s="71">
        <f t="shared" si="2"/>
        <v>10320000</v>
      </c>
      <c r="J44" s="69">
        <f t="shared" si="1"/>
        <v>0</v>
      </c>
    </row>
    <row r="45" ht="12.75" spans="1:10">
      <c r="A45" s="68">
        <v>71</v>
      </c>
      <c r="B45" s="69" t="s">
        <v>83</v>
      </c>
      <c r="C45" s="70" t="s">
        <v>84</v>
      </c>
      <c r="D45" s="71">
        <f>'13-1-26'!I45</f>
        <v>11250000</v>
      </c>
      <c r="E45" s="69"/>
      <c r="F45" s="69"/>
      <c r="G45" s="69"/>
      <c r="H45" s="71">
        <f t="shared" si="3"/>
        <v>0</v>
      </c>
      <c r="I45" s="71">
        <f t="shared" si="2"/>
        <v>11250000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71">
        <f>'13-1-26'!I46</f>
        <v>600000</v>
      </c>
      <c r="E46" s="69"/>
      <c r="F46" s="69"/>
      <c r="G46" s="69"/>
      <c r="H46" s="71">
        <f t="shared" si="3"/>
        <v>0</v>
      </c>
      <c r="I46" s="71">
        <f t="shared" si="2"/>
        <v>600000</v>
      </c>
      <c r="J46" s="69">
        <f t="shared" si="1"/>
        <v>0</v>
      </c>
    </row>
    <row r="47" ht="12.75" spans="1:10">
      <c r="A47" s="68">
        <v>76</v>
      </c>
      <c r="B47" s="69" t="s">
        <v>87</v>
      </c>
      <c r="C47" s="127" t="s">
        <v>88</v>
      </c>
      <c r="D47" s="71">
        <f>'13-1-26'!I47</f>
        <v>9600000</v>
      </c>
      <c r="E47" s="69"/>
      <c r="F47" s="69"/>
      <c r="G47" s="69"/>
      <c r="H47" s="71">
        <f t="shared" si="3"/>
        <v>0</v>
      </c>
      <c r="I47" s="71">
        <f t="shared" si="2"/>
        <v>9600000</v>
      </c>
      <c r="J47" s="69">
        <f t="shared" si="1"/>
        <v>0</v>
      </c>
    </row>
    <row r="48" ht="12.75" spans="1:10">
      <c r="A48" s="68">
        <v>77</v>
      </c>
      <c r="B48" s="69" t="s">
        <v>89</v>
      </c>
      <c r="C48" s="127" t="s">
        <v>88</v>
      </c>
      <c r="D48" s="71">
        <f>'13-1-26'!I48</f>
        <v>1200000</v>
      </c>
      <c r="E48" s="69"/>
      <c r="F48" s="69"/>
      <c r="G48" s="69"/>
      <c r="H48" s="71">
        <f t="shared" si="3"/>
        <v>0</v>
      </c>
      <c r="I48" s="71">
        <f t="shared" si="2"/>
        <v>1200000</v>
      </c>
      <c r="J48" s="69">
        <f t="shared" si="1"/>
        <v>0</v>
      </c>
    </row>
    <row r="49" ht="12.75" spans="1:10">
      <c r="A49" s="68">
        <v>80</v>
      </c>
      <c r="B49" s="69" t="s">
        <v>90</v>
      </c>
      <c r="C49" s="127" t="s">
        <v>91</v>
      </c>
      <c r="D49" s="71">
        <f>'13-1-26'!I49</f>
        <v>9900000</v>
      </c>
      <c r="E49" s="69"/>
      <c r="F49" s="69"/>
      <c r="G49" s="69"/>
      <c r="H49" s="71">
        <f t="shared" si="3"/>
        <v>0</v>
      </c>
      <c r="I49" s="71">
        <f t="shared" si="2"/>
        <v>9900000</v>
      </c>
      <c r="J49" s="69">
        <f t="shared" si="1"/>
        <v>0</v>
      </c>
    </row>
    <row r="50" ht="12.75" spans="1:10">
      <c r="A50" s="68">
        <v>82</v>
      </c>
      <c r="B50" s="69" t="s">
        <v>92</v>
      </c>
      <c r="C50" s="127" t="s">
        <v>93</v>
      </c>
      <c r="D50" s="71">
        <f>'13-1-26'!I50</f>
        <v>0</v>
      </c>
      <c r="E50" s="69"/>
      <c r="F50" s="69"/>
      <c r="G50" s="69"/>
      <c r="H50" s="71">
        <f t="shared" si="3"/>
        <v>0</v>
      </c>
      <c r="I50" s="71">
        <f t="shared" si="2"/>
        <v>0</v>
      </c>
      <c r="J50" s="69">
        <f t="shared" si="1"/>
        <v>0</v>
      </c>
    </row>
    <row r="51" ht="12.75" spans="1:10">
      <c r="A51" s="68">
        <v>86</v>
      </c>
      <c r="B51" s="69" t="s">
        <v>94</v>
      </c>
      <c r="C51" s="70" t="s">
        <v>95</v>
      </c>
      <c r="D51" s="71">
        <f>'13-1-26'!I51</f>
        <v>16400000</v>
      </c>
      <c r="E51" s="69"/>
      <c r="F51" s="69"/>
      <c r="G51" s="69"/>
      <c r="H51" s="71">
        <f t="shared" si="3"/>
        <v>0</v>
      </c>
      <c r="I51" s="71">
        <f t="shared" si="2"/>
        <v>16400000</v>
      </c>
      <c r="J51" s="69">
        <f t="shared" si="1"/>
        <v>0</v>
      </c>
    </row>
    <row r="52" ht="12.75" spans="1:10">
      <c r="A52" s="68">
        <v>87</v>
      </c>
      <c r="B52" s="69" t="s">
        <v>96</v>
      </c>
      <c r="C52" s="70" t="s">
        <v>97</v>
      </c>
      <c r="D52" s="71">
        <f>'13-1-26'!I52</f>
        <v>25400000</v>
      </c>
      <c r="E52" s="69"/>
      <c r="F52" s="69"/>
      <c r="G52" s="69"/>
      <c r="H52" s="71">
        <f t="shared" si="3"/>
        <v>0</v>
      </c>
      <c r="I52" s="71">
        <f t="shared" si="2"/>
        <v>25400000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71">
        <f>'13-1-26'!I53</f>
        <v>100000</v>
      </c>
      <c r="E53" s="69"/>
      <c r="F53" s="69"/>
      <c r="G53" s="69"/>
      <c r="H53" s="71">
        <f t="shared" si="3"/>
        <v>0</v>
      </c>
      <c r="I53" s="71">
        <f t="shared" si="2"/>
        <v>100000</v>
      </c>
      <c r="J53" s="69">
        <f t="shared" si="1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71">
        <f>'13-1-26'!I54</f>
        <v>5000000</v>
      </c>
      <c r="E54" s="69"/>
      <c r="F54" s="69"/>
      <c r="G54" s="69"/>
      <c r="H54" s="71">
        <f t="shared" si="3"/>
        <v>0</v>
      </c>
      <c r="I54" s="71">
        <f t="shared" si="2"/>
        <v>5000000</v>
      </c>
      <c r="J54" s="69">
        <f t="shared" si="1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71">
        <f>'13-1-26'!I55</f>
        <v>7460000</v>
      </c>
      <c r="E55" s="69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71">
        <f>'13-1-26'!I56</f>
        <v>600000</v>
      </c>
      <c r="E56" s="69"/>
      <c r="F56" s="69"/>
      <c r="G56" s="69"/>
      <c r="H56" s="71">
        <f t="shared" si="3"/>
        <v>0</v>
      </c>
      <c r="I56" s="71">
        <f t="shared" si="2"/>
        <v>600000</v>
      </c>
      <c r="J56" s="69">
        <f t="shared" si="1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71">
        <f>'13-1-26'!I57</f>
        <v>20000000</v>
      </c>
      <c r="E57" s="69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71">
        <f>'13-1-26'!I58</f>
        <v>1985000</v>
      </c>
      <c r="E58" s="69">
        <v>10</v>
      </c>
      <c r="F58" s="69">
        <v>335000</v>
      </c>
      <c r="G58" s="69">
        <v>100000</v>
      </c>
      <c r="H58" s="71">
        <f t="shared" si="3"/>
        <v>435000</v>
      </c>
      <c r="I58" s="71">
        <f t="shared" si="2"/>
        <v>1650000</v>
      </c>
      <c r="J58" s="69">
        <f t="shared" si="1"/>
        <v>10000</v>
      </c>
    </row>
    <row r="59" ht="12.75" spans="1:10">
      <c r="A59" s="68">
        <v>101</v>
      </c>
      <c r="B59" s="69" t="s">
        <v>107</v>
      </c>
      <c r="C59" s="127" t="s">
        <v>108</v>
      </c>
      <c r="D59" s="71">
        <f>'13-1-26'!I59</f>
        <v>0</v>
      </c>
      <c r="E59" s="69"/>
      <c r="F59" s="69"/>
      <c r="G59" s="69"/>
      <c r="H59" s="71">
        <f t="shared" si="3"/>
        <v>0</v>
      </c>
      <c r="I59" s="71">
        <f t="shared" si="2"/>
        <v>0</v>
      </c>
      <c r="J59" s="69">
        <f t="shared" si="1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71">
        <f>'13-1-26'!I60</f>
        <v>3250000</v>
      </c>
      <c r="E60" s="69"/>
      <c r="F60" s="69"/>
      <c r="G60" s="69"/>
      <c r="H60" s="71">
        <f t="shared" si="3"/>
        <v>0</v>
      </c>
      <c r="I60" s="71">
        <f t="shared" si="2"/>
        <v>3250000</v>
      </c>
      <c r="J60" s="69">
        <f t="shared" si="1"/>
        <v>0</v>
      </c>
    </row>
    <row r="61" ht="12.75" spans="1:10">
      <c r="A61" s="68">
        <v>106</v>
      </c>
      <c r="B61" s="69" t="s">
        <v>111</v>
      </c>
      <c r="C61" s="70" t="s">
        <v>112</v>
      </c>
      <c r="D61" s="71">
        <f>'13-1-26'!I61</f>
        <v>230000</v>
      </c>
      <c r="E61" s="69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71">
        <f>'13-1-26'!I62</f>
        <v>1000000</v>
      </c>
      <c r="E62" s="69">
        <v>6</v>
      </c>
      <c r="F62" s="69">
        <v>1000000</v>
      </c>
      <c r="G62" s="69">
        <v>120000</v>
      </c>
      <c r="H62" s="71">
        <f t="shared" si="3"/>
        <v>1120000</v>
      </c>
      <c r="I62" s="71">
        <f t="shared" si="2"/>
        <v>0</v>
      </c>
      <c r="J62" s="69">
        <f t="shared" si="1"/>
        <v>12000</v>
      </c>
    </row>
    <row r="63" ht="12.75" spans="1:10">
      <c r="A63" s="68">
        <v>110</v>
      </c>
      <c r="B63" s="69" t="s">
        <v>115</v>
      </c>
      <c r="C63" s="127" t="s">
        <v>116</v>
      </c>
      <c r="D63" s="71">
        <f>'13-1-26'!I63</f>
        <v>700000</v>
      </c>
      <c r="E63" s="69"/>
      <c r="F63" s="69"/>
      <c r="G63" s="69"/>
      <c r="H63" s="71">
        <f t="shared" si="3"/>
        <v>0</v>
      </c>
      <c r="I63" s="71">
        <f t="shared" si="2"/>
        <v>700000</v>
      </c>
      <c r="J63" s="69">
        <f t="shared" si="1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71">
        <f>'13-1-26'!I64</f>
        <v>1500000</v>
      </c>
      <c r="E64" s="69"/>
      <c r="F64" s="69"/>
      <c r="G64" s="69"/>
      <c r="H64" s="71">
        <f t="shared" si="3"/>
        <v>0</v>
      </c>
      <c r="I64" s="71">
        <f t="shared" si="2"/>
        <v>1500000</v>
      </c>
      <c r="J64" s="69">
        <f t="shared" si="1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71">
        <f>'13-1-26'!I65</f>
        <v>6570000</v>
      </c>
      <c r="E65" s="69"/>
      <c r="F65" s="69"/>
      <c r="G65" s="69"/>
      <c r="H65" s="71">
        <f t="shared" si="3"/>
        <v>0</v>
      </c>
      <c r="I65" s="71">
        <f t="shared" si="2"/>
        <v>6570000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71">
        <f>'13-1-26'!I66</f>
        <v>250000</v>
      </c>
      <c r="E66" s="69"/>
      <c r="F66" s="69"/>
      <c r="G66" s="69"/>
      <c r="H66" s="71">
        <f t="shared" si="3"/>
        <v>0</v>
      </c>
      <c r="I66" s="71">
        <f t="shared" si="2"/>
        <v>250000</v>
      </c>
      <c r="J66" s="69">
        <f t="shared" si="1"/>
        <v>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71">
        <f>'13-1-26'!I67</f>
        <v>52000000</v>
      </c>
      <c r="E67" s="69">
        <v>1</v>
      </c>
      <c r="F67" s="69">
        <v>52000000</v>
      </c>
      <c r="G67" s="69">
        <v>2080000</v>
      </c>
      <c r="H67" s="71">
        <f t="shared" si="3"/>
        <v>54080000</v>
      </c>
      <c r="I67" s="71">
        <f t="shared" si="2"/>
        <v>0</v>
      </c>
      <c r="J67" s="69">
        <f t="shared" si="1"/>
        <v>208000</v>
      </c>
    </row>
    <row r="68" ht="12.75" customHeight="1" spans="1:10">
      <c r="A68" s="68"/>
      <c r="B68" s="69"/>
      <c r="C68" s="70"/>
      <c r="D68" s="126"/>
      <c r="E68" s="69"/>
      <c r="F68" s="69"/>
      <c r="G68" s="69"/>
      <c r="H68" s="71"/>
      <c r="I68" s="71"/>
      <c r="J68" s="69">
        <f t="shared" si="1"/>
        <v>0</v>
      </c>
    </row>
    <row r="69" ht="12.75" customHeight="1" spans="1:10">
      <c r="A69" s="68"/>
      <c r="B69" s="69"/>
      <c r="C69" s="70"/>
      <c r="D69" s="126"/>
      <c r="E69" s="69"/>
      <c r="F69" s="69"/>
      <c r="G69" s="69"/>
      <c r="H69" s="71"/>
      <c r="I69" s="71"/>
      <c r="J69" s="69">
        <f t="shared" si="1"/>
        <v>0</v>
      </c>
    </row>
    <row r="70" ht="12.75" customHeight="1" spans="1:10">
      <c r="A70" s="68"/>
      <c r="B70" s="69"/>
      <c r="C70" s="70"/>
      <c r="D70" s="126"/>
      <c r="E70" s="69"/>
      <c r="F70" s="69"/>
      <c r="G70" s="69"/>
      <c r="H70" s="71"/>
      <c r="I70" s="71"/>
      <c r="J70" s="69">
        <f t="shared" si="1"/>
        <v>0</v>
      </c>
    </row>
    <row r="71" ht="12.75" customHeight="1" spans="1:10">
      <c r="A71" s="68"/>
      <c r="B71" s="69"/>
      <c r="C71" s="70"/>
      <c r="D71" s="126"/>
      <c r="E71" s="69"/>
      <c r="F71" s="69"/>
      <c r="G71" s="69"/>
      <c r="H71" s="71"/>
      <c r="I71" s="71"/>
      <c r="J71" s="69">
        <f t="shared" si="1"/>
        <v>0</v>
      </c>
    </row>
    <row r="72" ht="12.75" customHeight="1" spans="1:10">
      <c r="A72" s="68"/>
      <c r="B72" s="69"/>
      <c r="C72" s="70"/>
      <c r="D72" s="126"/>
      <c r="E72" s="69"/>
      <c r="F72" s="69"/>
      <c r="G72" s="69"/>
      <c r="H72" s="71"/>
      <c r="I72" s="71"/>
      <c r="J72" s="69">
        <f t="shared" si="1"/>
        <v>0</v>
      </c>
    </row>
    <row r="73" ht="12.75" customHeight="1" spans="1:10">
      <c r="A73" s="68"/>
      <c r="B73" s="69"/>
      <c r="C73" s="70"/>
      <c r="D73" s="126"/>
      <c r="E73" s="69"/>
      <c r="F73" s="69"/>
      <c r="G73" s="69"/>
      <c r="H73" s="71"/>
      <c r="I73" s="71"/>
      <c r="J73" s="69">
        <f t="shared" ref="J73:J136" si="4">1/10*G73</f>
        <v>0</v>
      </c>
    </row>
    <row r="74" ht="12.75" customHeight="1" spans="1:10">
      <c r="A74" s="68"/>
      <c r="B74" s="69"/>
      <c r="C74" s="70"/>
      <c r="D74" s="126"/>
      <c r="E74" s="69"/>
      <c r="F74" s="69"/>
      <c r="G74" s="69"/>
      <c r="H74" s="71"/>
      <c r="I74" s="71"/>
      <c r="J74" s="69">
        <f t="shared" si="4"/>
        <v>0</v>
      </c>
    </row>
    <row r="75" ht="12.75" customHeight="1" spans="1:10">
      <c r="A75" s="68"/>
      <c r="B75" s="69"/>
      <c r="C75" s="70"/>
      <c r="D75" s="126"/>
      <c r="E75" s="69"/>
      <c r="F75" s="69"/>
      <c r="G75" s="69"/>
      <c r="H75" s="71"/>
      <c r="I75" s="71"/>
      <c r="J75" s="69">
        <f t="shared" si="4"/>
        <v>0</v>
      </c>
    </row>
    <row r="76" ht="12.75" customHeight="1" spans="1:10">
      <c r="A76" s="68"/>
      <c r="B76" s="69"/>
      <c r="C76" s="70"/>
      <c r="D76" s="126"/>
      <c r="E76" s="69"/>
      <c r="F76" s="69"/>
      <c r="G76" s="69"/>
      <c r="H76" s="71"/>
      <c r="I76" s="71"/>
      <c r="J76" s="69">
        <f t="shared" si="4"/>
        <v>0</v>
      </c>
    </row>
    <row r="77" ht="12.75" customHeight="1" spans="1:10">
      <c r="A77" s="68"/>
      <c r="B77" s="69"/>
      <c r="C77" s="70"/>
      <c r="D77" s="126"/>
      <c r="E77" s="69"/>
      <c r="F77" s="69"/>
      <c r="G77" s="69"/>
      <c r="H77" s="71"/>
      <c r="I77" s="71"/>
      <c r="J77" s="69">
        <f t="shared" si="4"/>
        <v>0</v>
      </c>
    </row>
    <row r="78" ht="12.75" customHeight="1" spans="1:10">
      <c r="A78" s="68"/>
      <c r="B78" s="69"/>
      <c r="C78" s="70"/>
      <c r="D78" s="126"/>
      <c r="E78" s="69"/>
      <c r="F78" s="69"/>
      <c r="G78" s="69"/>
      <c r="H78" s="71"/>
      <c r="I78" s="71"/>
      <c r="J78" s="69">
        <f t="shared" si="4"/>
        <v>0</v>
      </c>
    </row>
    <row r="79" ht="12.75" customHeight="1" spans="1:10">
      <c r="A79" s="68"/>
      <c r="B79" s="69"/>
      <c r="C79" s="70"/>
      <c r="D79" s="126"/>
      <c r="E79" s="69"/>
      <c r="F79" s="69"/>
      <c r="G79" s="69"/>
      <c r="H79" s="71"/>
      <c r="I79" s="71"/>
      <c r="J79" s="69">
        <f t="shared" si="4"/>
        <v>0</v>
      </c>
    </row>
    <row r="80" ht="12.75" customHeight="1" spans="1:10">
      <c r="A80" s="68"/>
      <c r="B80" s="69"/>
      <c r="C80" s="70"/>
      <c r="D80" s="126"/>
      <c r="E80" s="69"/>
      <c r="F80" s="69"/>
      <c r="G80" s="69"/>
      <c r="H80" s="71"/>
      <c r="I80" s="71"/>
      <c r="J80" s="69">
        <f t="shared" si="4"/>
        <v>0</v>
      </c>
    </row>
    <row r="81" ht="12.75" customHeight="1" spans="1:10">
      <c r="A81" s="68"/>
      <c r="B81" s="69"/>
      <c r="C81" s="70"/>
      <c r="D81" s="126"/>
      <c r="E81" s="69"/>
      <c r="F81" s="69"/>
      <c r="G81" s="69"/>
      <c r="H81" s="71"/>
      <c r="I81" s="71"/>
      <c r="J81" s="69">
        <f t="shared" si="4"/>
        <v>0</v>
      </c>
    </row>
    <row r="82" ht="12.75" customHeight="1" spans="1:10">
      <c r="A82" s="68"/>
      <c r="B82" s="69"/>
      <c r="C82" s="70"/>
      <c r="D82" s="126"/>
      <c r="E82" s="69"/>
      <c r="F82" s="69"/>
      <c r="G82" s="69"/>
      <c r="H82" s="71"/>
      <c r="I82" s="71"/>
      <c r="J82" s="69">
        <f t="shared" si="4"/>
        <v>0</v>
      </c>
    </row>
    <row r="83" ht="12.75" customHeight="1" spans="1:10">
      <c r="A83" s="68"/>
      <c r="B83" s="69"/>
      <c r="C83" s="70"/>
      <c r="D83" s="126"/>
      <c r="E83" s="69"/>
      <c r="F83" s="69"/>
      <c r="G83" s="69"/>
      <c r="H83" s="71"/>
      <c r="I83" s="71"/>
      <c r="J83" s="69">
        <f t="shared" si="4"/>
        <v>0</v>
      </c>
    </row>
    <row r="84" ht="12.75" customHeight="1" spans="1:10">
      <c r="A84" s="68"/>
      <c r="B84" s="69"/>
      <c r="C84" s="70"/>
      <c r="D84" s="126"/>
      <c r="E84" s="69"/>
      <c r="F84" s="69"/>
      <c r="G84" s="69"/>
      <c r="H84" s="71"/>
      <c r="I84" s="71"/>
      <c r="J84" s="69">
        <f t="shared" si="4"/>
        <v>0</v>
      </c>
    </row>
    <row r="85" ht="12.75" customHeight="1" spans="1:10">
      <c r="A85" s="68"/>
      <c r="B85" s="69"/>
      <c r="C85" s="70"/>
      <c r="D85" s="126"/>
      <c r="E85" s="69"/>
      <c r="F85" s="69"/>
      <c r="G85" s="69"/>
      <c r="H85" s="71"/>
      <c r="I85" s="71"/>
      <c r="J85" s="69">
        <f t="shared" si="4"/>
        <v>0</v>
      </c>
    </row>
    <row r="86" ht="12.75" customHeight="1" spans="1:10">
      <c r="A86" s="68"/>
      <c r="B86" s="69"/>
      <c r="C86" s="70"/>
      <c r="D86" s="126"/>
      <c r="E86" s="69"/>
      <c r="F86" s="69"/>
      <c r="G86" s="69"/>
      <c r="H86" s="71"/>
      <c r="I86" s="71"/>
      <c r="J86" s="69">
        <f t="shared" si="4"/>
        <v>0</v>
      </c>
    </row>
    <row r="87" ht="12.75" customHeight="1" spans="1:10">
      <c r="A87" s="68"/>
      <c r="B87" s="69"/>
      <c r="C87" s="70"/>
      <c r="D87" s="126"/>
      <c r="E87" s="69"/>
      <c r="F87" s="69"/>
      <c r="G87" s="69"/>
      <c r="H87" s="71"/>
      <c r="I87" s="71"/>
      <c r="J87" s="69">
        <f t="shared" si="4"/>
        <v>0</v>
      </c>
    </row>
    <row r="88" ht="12.75" customHeight="1" spans="1:10">
      <c r="A88" s="68"/>
      <c r="B88" s="69"/>
      <c r="C88" s="70"/>
      <c r="D88" s="126"/>
      <c r="E88" s="69"/>
      <c r="F88" s="69"/>
      <c r="G88" s="69"/>
      <c r="H88" s="71"/>
      <c r="I88" s="71"/>
      <c r="J88" s="69">
        <f t="shared" si="4"/>
        <v>0</v>
      </c>
    </row>
    <row r="89" ht="12.75" customHeight="1" spans="1:10">
      <c r="A89" s="68"/>
      <c r="B89" s="69"/>
      <c r="C89" s="70"/>
      <c r="D89" s="126"/>
      <c r="E89" s="69"/>
      <c r="F89" s="69"/>
      <c r="G89" s="69"/>
      <c r="H89" s="71"/>
      <c r="I89" s="71"/>
      <c r="J89" s="69">
        <f t="shared" si="4"/>
        <v>0</v>
      </c>
    </row>
    <row r="90" ht="12.75" customHeight="1" spans="1:10">
      <c r="A90" s="68"/>
      <c r="B90" s="69"/>
      <c r="C90" s="70"/>
      <c r="D90" s="126"/>
      <c r="E90" s="69"/>
      <c r="F90" s="69"/>
      <c r="G90" s="69"/>
      <c r="H90" s="71"/>
      <c r="I90" s="71"/>
      <c r="J90" s="69">
        <f t="shared" si="4"/>
        <v>0</v>
      </c>
    </row>
    <row r="91" ht="12.75" customHeight="1" spans="1:10">
      <c r="A91" s="68"/>
      <c r="B91" s="69"/>
      <c r="C91" s="70"/>
      <c r="D91" s="126"/>
      <c r="E91" s="69"/>
      <c r="F91" s="69"/>
      <c r="G91" s="69"/>
      <c r="H91" s="71"/>
      <c r="I91" s="71"/>
      <c r="J91" s="69">
        <f t="shared" si="4"/>
        <v>0</v>
      </c>
    </row>
    <row r="92" ht="12.75" customHeight="1" spans="1:10">
      <c r="A92" s="68"/>
      <c r="B92" s="69"/>
      <c r="C92" s="70"/>
      <c r="D92" s="126"/>
      <c r="E92" s="69"/>
      <c r="F92" s="69"/>
      <c r="G92" s="69"/>
      <c r="H92" s="71"/>
      <c r="I92" s="71"/>
      <c r="J92" s="69">
        <f t="shared" si="4"/>
        <v>0</v>
      </c>
    </row>
    <row r="93" ht="12.75" customHeight="1" spans="1:10">
      <c r="A93" s="68"/>
      <c r="B93" s="69"/>
      <c r="C93" s="70"/>
      <c r="D93" s="126"/>
      <c r="E93" s="69"/>
      <c r="F93" s="69"/>
      <c r="G93" s="69"/>
      <c r="H93" s="71"/>
      <c r="I93" s="71"/>
      <c r="J93" s="69">
        <f t="shared" si="4"/>
        <v>0</v>
      </c>
    </row>
    <row r="94" ht="12.75" customHeight="1" spans="1:10">
      <c r="A94" s="68"/>
      <c r="B94" s="69"/>
      <c r="C94" s="70"/>
      <c r="D94" s="126"/>
      <c r="E94" s="69"/>
      <c r="F94" s="69"/>
      <c r="G94" s="69"/>
      <c r="H94" s="71"/>
      <c r="I94" s="71"/>
      <c r="J94" s="69">
        <f t="shared" si="4"/>
        <v>0</v>
      </c>
    </row>
    <row r="95" ht="12.75" customHeight="1" spans="1:10">
      <c r="A95" s="68"/>
      <c r="B95" s="69"/>
      <c r="C95" s="70"/>
      <c r="D95" s="126"/>
      <c r="E95" s="69"/>
      <c r="F95" s="69"/>
      <c r="G95" s="69"/>
      <c r="H95" s="71"/>
      <c r="I95" s="71"/>
      <c r="J95" s="69">
        <f t="shared" si="4"/>
        <v>0</v>
      </c>
    </row>
    <row r="96" ht="12.75" customHeight="1" spans="1:10">
      <c r="A96" s="68"/>
      <c r="B96" s="69"/>
      <c r="C96" s="70"/>
      <c r="D96" s="126"/>
      <c r="E96" s="69"/>
      <c r="F96" s="69"/>
      <c r="G96" s="69"/>
      <c r="H96" s="71"/>
      <c r="I96" s="71"/>
      <c r="J96" s="69">
        <f t="shared" si="4"/>
        <v>0</v>
      </c>
    </row>
    <row r="97" ht="12.75" customHeight="1" spans="1:10">
      <c r="A97" s="68"/>
      <c r="B97" s="69"/>
      <c r="C97" s="70"/>
      <c r="D97" s="126"/>
      <c r="E97" s="69"/>
      <c r="F97" s="69"/>
      <c r="G97" s="69"/>
      <c r="H97" s="71"/>
      <c r="I97" s="71"/>
      <c r="J97" s="69">
        <f t="shared" si="4"/>
        <v>0</v>
      </c>
    </row>
    <row r="98" ht="12.75" customHeight="1" spans="1:10">
      <c r="A98" s="68"/>
      <c r="B98" s="69"/>
      <c r="C98" s="70"/>
      <c r="D98" s="126"/>
      <c r="E98" s="69"/>
      <c r="F98" s="69"/>
      <c r="G98" s="69"/>
      <c r="H98" s="71"/>
      <c r="I98" s="71"/>
      <c r="J98" s="69">
        <f t="shared" si="4"/>
        <v>0</v>
      </c>
    </row>
    <row r="99" ht="12.75" customHeight="1" spans="1:10">
      <c r="A99" s="68"/>
      <c r="B99" s="69"/>
      <c r="C99" s="70"/>
      <c r="D99" s="126"/>
      <c r="E99" s="69"/>
      <c r="F99" s="69"/>
      <c r="G99" s="69"/>
      <c r="H99" s="71"/>
      <c r="I99" s="71"/>
      <c r="J99" s="69">
        <f t="shared" si="4"/>
        <v>0</v>
      </c>
    </row>
    <row r="100" ht="12.75" customHeight="1" spans="1:10">
      <c r="A100" s="68"/>
      <c r="B100" s="69"/>
      <c r="C100" s="70"/>
      <c r="D100" s="126"/>
      <c r="E100" s="69"/>
      <c r="F100" s="69"/>
      <c r="G100" s="69"/>
      <c r="H100" s="71"/>
      <c r="I100" s="71"/>
      <c r="J100" s="69">
        <f t="shared" si="4"/>
        <v>0</v>
      </c>
    </row>
    <row r="101" ht="12.75" customHeight="1" spans="1:10">
      <c r="A101" s="68"/>
      <c r="B101" s="69"/>
      <c r="C101" s="70"/>
      <c r="D101" s="126"/>
      <c r="E101" s="69"/>
      <c r="F101" s="69"/>
      <c r="G101" s="69"/>
      <c r="H101" s="71"/>
      <c r="I101" s="71"/>
      <c r="J101" s="69">
        <f t="shared" si="4"/>
        <v>0</v>
      </c>
    </row>
    <row r="102" ht="12.75" customHeight="1" spans="1:10">
      <c r="A102" s="68"/>
      <c r="B102" s="69"/>
      <c r="C102" s="70"/>
      <c r="D102" s="126"/>
      <c r="E102" s="69"/>
      <c r="F102" s="69"/>
      <c r="G102" s="69"/>
      <c r="H102" s="71"/>
      <c r="I102" s="71"/>
      <c r="J102" s="69">
        <f t="shared" si="4"/>
        <v>0</v>
      </c>
    </row>
    <row r="103" ht="12.75" customHeight="1" spans="1:10">
      <c r="A103" s="68"/>
      <c r="B103" s="69"/>
      <c r="C103" s="70"/>
      <c r="D103" s="126"/>
      <c r="E103" s="69"/>
      <c r="F103" s="69"/>
      <c r="G103" s="69"/>
      <c r="H103" s="71"/>
      <c r="I103" s="71"/>
      <c r="J103" s="69">
        <f t="shared" si="4"/>
        <v>0</v>
      </c>
    </row>
    <row r="104" ht="12.75" customHeight="1" spans="1:10">
      <c r="A104" s="68"/>
      <c r="B104" s="69"/>
      <c r="C104" s="70"/>
      <c r="D104" s="126"/>
      <c r="E104" s="69"/>
      <c r="F104" s="69"/>
      <c r="G104" s="69"/>
      <c r="H104" s="71"/>
      <c r="I104" s="71"/>
      <c r="J104" s="69">
        <f t="shared" si="4"/>
        <v>0</v>
      </c>
    </row>
    <row r="105" ht="12.75" customHeight="1" spans="1:10">
      <c r="A105" s="68"/>
      <c r="B105" s="69"/>
      <c r="C105" s="70"/>
      <c r="D105" s="126"/>
      <c r="E105" s="69"/>
      <c r="F105" s="69"/>
      <c r="G105" s="69"/>
      <c r="H105" s="71"/>
      <c r="I105" s="71"/>
      <c r="J105" s="69">
        <f t="shared" si="4"/>
        <v>0</v>
      </c>
    </row>
    <row r="106" ht="12.75" customHeight="1" spans="1:10">
      <c r="A106" s="68"/>
      <c r="B106" s="69"/>
      <c r="C106" s="70"/>
      <c r="D106" s="126"/>
      <c r="E106" s="69"/>
      <c r="F106" s="69"/>
      <c r="G106" s="69"/>
      <c r="H106" s="71"/>
      <c r="I106" s="71"/>
      <c r="J106" s="69">
        <f t="shared" si="4"/>
        <v>0</v>
      </c>
    </row>
    <row r="107" ht="12.75" customHeight="1" spans="1:10">
      <c r="A107" s="68"/>
      <c r="B107" s="69"/>
      <c r="C107" s="70"/>
      <c r="D107" s="126"/>
      <c r="E107" s="69"/>
      <c r="F107" s="69"/>
      <c r="G107" s="69"/>
      <c r="H107" s="71"/>
      <c r="I107" s="71"/>
      <c r="J107" s="69">
        <f t="shared" si="4"/>
        <v>0</v>
      </c>
    </row>
    <row r="108" ht="12.75" customHeight="1" spans="1:10">
      <c r="A108" s="68"/>
      <c r="B108" s="69"/>
      <c r="C108" s="70"/>
      <c r="D108" s="126"/>
      <c r="E108" s="69"/>
      <c r="F108" s="69"/>
      <c r="G108" s="69"/>
      <c r="H108" s="71"/>
      <c r="I108" s="71"/>
      <c r="J108" s="69">
        <f t="shared" si="4"/>
        <v>0</v>
      </c>
    </row>
    <row r="109" ht="12.75" customHeight="1" spans="1:10">
      <c r="A109" s="68"/>
      <c r="B109" s="69"/>
      <c r="C109" s="70"/>
      <c r="D109" s="126"/>
      <c r="E109" s="69"/>
      <c r="F109" s="69"/>
      <c r="G109" s="69"/>
      <c r="H109" s="71"/>
      <c r="I109" s="71"/>
      <c r="J109" s="69">
        <f t="shared" si="4"/>
        <v>0</v>
      </c>
    </row>
    <row r="110" ht="12.75" customHeight="1" spans="1:10">
      <c r="A110" s="68"/>
      <c r="B110" s="69"/>
      <c r="C110" s="70"/>
      <c r="D110" s="126"/>
      <c r="E110" s="69"/>
      <c r="F110" s="69"/>
      <c r="G110" s="69"/>
      <c r="H110" s="71"/>
      <c r="I110" s="71"/>
      <c r="J110" s="69">
        <f t="shared" si="4"/>
        <v>0</v>
      </c>
    </row>
    <row r="111" ht="12.75" customHeight="1" spans="1:10">
      <c r="A111" s="68"/>
      <c r="B111" s="69"/>
      <c r="C111" s="70"/>
      <c r="D111" s="126"/>
      <c r="E111" s="69"/>
      <c r="F111" s="69"/>
      <c r="G111" s="69"/>
      <c r="H111" s="71"/>
      <c r="I111" s="71"/>
      <c r="J111" s="69">
        <f t="shared" si="4"/>
        <v>0</v>
      </c>
    </row>
    <row r="112" ht="12.75" customHeight="1" spans="1:10">
      <c r="A112" s="68"/>
      <c r="B112" s="69"/>
      <c r="C112" s="70"/>
      <c r="D112" s="126"/>
      <c r="E112" s="69"/>
      <c r="F112" s="69"/>
      <c r="G112" s="69"/>
      <c r="H112" s="71"/>
      <c r="I112" s="71"/>
      <c r="J112" s="69">
        <f t="shared" si="4"/>
        <v>0</v>
      </c>
    </row>
    <row r="113" ht="12.75" customHeight="1" spans="1:10">
      <c r="A113" s="68"/>
      <c r="B113" s="69"/>
      <c r="C113" s="70"/>
      <c r="D113" s="126"/>
      <c r="E113" s="69"/>
      <c r="F113" s="69"/>
      <c r="G113" s="69"/>
      <c r="H113" s="71"/>
      <c r="I113" s="71"/>
      <c r="J113" s="69">
        <f t="shared" si="4"/>
        <v>0</v>
      </c>
    </row>
    <row r="114" ht="12.75" customHeight="1" spans="1:10">
      <c r="A114" s="68"/>
      <c r="B114" s="69"/>
      <c r="C114" s="70"/>
      <c r="D114" s="126"/>
      <c r="E114" s="69"/>
      <c r="F114" s="69"/>
      <c r="G114" s="69"/>
      <c r="H114" s="71"/>
      <c r="I114" s="71"/>
      <c r="J114" s="69">
        <f t="shared" si="4"/>
        <v>0</v>
      </c>
    </row>
    <row r="115" ht="12.75" customHeight="1" spans="1:10">
      <c r="A115" s="68"/>
      <c r="B115" s="69"/>
      <c r="C115" s="70"/>
      <c r="D115" s="126"/>
      <c r="E115" s="69"/>
      <c r="F115" s="69"/>
      <c r="G115" s="69"/>
      <c r="H115" s="71"/>
      <c r="I115" s="71"/>
      <c r="J115" s="69">
        <f t="shared" si="4"/>
        <v>0</v>
      </c>
    </row>
    <row r="116" ht="12.75" customHeight="1" spans="1:10">
      <c r="A116" s="68"/>
      <c r="B116" s="69"/>
      <c r="C116" s="70"/>
      <c r="D116" s="126"/>
      <c r="E116" s="69"/>
      <c r="F116" s="69"/>
      <c r="G116" s="69"/>
      <c r="H116" s="71"/>
      <c r="I116" s="71"/>
      <c r="J116" s="69">
        <f t="shared" si="4"/>
        <v>0</v>
      </c>
    </row>
    <row r="117" ht="12.75" customHeight="1" spans="1:10">
      <c r="A117" s="68"/>
      <c r="B117" s="69"/>
      <c r="C117" s="70"/>
      <c r="D117" s="126"/>
      <c r="E117" s="69"/>
      <c r="F117" s="69"/>
      <c r="G117" s="69"/>
      <c r="H117" s="71"/>
      <c r="I117" s="71"/>
      <c r="J117" s="69">
        <f t="shared" si="4"/>
        <v>0</v>
      </c>
    </row>
    <row r="118" ht="12.75" customHeight="1" spans="1:10">
      <c r="A118" s="68"/>
      <c r="B118" s="69"/>
      <c r="C118" s="70"/>
      <c r="D118" s="126"/>
      <c r="E118" s="69"/>
      <c r="F118" s="69"/>
      <c r="G118" s="69"/>
      <c r="H118" s="71"/>
      <c r="I118" s="71"/>
      <c r="J118" s="69">
        <f t="shared" si="4"/>
        <v>0</v>
      </c>
    </row>
    <row r="119" ht="12.75" customHeight="1" spans="1:10">
      <c r="A119" s="68"/>
      <c r="B119" s="69"/>
      <c r="C119" s="70"/>
      <c r="D119" s="126"/>
      <c r="E119" s="69"/>
      <c r="F119" s="69"/>
      <c r="G119" s="69"/>
      <c r="H119" s="71"/>
      <c r="I119" s="71"/>
      <c r="J119" s="69">
        <f t="shared" si="4"/>
        <v>0</v>
      </c>
    </row>
    <row r="120" ht="12.75" customHeight="1" spans="1:10">
      <c r="A120" s="68"/>
      <c r="B120" s="69"/>
      <c r="C120" s="70"/>
      <c r="D120" s="126"/>
      <c r="E120" s="69"/>
      <c r="F120" s="69"/>
      <c r="G120" s="69"/>
      <c r="H120" s="71"/>
      <c r="I120" s="71"/>
      <c r="J120" s="69">
        <f t="shared" si="4"/>
        <v>0</v>
      </c>
    </row>
    <row r="121" ht="12.75" customHeight="1" spans="1:10">
      <c r="A121" s="68"/>
      <c r="B121" s="69"/>
      <c r="C121" s="70"/>
      <c r="D121" s="126"/>
      <c r="E121" s="69"/>
      <c r="F121" s="69"/>
      <c r="G121" s="69"/>
      <c r="H121" s="71"/>
      <c r="I121" s="71"/>
      <c r="J121" s="69">
        <f t="shared" si="4"/>
        <v>0</v>
      </c>
    </row>
    <row r="122" ht="12.75" customHeight="1" spans="1:10">
      <c r="A122" s="68"/>
      <c r="B122" s="69"/>
      <c r="C122" s="70"/>
      <c r="D122" s="126"/>
      <c r="E122" s="69"/>
      <c r="F122" s="69"/>
      <c r="G122" s="69"/>
      <c r="H122" s="71"/>
      <c r="I122" s="71"/>
      <c r="J122" s="69">
        <f t="shared" si="4"/>
        <v>0</v>
      </c>
    </row>
    <row r="123" ht="12.75" customHeight="1" spans="1:10">
      <c r="A123" s="68"/>
      <c r="B123" s="69"/>
      <c r="C123" s="70"/>
      <c r="D123" s="126"/>
      <c r="E123" s="69"/>
      <c r="F123" s="69"/>
      <c r="G123" s="69"/>
      <c r="H123" s="71"/>
      <c r="I123" s="71"/>
      <c r="J123" s="69">
        <f t="shared" si="4"/>
        <v>0</v>
      </c>
    </row>
    <row r="124" ht="12.75" customHeight="1" spans="1:10">
      <c r="A124" s="68"/>
      <c r="B124" s="69"/>
      <c r="C124" s="70"/>
      <c r="D124" s="126"/>
      <c r="E124" s="69"/>
      <c r="F124" s="69"/>
      <c r="G124" s="69"/>
      <c r="H124" s="71"/>
      <c r="I124" s="71"/>
      <c r="J124" s="69">
        <f t="shared" si="4"/>
        <v>0</v>
      </c>
    </row>
    <row r="125" ht="12.75" customHeight="1" spans="1:10">
      <c r="A125" s="68"/>
      <c r="B125" s="69"/>
      <c r="C125" s="70"/>
      <c r="D125" s="126"/>
      <c r="E125" s="69"/>
      <c r="F125" s="69"/>
      <c r="G125" s="69"/>
      <c r="H125" s="71"/>
      <c r="I125" s="71"/>
      <c r="J125" s="69">
        <f t="shared" si="4"/>
        <v>0</v>
      </c>
    </row>
    <row r="126" ht="12.75" customHeight="1" spans="1:10">
      <c r="A126" s="68"/>
      <c r="B126" s="69"/>
      <c r="C126" s="70"/>
      <c r="D126" s="126"/>
      <c r="E126" s="69"/>
      <c r="F126" s="69"/>
      <c r="G126" s="69"/>
      <c r="H126" s="71"/>
      <c r="I126" s="71"/>
      <c r="J126" s="69">
        <f t="shared" si="4"/>
        <v>0</v>
      </c>
    </row>
    <row r="127" ht="12.75" customHeight="1" spans="1:10">
      <c r="A127" s="68"/>
      <c r="B127" s="69"/>
      <c r="C127" s="70"/>
      <c r="D127" s="126"/>
      <c r="E127" s="69"/>
      <c r="F127" s="69"/>
      <c r="G127" s="69"/>
      <c r="H127" s="71"/>
      <c r="I127" s="71"/>
      <c r="J127" s="69">
        <f t="shared" si="4"/>
        <v>0</v>
      </c>
    </row>
    <row r="128" ht="12.75" customHeight="1" spans="1:10">
      <c r="A128" s="68"/>
      <c r="B128" s="69"/>
      <c r="C128" s="70"/>
      <c r="D128" s="126"/>
      <c r="E128" s="69"/>
      <c r="F128" s="69"/>
      <c r="G128" s="69"/>
      <c r="H128" s="71"/>
      <c r="I128" s="71"/>
      <c r="J128" s="69">
        <f t="shared" si="4"/>
        <v>0</v>
      </c>
    </row>
    <row r="129" ht="12.75" customHeight="1" spans="1:10">
      <c r="A129" s="68"/>
      <c r="B129" s="69"/>
      <c r="C129" s="70"/>
      <c r="D129" s="126"/>
      <c r="E129" s="69"/>
      <c r="F129" s="69"/>
      <c r="G129" s="69"/>
      <c r="H129" s="71"/>
      <c r="I129" s="71"/>
      <c r="J129" s="69">
        <f t="shared" si="4"/>
        <v>0</v>
      </c>
    </row>
    <row r="130" ht="12.75" customHeight="1" spans="1:10">
      <c r="A130" s="68"/>
      <c r="B130" s="69"/>
      <c r="C130" s="70"/>
      <c r="D130" s="126"/>
      <c r="E130" s="69"/>
      <c r="F130" s="69"/>
      <c r="G130" s="69"/>
      <c r="H130" s="71"/>
      <c r="I130" s="71"/>
      <c r="J130" s="69">
        <f t="shared" si="4"/>
        <v>0</v>
      </c>
    </row>
    <row r="131" ht="12.75" customHeight="1" spans="1:10">
      <c r="A131" s="68"/>
      <c r="B131" s="69"/>
      <c r="C131" s="70"/>
      <c r="D131" s="126"/>
      <c r="E131" s="69"/>
      <c r="F131" s="69"/>
      <c r="G131" s="69"/>
      <c r="H131" s="71"/>
      <c r="I131" s="71"/>
      <c r="J131" s="69">
        <f t="shared" si="4"/>
        <v>0</v>
      </c>
    </row>
    <row r="132" ht="12.75" customHeight="1" spans="1:10">
      <c r="A132" s="68"/>
      <c r="B132" s="69"/>
      <c r="C132" s="70"/>
      <c r="D132" s="126"/>
      <c r="E132" s="69"/>
      <c r="F132" s="69"/>
      <c r="G132" s="69"/>
      <c r="H132" s="71"/>
      <c r="I132" s="71"/>
      <c r="J132" s="69">
        <f t="shared" si="4"/>
        <v>0</v>
      </c>
    </row>
    <row r="133" ht="12.75" customHeight="1" spans="1:10">
      <c r="A133" s="68"/>
      <c r="B133" s="69"/>
      <c r="C133" s="70"/>
      <c r="D133" s="126"/>
      <c r="E133" s="69"/>
      <c r="F133" s="69"/>
      <c r="G133" s="69"/>
      <c r="H133" s="71"/>
      <c r="I133" s="71"/>
      <c r="J133" s="69">
        <f t="shared" si="4"/>
        <v>0</v>
      </c>
    </row>
    <row r="134" ht="12.75" customHeight="1" spans="1:10">
      <c r="A134" s="68"/>
      <c r="B134" s="69"/>
      <c r="C134" s="70"/>
      <c r="D134" s="126"/>
      <c r="E134" s="69"/>
      <c r="F134" s="69"/>
      <c r="G134" s="69"/>
      <c r="H134" s="71"/>
      <c r="I134" s="71"/>
      <c r="J134" s="69">
        <f t="shared" si="4"/>
        <v>0</v>
      </c>
    </row>
    <row r="135" ht="12.75" customHeight="1" spans="1:10">
      <c r="A135" s="68"/>
      <c r="B135" s="69"/>
      <c r="C135" s="70"/>
      <c r="D135" s="126"/>
      <c r="E135" s="69"/>
      <c r="F135" s="69"/>
      <c r="G135" s="69"/>
      <c r="H135" s="71"/>
      <c r="I135" s="71"/>
      <c r="J135" s="69">
        <f t="shared" si="4"/>
        <v>0</v>
      </c>
    </row>
    <row r="136" ht="12.75" customHeight="1" spans="1:10">
      <c r="A136" s="68"/>
      <c r="B136" s="69"/>
      <c r="C136" s="70"/>
      <c r="D136" s="126"/>
      <c r="E136" s="69"/>
      <c r="F136" s="69"/>
      <c r="G136" s="69"/>
      <c r="H136" s="71"/>
      <c r="I136" s="71"/>
      <c r="J136" s="69">
        <f t="shared" si="4"/>
        <v>0</v>
      </c>
    </row>
    <row r="137" ht="12.75" customHeight="1" spans="1:10">
      <c r="A137" s="68"/>
      <c r="B137" s="69"/>
      <c r="C137" s="70"/>
      <c r="D137" s="126"/>
      <c r="E137" s="69"/>
      <c r="F137" s="69"/>
      <c r="G137" s="69"/>
      <c r="H137" s="71"/>
      <c r="I137" s="71"/>
      <c r="J137" s="69">
        <f t="shared" ref="J137:J186" si="5">1/10*G137</f>
        <v>0</v>
      </c>
    </row>
    <row r="138" ht="12.75" customHeight="1" spans="1:10">
      <c r="A138" s="68"/>
      <c r="B138" s="69"/>
      <c r="C138" s="70"/>
      <c r="D138" s="126"/>
      <c r="E138" s="69"/>
      <c r="F138" s="69"/>
      <c r="G138" s="69"/>
      <c r="H138" s="71"/>
      <c r="I138" s="71"/>
      <c r="J138" s="69">
        <f t="shared" si="5"/>
        <v>0</v>
      </c>
    </row>
    <row r="139" ht="12.75" customHeight="1" spans="1:10">
      <c r="A139" s="68"/>
      <c r="B139" s="69"/>
      <c r="C139" s="70"/>
      <c r="D139" s="126"/>
      <c r="E139" s="69"/>
      <c r="F139" s="69"/>
      <c r="G139" s="69"/>
      <c r="H139" s="71"/>
      <c r="I139" s="71"/>
      <c r="J139" s="69">
        <f t="shared" si="5"/>
        <v>0</v>
      </c>
    </row>
    <row r="140" ht="12.75" customHeight="1" spans="1:10">
      <c r="A140" s="68"/>
      <c r="B140" s="69"/>
      <c r="C140" s="70"/>
      <c r="D140" s="126"/>
      <c r="E140" s="69"/>
      <c r="F140" s="69"/>
      <c r="G140" s="69"/>
      <c r="H140" s="71"/>
      <c r="I140" s="71"/>
      <c r="J140" s="69">
        <f t="shared" si="5"/>
        <v>0</v>
      </c>
    </row>
    <row r="141" ht="12.75" customHeight="1" spans="1:10">
      <c r="A141" s="68"/>
      <c r="B141" s="69"/>
      <c r="C141" s="70"/>
      <c r="D141" s="126"/>
      <c r="E141" s="69"/>
      <c r="F141" s="69"/>
      <c r="G141" s="69"/>
      <c r="H141" s="71"/>
      <c r="I141" s="71"/>
      <c r="J141" s="69">
        <f t="shared" si="5"/>
        <v>0</v>
      </c>
    </row>
    <row r="142" ht="12.75" customHeight="1" spans="1:10">
      <c r="A142" s="68"/>
      <c r="B142" s="69"/>
      <c r="C142" s="70"/>
      <c r="D142" s="126"/>
      <c r="E142" s="69"/>
      <c r="F142" s="69"/>
      <c r="G142" s="69"/>
      <c r="H142" s="71"/>
      <c r="I142" s="71"/>
      <c r="J142" s="69">
        <f t="shared" si="5"/>
        <v>0</v>
      </c>
    </row>
    <row r="143" ht="12.75" customHeight="1" spans="1:10">
      <c r="A143" s="68"/>
      <c r="B143" s="69"/>
      <c r="C143" s="70"/>
      <c r="D143" s="126"/>
      <c r="E143" s="69"/>
      <c r="F143" s="69"/>
      <c r="G143" s="69"/>
      <c r="H143" s="71"/>
      <c r="I143" s="71"/>
      <c r="J143" s="69">
        <f t="shared" si="5"/>
        <v>0</v>
      </c>
    </row>
    <row r="144" ht="12.75" customHeight="1" spans="1:10">
      <c r="A144" s="68"/>
      <c r="B144" s="69"/>
      <c r="C144" s="70"/>
      <c r="D144" s="126"/>
      <c r="E144" s="69"/>
      <c r="F144" s="69"/>
      <c r="G144" s="69"/>
      <c r="H144" s="71"/>
      <c r="I144" s="71"/>
      <c r="J144" s="69">
        <f t="shared" si="5"/>
        <v>0</v>
      </c>
    </row>
    <row r="145" ht="12.75" customHeight="1" spans="1:10">
      <c r="A145" s="68"/>
      <c r="B145" s="69"/>
      <c r="C145" s="70"/>
      <c r="D145" s="126"/>
      <c r="E145" s="69"/>
      <c r="F145" s="69"/>
      <c r="G145" s="69"/>
      <c r="H145" s="71"/>
      <c r="I145" s="71"/>
      <c r="J145" s="69">
        <f t="shared" si="5"/>
        <v>0</v>
      </c>
    </row>
    <row r="146" ht="12.75" customHeight="1" spans="1:10">
      <c r="A146" s="68"/>
      <c r="B146" s="69"/>
      <c r="C146" s="70"/>
      <c r="D146" s="126"/>
      <c r="E146" s="69"/>
      <c r="F146" s="69"/>
      <c r="G146" s="69"/>
      <c r="H146" s="71"/>
      <c r="I146" s="71"/>
      <c r="J146" s="69">
        <f t="shared" si="5"/>
        <v>0</v>
      </c>
    </row>
    <row r="147" ht="12.75" customHeight="1" spans="1:10">
      <c r="A147" s="68"/>
      <c r="B147" s="69"/>
      <c r="C147" s="70"/>
      <c r="D147" s="126"/>
      <c r="E147" s="69"/>
      <c r="F147" s="69"/>
      <c r="G147" s="69"/>
      <c r="H147" s="71"/>
      <c r="I147" s="71"/>
      <c r="J147" s="69">
        <f t="shared" si="5"/>
        <v>0</v>
      </c>
    </row>
    <row r="148" ht="12.75" customHeight="1" spans="1:10">
      <c r="A148" s="68"/>
      <c r="B148" s="69"/>
      <c r="C148" s="70"/>
      <c r="D148" s="126"/>
      <c r="E148" s="69"/>
      <c r="F148" s="69"/>
      <c r="G148" s="69"/>
      <c r="H148" s="71"/>
      <c r="I148" s="71"/>
      <c r="J148" s="69">
        <f t="shared" si="5"/>
        <v>0</v>
      </c>
    </row>
    <row r="149" ht="12.75" customHeight="1" spans="1:10">
      <c r="A149" s="68"/>
      <c r="B149" s="69"/>
      <c r="C149" s="70"/>
      <c r="D149" s="126"/>
      <c r="E149" s="69"/>
      <c r="F149" s="69"/>
      <c r="G149" s="69"/>
      <c r="H149" s="71"/>
      <c r="I149" s="71"/>
      <c r="J149" s="69">
        <f t="shared" si="5"/>
        <v>0</v>
      </c>
    </row>
    <row r="150" ht="12.75" customHeight="1" spans="1:10">
      <c r="A150" s="68"/>
      <c r="B150" s="69"/>
      <c r="C150" s="70"/>
      <c r="D150" s="126"/>
      <c r="E150" s="69"/>
      <c r="F150" s="69"/>
      <c r="G150" s="69"/>
      <c r="H150" s="71"/>
      <c r="I150" s="71"/>
      <c r="J150" s="69">
        <f t="shared" si="5"/>
        <v>0</v>
      </c>
    </row>
    <row r="151" ht="12.75" customHeight="1" spans="1:10">
      <c r="A151" s="68"/>
      <c r="B151" s="69"/>
      <c r="C151" s="70"/>
      <c r="D151" s="126"/>
      <c r="E151" s="69"/>
      <c r="F151" s="69"/>
      <c r="G151" s="69"/>
      <c r="H151" s="71"/>
      <c r="I151" s="71"/>
      <c r="J151" s="69">
        <f t="shared" si="5"/>
        <v>0</v>
      </c>
    </row>
    <row r="152" ht="12.75" customHeight="1" spans="1:10">
      <c r="A152" s="68"/>
      <c r="B152" s="69"/>
      <c r="C152" s="70"/>
      <c r="D152" s="126"/>
      <c r="E152" s="69"/>
      <c r="F152" s="69"/>
      <c r="G152" s="69"/>
      <c r="H152" s="71"/>
      <c r="I152" s="71"/>
      <c r="J152" s="69">
        <f t="shared" si="5"/>
        <v>0</v>
      </c>
    </row>
    <row r="153" ht="12.75" customHeight="1" spans="1:10">
      <c r="A153" s="68"/>
      <c r="B153" s="69"/>
      <c r="C153" s="70"/>
      <c r="D153" s="126"/>
      <c r="E153" s="69"/>
      <c r="F153" s="69"/>
      <c r="G153" s="69"/>
      <c r="H153" s="71"/>
      <c r="I153" s="71"/>
      <c r="J153" s="69">
        <f t="shared" si="5"/>
        <v>0</v>
      </c>
    </row>
    <row r="154" ht="12.75" customHeight="1" spans="1:10">
      <c r="A154" s="68"/>
      <c r="B154" s="69"/>
      <c r="C154" s="70"/>
      <c r="D154" s="126"/>
      <c r="E154" s="69"/>
      <c r="F154" s="69"/>
      <c r="G154" s="69"/>
      <c r="H154" s="71"/>
      <c r="I154" s="71"/>
      <c r="J154" s="69">
        <f t="shared" si="5"/>
        <v>0</v>
      </c>
    </row>
    <row r="155" ht="12.75" customHeight="1" spans="1:10">
      <c r="A155" s="68"/>
      <c r="B155" s="69"/>
      <c r="C155" s="70"/>
      <c r="D155" s="126"/>
      <c r="E155" s="69"/>
      <c r="F155" s="69"/>
      <c r="G155" s="69"/>
      <c r="H155" s="71"/>
      <c r="I155" s="71"/>
      <c r="J155" s="69">
        <f t="shared" si="5"/>
        <v>0</v>
      </c>
    </row>
    <row r="156" ht="12.75" customHeight="1" spans="1:10">
      <c r="A156" s="68"/>
      <c r="B156" s="69"/>
      <c r="C156" s="70"/>
      <c r="D156" s="126"/>
      <c r="E156" s="69"/>
      <c r="F156" s="69"/>
      <c r="G156" s="69"/>
      <c r="H156" s="71"/>
      <c r="I156" s="71"/>
      <c r="J156" s="69">
        <f t="shared" si="5"/>
        <v>0</v>
      </c>
    </row>
    <row r="157" ht="12.75" customHeight="1" spans="1:10">
      <c r="A157" s="68"/>
      <c r="B157" s="69"/>
      <c r="C157" s="70"/>
      <c r="D157" s="126"/>
      <c r="E157" s="69"/>
      <c r="F157" s="69"/>
      <c r="G157" s="69"/>
      <c r="H157" s="71"/>
      <c r="I157" s="71"/>
      <c r="J157" s="69">
        <f t="shared" si="5"/>
        <v>0</v>
      </c>
    </row>
    <row r="158" ht="12.75" customHeight="1" spans="1:10">
      <c r="A158" s="68"/>
      <c r="B158" s="69"/>
      <c r="C158" s="70"/>
      <c r="D158" s="126"/>
      <c r="E158" s="69"/>
      <c r="F158" s="69"/>
      <c r="G158" s="69"/>
      <c r="H158" s="71"/>
      <c r="I158" s="71"/>
      <c r="J158" s="69">
        <f t="shared" si="5"/>
        <v>0</v>
      </c>
    </row>
    <row r="159" ht="12.75" customHeight="1" spans="1:10">
      <c r="A159" s="68"/>
      <c r="B159" s="69"/>
      <c r="C159" s="70"/>
      <c r="D159" s="126"/>
      <c r="E159" s="69"/>
      <c r="F159" s="69"/>
      <c r="G159" s="69"/>
      <c r="H159" s="71"/>
      <c r="I159" s="71"/>
      <c r="J159" s="69">
        <f t="shared" si="5"/>
        <v>0</v>
      </c>
    </row>
    <row r="160" ht="12.75" customHeight="1" spans="1:10">
      <c r="A160" s="68"/>
      <c r="B160" s="69"/>
      <c r="C160" s="70"/>
      <c r="D160" s="126"/>
      <c r="E160" s="69"/>
      <c r="F160" s="69"/>
      <c r="G160" s="69"/>
      <c r="H160" s="71"/>
      <c r="I160" s="71"/>
      <c r="J160" s="69">
        <f t="shared" si="5"/>
        <v>0</v>
      </c>
    </row>
    <row r="161" ht="12.75" customHeight="1" spans="1:10">
      <c r="A161" s="68"/>
      <c r="B161" s="69"/>
      <c r="C161" s="70"/>
      <c r="D161" s="126"/>
      <c r="E161" s="69"/>
      <c r="F161" s="69"/>
      <c r="G161" s="69"/>
      <c r="H161" s="71"/>
      <c r="I161" s="71"/>
      <c r="J161" s="69">
        <f t="shared" si="5"/>
        <v>0</v>
      </c>
    </row>
    <row r="162" ht="12.75" customHeight="1" spans="1:10">
      <c r="A162" s="68"/>
      <c r="B162" s="69"/>
      <c r="C162" s="70"/>
      <c r="D162" s="126"/>
      <c r="E162" s="69"/>
      <c r="F162" s="69"/>
      <c r="G162" s="69"/>
      <c r="H162" s="71"/>
      <c r="I162" s="71"/>
      <c r="J162" s="69">
        <f t="shared" si="5"/>
        <v>0</v>
      </c>
    </row>
    <row r="163" ht="12.75" customHeight="1" spans="1:10">
      <c r="A163" s="68"/>
      <c r="B163" s="69"/>
      <c r="C163" s="70"/>
      <c r="D163" s="126"/>
      <c r="E163" s="69"/>
      <c r="F163" s="69"/>
      <c r="G163" s="69"/>
      <c r="H163" s="71"/>
      <c r="I163" s="71"/>
      <c r="J163" s="69">
        <f t="shared" si="5"/>
        <v>0</v>
      </c>
    </row>
    <row r="164" ht="12.75" customHeight="1" spans="1:10">
      <c r="A164" s="68"/>
      <c r="B164" s="69"/>
      <c r="C164" s="70"/>
      <c r="D164" s="126"/>
      <c r="E164" s="69"/>
      <c r="F164" s="69"/>
      <c r="G164" s="69"/>
      <c r="H164" s="71"/>
      <c r="I164" s="71"/>
      <c r="J164" s="69">
        <f t="shared" si="5"/>
        <v>0</v>
      </c>
    </row>
    <row r="165" ht="12.75" customHeight="1" spans="1:10">
      <c r="A165" s="68"/>
      <c r="B165" s="69"/>
      <c r="C165" s="70"/>
      <c r="D165" s="126"/>
      <c r="E165" s="69"/>
      <c r="F165" s="69"/>
      <c r="G165" s="69"/>
      <c r="H165" s="71"/>
      <c r="I165" s="71"/>
      <c r="J165" s="69">
        <f t="shared" si="5"/>
        <v>0</v>
      </c>
    </row>
    <row r="166" ht="12.75" customHeight="1" spans="1:10">
      <c r="A166" s="68"/>
      <c r="B166" s="69"/>
      <c r="C166" s="70"/>
      <c r="D166" s="126"/>
      <c r="E166" s="69"/>
      <c r="F166" s="69"/>
      <c r="G166" s="69"/>
      <c r="H166" s="71"/>
      <c r="I166" s="71"/>
      <c r="J166" s="69">
        <f t="shared" si="5"/>
        <v>0</v>
      </c>
    </row>
    <row r="167" ht="12.75" customHeight="1" spans="1:10">
      <c r="A167" s="68"/>
      <c r="B167" s="69"/>
      <c r="C167" s="70"/>
      <c r="D167" s="126"/>
      <c r="E167" s="69"/>
      <c r="F167" s="69"/>
      <c r="G167" s="69"/>
      <c r="H167" s="71"/>
      <c r="I167" s="71"/>
      <c r="J167" s="69">
        <f t="shared" si="5"/>
        <v>0</v>
      </c>
    </row>
    <row r="168" ht="12.75" customHeight="1" spans="1:10">
      <c r="A168" s="68"/>
      <c r="B168" s="69"/>
      <c r="C168" s="70"/>
      <c r="D168" s="126"/>
      <c r="E168" s="69"/>
      <c r="F168" s="69"/>
      <c r="G168" s="69"/>
      <c r="H168" s="71"/>
      <c r="I168" s="71"/>
      <c r="J168" s="69">
        <f t="shared" si="5"/>
        <v>0</v>
      </c>
    </row>
    <row r="169" ht="12.75" customHeight="1" spans="1:10">
      <c r="A169" s="68"/>
      <c r="B169" s="69"/>
      <c r="C169" s="70"/>
      <c r="D169" s="126"/>
      <c r="E169" s="69"/>
      <c r="F169" s="69"/>
      <c r="G169" s="69"/>
      <c r="H169" s="71"/>
      <c r="I169" s="71"/>
      <c r="J169" s="69">
        <f t="shared" si="5"/>
        <v>0</v>
      </c>
    </row>
    <row r="170" ht="12.75" customHeight="1" spans="1:10">
      <c r="A170" s="68"/>
      <c r="B170" s="69"/>
      <c r="C170" s="70"/>
      <c r="D170" s="126"/>
      <c r="E170" s="69"/>
      <c r="F170" s="69"/>
      <c r="G170" s="69"/>
      <c r="H170" s="71"/>
      <c r="I170" s="71"/>
      <c r="J170" s="69">
        <f t="shared" si="5"/>
        <v>0</v>
      </c>
    </row>
    <row r="171" ht="12.75" customHeight="1" spans="1:10">
      <c r="A171" s="68"/>
      <c r="B171" s="69"/>
      <c r="C171" s="70"/>
      <c r="D171" s="126"/>
      <c r="E171" s="69"/>
      <c r="F171" s="69"/>
      <c r="G171" s="69"/>
      <c r="H171" s="71"/>
      <c r="I171" s="71"/>
      <c r="J171" s="69">
        <f t="shared" si="5"/>
        <v>0</v>
      </c>
    </row>
    <row r="172" ht="12.75" customHeight="1" spans="1:10">
      <c r="A172" s="68"/>
      <c r="B172" s="69"/>
      <c r="C172" s="70"/>
      <c r="D172" s="126"/>
      <c r="E172" s="69"/>
      <c r="F172" s="69"/>
      <c r="G172" s="69"/>
      <c r="H172" s="71"/>
      <c r="I172" s="71"/>
      <c r="J172" s="69">
        <f t="shared" si="5"/>
        <v>0</v>
      </c>
    </row>
    <row r="173" ht="12.75" customHeight="1" spans="1:10">
      <c r="A173" s="68"/>
      <c r="B173" s="69"/>
      <c r="C173" s="70"/>
      <c r="D173" s="126"/>
      <c r="E173" s="69"/>
      <c r="F173" s="69"/>
      <c r="G173" s="69"/>
      <c r="H173" s="71"/>
      <c r="I173" s="71"/>
      <c r="J173" s="69">
        <f t="shared" si="5"/>
        <v>0</v>
      </c>
    </row>
    <row r="174" ht="12.75" customHeight="1" spans="1:10">
      <c r="A174" s="68"/>
      <c r="B174" s="69"/>
      <c r="C174" s="70"/>
      <c r="D174" s="126"/>
      <c r="E174" s="69"/>
      <c r="F174" s="69"/>
      <c r="G174" s="69"/>
      <c r="H174" s="71"/>
      <c r="I174" s="71"/>
      <c r="J174" s="69">
        <f t="shared" si="5"/>
        <v>0</v>
      </c>
    </row>
    <row r="175" ht="12.75" customHeight="1" spans="1:10">
      <c r="A175" s="68"/>
      <c r="B175" s="69"/>
      <c r="C175" s="70"/>
      <c r="D175" s="126"/>
      <c r="E175" s="69"/>
      <c r="F175" s="69"/>
      <c r="G175" s="69"/>
      <c r="H175" s="71"/>
      <c r="I175" s="71"/>
      <c r="J175" s="69">
        <f t="shared" si="5"/>
        <v>0</v>
      </c>
    </row>
    <row r="176" ht="12.75" customHeight="1" spans="1:10">
      <c r="A176" s="68"/>
      <c r="B176" s="69"/>
      <c r="C176" s="70"/>
      <c r="D176" s="126"/>
      <c r="E176" s="69"/>
      <c r="F176" s="69"/>
      <c r="G176" s="69"/>
      <c r="H176" s="71"/>
      <c r="I176" s="71"/>
      <c r="J176" s="69">
        <f t="shared" si="5"/>
        <v>0</v>
      </c>
    </row>
    <row r="177" ht="12.75" customHeight="1" spans="1:11">
      <c r="A177" s="68"/>
      <c r="B177" s="69"/>
      <c r="C177" s="70"/>
      <c r="D177" s="126"/>
      <c r="E177" s="69"/>
      <c r="F177" s="69"/>
      <c r="G177" s="69"/>
      <c r="H177" s="71"/>
      <c r="I177" s="71"/>
      <c r="J177" s="69">
        <f t="shared" si="5"/>
        <v>0</v>
      </c>
    </row>
    <row r="178" ht="12.75" customHeight="1" spans="1:11">
      <c r="A178" s="68"/>
      <c r="B178" s="69"/>
      <c r="C178" s="70"/>
      <c r="D178" s="126"/>
      <c r="E178" s="69"/>
      <c r="F178" s="69"/>
      <c r="G178" s="69"/>
      <c r="H178" s="71"/>
      <c r="I178" s="71"/>
      <c r="J178" s="69">
        <f t="shared" si="5"/>
        <v>0</v>
      </c>
    </row>
    <row r="179" ht="12.75" customHeight="1" spans="1:11">
      <c r="A179" s="68"/>
      <c r="B179" s="69"/>
      <c r="C179" s="70"/>
      <c r="D179" s="126"/>
      <c r="E179" s="69"/>
      <c r="F179" s="69"/>
      <c r="G179" s="69"/>
      <c r="H179" s="71"/>
      <c r="I179" s="71"/>
      <c r="J179" s="69">
        <f t="shared" si="5"/>
        <v>0</v>
      </c>
    </row>
    <row r="180" ht="12.75" customHeight="1" spans="1:11">
      <c r="A180" s="68"/>
      <c r="B180" s="69"/>
      <c r="C180" s="70"/>
      <c r="D180" s="126"/>
      <c r="E180" s="69"/>
      <c r="F180" s="69"/>
      <c r="G180" s="69"/>
      <c r="H180" s="71"/>
      <c r="I180" s="71"/>
      <c r="J180" s="69">
        <f t="shared" si="5"/>
        <v>0</v>
      </c>
    </row>
    <row r="181" ht="12.75" customHeight="1" spans="1:11">
      <c r="A181" s="68"/>
      <c r="B181" s="69"/>
      <c r="C181" s="70"/>
      <c r="D181" s="126"/>
      <c r="E181" s="69"/>
      <c r="F181" s="69"/>
      <c r="G181" s="69"/>
      <c r="H181" s="71"/>
      <c r="I181" s="71"/>
      <c r="J181" s="69">
        <f t="shared" si="5"/>
        <v>0</v>
      </c>
    </row>
    <row r="182" ht="12.75" customHeight="1" spans="1:11">
      <c r="A182" s="68"/>
      <c r="B182" s="69"/>
      <c r="C182" s="70"/>
      <c r="D182" s="126"/>
      <c r="E182" s="69"/>
      <c r="F182" s="69"/>
      <c r="G182" s="69"/>
      <c r="H182" s="71"/>
      <c r="I182" s="71"/>
      <c r="J182" s="69">
        <f t="shared" si="5"/>
        <v>0</v>
      </c>
    </row>
    <row r="183" ht="12.75" customHeight="1" spans="1:11">
      <c r="A183" s="68"/>
      <c r="B183" s="69"/>
      <c r="C183" s="70"/>
      <c r="D183" s="126"/>
      <c r="E183" s="69"/>
      <c r="F183" s="69"/>
      <c r="G183" s="69"/>
      <c r="H183" s="71"/>
      <c r="I183" s="71"/>
      <c r="J183" s="69">
        <f t="shared" si="5"/>
        <v>0</v>
      </c>
    </row>
    <row r="184" ht="12.75" customHeight="1" spans="1:11">
      <c r="A184" s="68"/>
      <c r="B184" s="69"/>
      <c r="C184" s="70"/>
      <c r="D184" s="126"/>
      <c r="E184" s="69"/>
      <c r="F184" s="69"/>
      <c r="G184" s="69"/>
      <c r="H184" s="71"/>
      <c r="I184" s="71"/>
      <c r="J184" s="69">
        <f t="shared" si="5"/>
        <v>0</v>
      </c>
    </row>
    <row r="185" ht="12.75" customHeight="1" spans="1:11">
      <c r="A185" s="68"/>
      <c r="B185" s="69"/>
      <c r="C185" s="70"/>
      <c r="D185" s="126"/>
      <c r="E185" s="69"/>
      <c r="F185" s="69"/>
      <c r="G185" s="69"/>
      <c r="H185" s="71"/>
      <c r="I185" s="71"/>
      <c r="J185" s="69">
        <f t="shared" si="5"/>
        <v>0</v>
      </c>
    </row>
    <row r="186" ht="12.75" spans="1:11">
      <c r="A186" s="68"/>
      <c r="B186" s="69"/>
      <c r="C186" s="74"/>
      <c r="D186" s="126"/>
      <c r="E186" s="69"/>
      <c r="F186" s="69"/>
      <c r="G186" s="69"/>
      <c r="H186" s="71">
        <f t="shared" ref="H186" si="6">SUM(F186:G186)</f>
        <v>0</v>
      </c>
      <c r="I186" s="71">
        <f t="shared" si="2"/>
        <v>0</v>
      </c>
      <c r="J186" s="69">
        <f t="shared" si="5"/>
        <v>0</v>
      </c>
    </row>
    <row r="187" ht="11.25" spans="1:11">
      <c r="A187" s="75"/>
      <c r="B187" s="76" t="s">
        <v>124</v>
      </c>
      <c r="C187" s="77"/>
      <c r="D187" s="78">
        <f>SUM(D9:D186)</f>
        <v>427410000</v>
      </c>
      <c r="E187" s="78">
        <f t="shared" ref="E187:J187" si="7">SUM(E9:E186)</f>
        <v>17</v>
      </c>
      <c r="F187" s="78">
        <f t="shared" si="7"/>
        <v>53335000</v>
      </c>
      <c r="G187" s="78">
        <f t="shared" si="7"/>
        <v>2300000</v>
      </c>
      <c r="H187" s="78">
        <f t="shared" si="7"/>
        <v>55635000</v>
      </c>
      <c r="I187" s="78">
        <f t="shared" si="7"/>
        <v>374075000</v>
      </c>
      <c r="J187" s="78">
        <f t="shared" si="7"/>
        <v>230000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2300000</v>
      </c>
      <c r="F190" s="129" t="s">
        <v>147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115000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1265000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57500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57500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57500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57500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230000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575000</v>
      </c>
    </row>
    <row r="200" customHeight="1" spans="1:11">
      <c r="B200" s="87" t="s">
        <v>124</v>
      </c>
      <c r="C200" s="88" t="s">
        <v>128</v>
      </c>
      <c r="D200" s="87">
        <f>SUM(D193:D199)</f>
        <v>2300000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41" workbookViewId="0">
      <selection activeCell="J51" sqref="J51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6.42857142857143" style="45" customWidth="1"/>
    <col min="6" max="6" width="10.7142857142857" style="45" customWidth="1"/>
    <col min="7" max="7" width="11.2857142857143" style="45" customWidth="1"/>
    <col min="8" max="8" width="12" style="45" customWidth="1"/>
    <col min="9" max="9" width="13.1428571428571" style="45" customWidth="1"/>
    <col min="10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148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'20-1-26'!I9</f>
        <v>5500000</v>
      </c>
      <c r="E9" s="69"/>
      <c r="F9" s="69">
        <v>0</v>
      </c>
      <c r="G9" s="69">
        <f t="shared" ref="G9:H24" si="0">SUM(E9:F9)</f>
        <v>0</v>
      </c>
      <c r="H9" s="71">
        <f t="shared" si="0"/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'20-1-26'!I10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'20-1-26'!I11</f>
        <v>1750000</v>
      </c>
      <c r="E11" s="69"/>
      <c r="F11" s="69"/>
      <c r="G11" s="69"/>
      <c r="H11" s="71">
        <f t="shared" si="0"/>
        <v>0</v>
      </c>
      <c r="I11" s="71">
        <f t="shared" si="2"/>
        <v>1750000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'20-1-26'!I12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'20-1-26'!I13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'20-1-26'!I14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'20-1-26'!I15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'20-1-26'!I16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'20-1-26'!I17</f>
        <v>6500000</v>
      </c>
      <c r="E17" s="69"/>
      <c r="F17" s="69"/>
      <c r="G17" s="69"/>
      <c r="H17" s="71">
        <f t="shared" si="0"/>
        <v>0</v>
      </c>
      <c r="I17" s="71">
        <f t="shared" si="2"/>
        <v>6500000</v>
      </c>
      <c r="J17" s="69">
        <f t="shared" si="1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'20-1-26'!I18</f>
        <v>13195000</v>
      </c>
      <c r="E18" s="69">
        <v>10</v>
      </c>
      <c r="F18" s="69">
        <v>600000</v>
      </c>
      <c r="G18" s="69">
        <v>400000</v>
      </c>
      <c r="H18" s="71">
        <f t="shared" si="0"/>
        <v>1000000</v>
      </c>
      <c r="I18" s="71">
        <f t="shared" si="2"/>
        <v>12595000</v>
      </c>
      <c r="J18" s="69">
        <f t="shared" si="1"/>
        <v>40000</v>
      </c>
    </row>
    <row r="19" ht="12.75" spans="1:10">
      <c r="A19" s="68">
        <v>14</v>
      </c>
      <c r="B19" s="69" t="s">
        <v>35</v>
      </c>
      <c r="C19" s="128" t="s">
        <v>36</v>
      </c>
      <c r="D19" s="71">
        <f>'20-1-26'!I19</f>
        <v>4000000</v>
      </c>
      <c r="E19" s="69"/>
      <c r="F19" s="69"/>
      <c r="G19" s="69"/>
      <c r="H19" s="71">
        <f t="shared" si="0"/>
        <v>0</v>
      </c>
      <c r="I19" s="71">
        <f t="shared" si="2"/>
        <v>4000000</v>
      </c>
      <c r="J19" s="69">
        <f t="shared" si="1"/>
        <v>0</v>
      </c>
    </row>
    <row r="20" ht="12.75" spans="1:10">
      <c r="A20" s="68">
        <v>18</v>
      </c>
      <c r="B20" s="69" t="s">
        <v>37</v>
      </c>
      <c r="C20" s="128" t="s">
        <v>38</v>
      </c>
      <c r="D20" s="71">
        <f>'20-1-26'!I20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71">
        <f>'20-1-26'!I21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71">
        <f>'20-1-26'!I22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ht="12.75" spans="1:10">
      <c r="A23" s="68">
        <v>23</v>
      </c>
      <c r="B23" s="69" t="s">
        <v>43</v>
      </c>
      <c r="C23" s="128" t="s">
        <v>42</v>
      </c>
      <c r="D23" s="71">
        <f>'20-1-26'!I23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71">
        <f>'20-1-26'!I24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71">
        <f>'20-1-26'!I25</f>
        <v>22200000</v>
      </c>
      <c r="E25" s="69"/>
      <c r="F25" s="69"/>
      <c r="G25" s="69"/>
      <c r="H25" s="71">
        <f t="shared" ref="H25:H88" si="3">SUM(F25:G25)</f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71">
        <f>'20-1-26'!I26</f>
        <v>3800000</v>
      </c>
      <c r="E26" s="69"/>
      <c r="F26" s="69"/>
      <c r="G26" s="69"/>
      <c r="H26" s="71">
        <f t="shared" si="3"/>
        <v>0</v>
      </c>
      <c r="I26" s="71">
        <f t="shared" si="2"/>
        <v>3800000</v>
      </c>
      <c r="J26" s="69">
        <f t="shared" si="1"/>
        <v>0</v>
      </c>
    </row>
    <row r="27" ht="12.75" spans="1:10">
      <c r="A27" s="68">
        <v>29</v>
      </c>
      <c r="B27" s="69" t="s">
        <v>49</v>
      </c>
      <c r="C27" s="128" t="s">
        <v>50</v>
      </c>
      <c r="D27" s="71">
        <f>'20-1-26'!I27</f>
        <v>1030000</v>
      </c>
      <c r="E27" s="69"/>
      <c r="F27" s="69"/>
      <c r="G27" s="69"/>
      <c r="H27" s="71">
        <f t="shared" si="3"/>
        <v>0</v>
      </c>
      <c r="I27" s="71">
        <f t="shared" si="2"/>
        <v>1030000</v>
      </c>
      <c r="J27" s="69">
        <f t="shared" si="1"/>
        <v>0</v>
      </c>
    </row>
    <row r="28" ht="12.75" spans="1:10">
      <c r="A28" s="68">
        <v>30</v>
      </c>
      <c r="B28" s="69" t="s">
        <v>51</v>
      </c>
      <c r="C28" s="128" t="s">
        <v>52</v>
      </c>
      <c r="D28" s="71">
        <f>'20-1-26'!I28</f>
        <v>0</v>
      </c>
      <c r="E28" s="69"/>
      <c r="F28" s="69"/>
      <c r="G28" s="69"/>
      <c r="H28" s="71">
        <f t="shared" si="3"/>
        <v>0</v>
      </c>
      <c r="I28" s="71">
        <f t="shared" si="2"/>
        <v>0</v>
      </c>
      <c r="J28" s="69">
        <f t="shared" si="1"/>
        <v>0</v>
      </c>
    </row>
    <row r="29" ht="12.75" spans="1:10">
      <c r="A29" s="68">
        <v>31</v>
      </c>
      <c r="B29" s="69" t="s">
        <v>53</v>
      </c>
      <c r="C29" s="128" t="s">
        <v>54</v>
      </c>
      <c r="D29" s="71">
        <f>'20-1-26'!I29</f>
        <v>0</v>
      </c>
      <c r="E29" s="69"/>
      <c r="F29" s="69"/>
      <c r="G29" s="69"/>
      <c r="H29" s="71">
        <f t="shared" si="3"/>
        <v>0</v>
      </c>
      <c r="I29" s="71">
        <f t="shared" si="2"/>
        <v>0</v>
      </c>
      <c r="J29" s="69">
        <f t="shared" si="1"/>
        <v>0</v>
      </c>
    </row>
    <row r="30" ht="12.75" spans="1:10">
      <c r="A30" s="68">
        <v>33</v>
      </c>
      <c r="B30" s="69" t="s">
        <v>55</v>
      </c>
      <c r="C30" s="128" t="s">
        <v>56</v>
      </c>
      <c r="D30" s="71">
        <f>'20-1-26'!I30</f>
        <v>2750000</v>
      </c>
      <c r="E30" s="69"/>
      <c r="F30" s="69"/>
      <c r="G30" s="69"/>
      <c r="H30" s="71">
        <f t="shared" si="3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71">
        <f>'20-1-26'!I31</f>
        <v>1250000</v>
      </c>
      <c r="E31" s="69"/>
      <c r="F31" s="69"/>
      <c r="G31" s="69"/>
      <c r="H31" s="71">
        <f t="shared" si="3"/>
        <v>0</v>
      </c>
      <c r="I31" s="71">
        <f t="shared" si="2"/>
        <v>1250000</v>
      </c>
      <c r="J31" s="69">
        <f t="shared" si="1"/>
        <v>0</v>
      </c>
    </row>
    <row r="32" ht="12.75" spans="1:10">
      <c r="A32" s="68">
        <v>35</v>
      </c>
      <c r="B32" s="69" t="s">
        <v>59</v>
      </c>
      <c r="C32" s="128" t="s">
        <v>58</v>
      </c>
      <c r="D32" s="71">
        <f>'20-1-26'!I32</f>
        <v>12000000</v>
      </c>
      <c r="E32" s="69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71">
        <f>'20-1-26'!I33</f>
        <v>750000</v>
      </c>
      <c r="E33" s="69"/>
      <c r="F33" s="69"/>
      <c r="G33" s="69"/>
      <c r="H33" s="71">
        <f t="shared" si="3"/>
        <v>0</v>
      </c>
      <c r="I33" s="71">
        <f t="shared" si="2"/>
        <v>750000</v>
      </c>
      <c r="J33" s="69">
        <f t="shared" si="1"/>
        <v>0</v>
      </c>
    </row>
    <row r="34" ht="12.75" spans="1:10">
      <c r="A34" s="68">
        <v>43</v>
      </c>
      <c r="B34" s="69" t="s">
        <v>62</v>
      </c>
      <c r="C34" s="127" t="s">
        <v>63</v>
      </c>
      <c r="D34" s="71">
        <f>'20-1-26'!I34</f>
        <v>2800000</v>
      </c>
      <c r="E34" s="69"/>
      <c r="F34" s="69"/>
      <c r="G34" s="69"/>
      <c r="H34" s="71">
        <f t="shared" si="3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71">
        <f>'20-1-26'!I35</f>
        <v>3500000</v>
      </c>
      <c r="E35" s="69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71">
        <f>'20-1-26'!I36</f>
        <v>12000000</v>
      </c>
      <c r="E36" s="69"/>
      <c r="F36" s="69"/>
      <c r="G36" s="69"/>
      <c r="H36" s="71">
        <f t="shared" si="3"/>
        <v>0</v>
      </c>
      <c r="I36" s="71">
        <f t="shared" si="2"/>
        <v>12000000</v>
      </c>
      <c r="J36" s="69">
        <f t="shared" si="1"/>
        <v>0</v>
      </c>
    </row>
    <row r="37" ht="12.75" spans="1:10">
      <c r="A37" s="68">
        <v>49</v>
      </c>
      <c r="B37" s="69" t="s">
        <v>67</v>
      </c>
      <c r="C37" s="127" t="s">
        <v>68</v>
      </c>
      <c r="D37" s="71">
        <f>'20-1-26'!I37</f>
        <v>1250000</v>
      </c>
      <c r="E37" s="69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71">
        <f>'20-1-26'!I38</f>
        <v>5800000</v>
      </c>
      <c r="E38" s="69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71">
        <f>'20-1-26'!I39</f>
        <v>14320000</v>
      </c>
      <c r="E39" s="69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71">
        <f>'20-1-26'!I40</f>
        <v>400000</v>
      </c>
      <c r="E40" s="69"/>
      <c r="F40" s="69"/>
      <c r="G40" s="69"/>
      <c r="H40" s="71">
        <f t="shared" si="3"/>
        <v>0</v>
      </c>
      <c r="I40" s="71">
        <f t="shared" si="2"/>
        <v>400000</v>
      </c>
      <c r="J40" s="69">
        <f t="shared" si="1"/>
        <v>0</v>
      </c>
    </row>
    <row r="41" ht="12.75" spans="1:10">
      <c r="A41" s="68">
        <v>64</v>
      </c>
      <c r="B41" s="69" t="s">
        <v>75</v>
      </c>
      <c r="C41" s="127" t="s">
        <v>76</v>
      </c>
      <c r="D41" s="71">
        <f>'20-1-26'!I41</f>
        <v>1800000</v>
      </c>
      <c r="E41" s="69"/>
      <c r="F41" s="69"/>
      <c r="G41" s="69"/>
      <c r="H41" s="71">
        <f t="shared" si="3"/>
        <v>0</v>
      </c>
      <c r="I41" s="71">
        <f t="shared" si="2"/>
        <v>1800000</v>
      </c>
      <c r="J41" s="69">
        <f t="shared" si="1"/>
        <v>0</v>
      </c>
    </row>
    <row r="42" ht="12.75" spans="1:10">
      <c r="A42" s="68">
        <v>65</v>
      </c>
      <c r="B42" s="69" t="s">
        <v>77</v>
      </c>
      <c r="C42" s="127" t="s">
        <v>78</v>
      </c>
      <c r="D42" s="71">
        <f>'20-1-26'!I42</f>
        <v>1200000</v>
      </c>
      <c r="E42" s="69"/>
      <c r="F42" s="69"/>
      <c r="G42" s="69"/>
      <c r="H42" s="71">
        <f t="shared" si="3"/>
        <v>0</v>
      </c>
      <c r="I42" s="71">
        <f t="shared" si="2"/>
        <v>1200000</v>
      </c>
      <c r="J42" s="69">
        <f t="shared" si="1"/>
        <v>0</v>
      </c>
    </row>
    <row r="43" ht="12.75" spans="1:10">
      <c r="A43" s="68">
        <v>69</v>
      </c>
      <c r="B43" s="69" t="s">
        <v>79</v>
      </c>
      <c r="C43" s="127" t="s">
        <v>80</v>
      </c>
      <c r="D43" s="71">
        <f>'20-1-26'!I43</f>
        <v>6000000</v>
      </c>
      <c r="E43" s="69"/>
      <c r="F43" s="69"/>
      <c r="G43" s="69"/>
      <c r="H43" s="71">
        <f t="shared" si="3"/>
        <v>0</v>
      </c>
      <c r="I43" s="71">
        <f t="shared" si="2"/>
        <v>6000000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71">
        <f>'20-1-26'!I44</f>
        <v>10320000</v>
      </c>
      <c r="E44" s="69"/>
      <c r="F44" s="69"/>
      <c r="G44" s="69"/>
      <c r="H44" s="71">
        <f t="shared" si="3"/>
        <v>0</v>
      </c>
      <c r="I44" s="71">
        <f t="shared" si="2"/>
        <v>10320000</v>
      </c>
      <c r="J44" s="69">
        <f t="shared" si="1"/>
        <v>0</v>
      </c>
    </row>
    <row r="45" ht="12.75" spans="1:10">
      <c r="A45" s="68">
        <v>71</v>
      </c>
      <c r="B45" s="69" t="s">
        <v>83</v>
      </c>
      <c r="C45" s="70" t="s">
        <v>84</v>
      </c>
      <c r="D45" s="71">
        <f>'20-1-26'!I45</f>
        <v>11250000</v>
      </c>
      <c r="E45" s="69"/>
      <c r="F45" s="69"/>
      <c r="G45" s="69"/>
      <c r="H45" s="71">
        <f t="shared" si="3"/>
        <v>0</v>
      </c>
      <c r="I45" s="71">
        <f t="shared" si="2"/>
        <v>11250000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71">
        <f>'20-1-26'!I46</f>
        <v>600000</v>
      </c>
      <c r="E46" s="69"/>
      <c r="F46" s="69"/>
      <c r="G46" s="69"/>
      <c r="H46" s="71">
        <f t="shared" si="3"/>
        <v>0</v>
      </c>
      <c r="I46" s="71">
        <f t="shared" si="2"/>
        <v>600000</v>
      </c>
      <c r="J46" s="69">
        <f t="shared" si="1"/>
        <v>0</v>
      </c>
    </row>
    <row r="47" ht="12.75" spans="1:10">
      <c r="A47" s="68">
        <v>76</v>
      </c>
      <c r="B47" s="69" t="s">
        <v>87</v>
      </c>
      <c r="C47" s="127" t="s">
        <v>88</v>
      </c>
      <c r="D47" s="71">
        <f>'20-1-26'!I47</f>
        <v>9600000</v>
      </c>
      <c r="E47" s="69"/>
      <c r="F47" s="69"/>
      <c r="G47" s="69"/>
      <c r="H47" s="71">
        <f t="shared" si="3"/>
        <v>0</v>
      </c>
      <c r="I47" s="71">
        <f t="shared" si="2"/>
        <v>9600000</v>
      </c>
      <c r="J47" s="69">
        <f t="shared" si="1"/>
        <v>0</v>
      </c>
    </row>
    <row r="48" ht="12.75" spans="1:10">
      <c r="A48" s="68">
        <v>77</v>
      </c>
      <c r="B48" s="69" t="s">
        <v>89</v>
      </c>
      <c r="C48" s="127" t="s">
        <v>88</v>
      </c>
      <c r="D48" s="71">
        <f>'20-1-26'!I48</f>
        <v>1200000</v>
      </c>
      <c r="E48" s="69"/>
      <c r="F48" s="69"/>
      <c r="G48" s="69"/>
      <c r="H48" s="71">
        <f t="shared" si="3"/>
        <v>0</v>
      </c>
      <c r="I48" s="71">
        <f t="shared" si="2"/>
        <v>1200000</v>
      </c>
      <c r="J48" s="69">
        <f t="shared" si="1"/>
        <v>0</v>
      </c>
    </row>
    <row r="49" ht="12.75" spans="1:10">
      <c r="A49" s="68">
        <v>80</v>
      </c>
      <c r="B49" s="69" t="s">
        <v>90</v>
      </c>
      <c r="C49" s="127" t="s">
        <v>91</v>
      </c>
      <c r="D49" s="71">
        <f>'20-1-26'!I49</f>
        <v>9900000</v>
      </c>
      <c r="E49" s="69"/>
      <c r="F49" s="69"/>
      <c r="G49" s="69"/>
      <c r="H49" s="71">
        <f t="shared" si="3"/>
        <v>0</v>
      </c>
      <c r="I49" s="71">
        <f t="shared" si="2"/>
        <v>9900000</v>
      </c>
      <c r="J49" s="69">
        <f t="shared" si="1"/>
        <v>0</v>
      </c>
    </row>
    <row r="50" ht="12.75" spans="1:10">
      <c r="A50" s="68">
        <v>82</v>
      </c>
      <c r="B50" s="69" t="s">
        <v>92</v>
      </c>
      <c r="C50" s="127" t="s">
        <v>93</v>
      </c>
      <c r="D50" s="71">
        <f>'20-1-26'!I50</f>
        <v>0</v>
      </c>
      <c r="E50" s="69"/>
      <c r="F50" s="69"/>
      <c r="G50" s="69"/>
      <c r="H50" s="71">
        <f t="shared" si="3"/>
        <v>0</v>
      </c>
      <c r="I50" s="71">
        <f t="shared" si="2"/>
        <v>0</v>
      </c>
      <c r="J50" s="69">
        <f t="shared" si="1"/>
        <v>0</v>
      </c>
    </row>
    <row r="51" ht="12.75" spans="1:10">
      <c r="A51" s="68">
        <v>86</v>
      </c>
      <c r="B51" s="69" t="s">
        <v>94</v>
      </c>
      <c r="C51" s="70" t="s">
        <v>95</v>
      </c>
      <c r="D51" s="71">
        <f>'20-1-26'!I51</f>
        <v>16400000</v>
      </c>
      <c r="E51" s="69"/>
      <c r="F51" s="69"/>
      <c r="G51" s="69">
        <v>400000</v>
      </c>
      <c r="H51" s="71">
        <f t="shared" si="3"/>
        <v>400000</v>
      </c>
      <c r="I51" s="71">
        <f t="shared" si="2"/>
        <v>16400000</v>
      </c>
      <c r="J51" s="69">
        <f t="shared" si="1"/>
        <v>40000</v>
      </c>
    </row>
    <row r="52" ht="12.75" spans="1:10">
      <c r="A52" s="68">
        <v>87</v>
      </c>
      <c r="B52" s="69" t="s">
        <v>96</v>
      </c>
      <c r="C52" s="70" t="s">
        <v>97</v>
      </c>
      <c r="D52" s="71">
        <f>'20-1-26'!I52</f>
        <v>25400000</v>
      </c>
      <c r="E52" s="69"/>
      <c r="F52" s="69"/>
      <c r="G52" s="69"/>
      <c r="H52" s="71">
        <f t="shared" si="3"/>
        <v>0</v>
      </c>
      <c r="I52" s="71">
        <f t="shared" si="2"/>
        <v>25400000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71">
        <f>'20-1-26'!I53</f>
        <v>100000</v>
      </c>
      <c r="E53" s="69"/>
      <c r="F53" s="69"/>
      <c r="G53" s="69"/>
      <c r="H53" s="71">
        <f t="shared" si="3"/>
        <v>0</v>
      </c>
      <c r="I53" s="71">
        <f t="shared" si="2"/>
        <v>100000</v>
      </c>
      <c r="J53" s="69">
        <f t="shared" si="1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71">
        <f>'20-1-26'!I54</f>
        <v>5000000</v>
      </c>
      <c r="E54" s="69">
        <v>2</v>
      </c>
      <c r="F54" s="69">
        <v>200000</v>
      </c>
      <c r="G54" s="69">
        <v>100000</v>
      </c>
      <c r="H54" s="71">
        <f t="shared" si="3"/>
        <v>300000</v>
      </c>
      <c r="I54" s="71">
        <f t="shared" si="2"/>
        <v>4800000</v>
      </c>
      <c r="J54" s="69">
        <f t="shared" si="1"/>
        <v>10000</v>
      </c>
    </row>
    <row r="55" ht="12.75" spans="1:10">
      <c r="A55" s="68">
        <v>92</v>
      </c>
      <c r="B55" s="69" t="s">
        <v>101</v>
      </c>
      <c r="C55" s="127" t="s">
        <v>102</v>
      </c>
      <c r="D55" s="71">
        <f>'20-1-26'!I55</f>
        <v>7460000</v>
      </c>
      <c r="E55" s="69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71">
        <f>'20-1-26'!I56</f>
        <v>600000</v>
      </c>
      <c r="E56" s="69"/>
      <c r="F56" s="69"/>
      <c r="G56" s="69"/>
      <c r="H56" s="71">
        <f t="shared" si="3"/>
        <v>0</v>
      </c>
      <c r="I56" s="71">
        <f t="shared" si="2"/>
        <v>600000</v>
      </c>
      <c r="J56" s="69">
        <f t="shared" si="1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71">
        <f>'20-1-26'!I57</f>
        <v>20000000</v>
      </c>
      <c r="E57" s="69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71">
        <f>'20-1-26'!I58</f>
        <v>1650000</v>
      </c>
      <c r="E58" s="69"/>
      <c r="F58" s="69"/>
      <c r="G58" s="69"/>
      <c r="H58" s="71">
        <f t="shared" si="3"/>
        <v>0</v>
      </c>
      <c r="I58" s="71">
        <f t="shared" si="2"/>
        <v>1650000</v>
      </c>
      <c r="J58" s="69">
        <f t="shared" si="1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71">
        <f>'20-1-26'!I59</f>
        <v>0</v>
      </c>
      <c r="E59" s="69"/>
      <c r="F59" s="69"/>
      <c r="G59" s="69"/>
      <c r="H59" s="71">
        <f t="shared" si="3"/>
        <v>0</v>
      </c>
      <c r="I59" s="71">
        <f t="shared" si="2"/>
        <v>0</v>
      </c>
      <c r="J59" s="69">
        <f t="shared" si="1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71">
        <f>'20-1-26'!I60</f>
        <v>3250000</v>
      </c>
      <c r="E60" s="69"/>
      <c r="F60" s="69"/>
      <c r="G60" s="69"/>
      <c r="H60" s="71">
        <f t="shared" si="3"/>
        <v>0</v>
      </c>
      <c r="I60" s="71">
        <f t="shared" si="2"/>
        <v>3250000</v>
      </c>
      <c r="J60" s="69">
        <f t="shared" si="1"/>
        <v>0</v>
      </c>
    </row>
    <row r="61" ht="12.75" spans="1:10">
      <c r="A61" s="68">
        <v>106</v>
      </c>
      <c r="B61" s="69" t="s">
        <v>111</v>
      </c>
      <c r="C61" s="70" t="s">
        <v>112</v>
      </c>
      <c r="D61" s="71">
        <f>'20-1-26'!I61</f>
        <v>230000</v>
      </c>
      <c r="E61" s="69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71">
        <f>'20-1-26'!I62</f>
        <v>0</v>
      </c>
      <c r="E62" s="69"/>
      <c r="F62" s="69"/>
      <c r="G62" s="69"/>
      <c r="H62" s="71">
        <f t="shared" si="3"/>
        <v>0</v>
      </c>
      <c r="I62" s="71">
        <f t="shared" si="2"/>
        <v>0</v>
      </c>
      <c r="J62" s="69">
        <f t="shared" si="1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71">
        <f>'20-1-26'!I63</f>
        <v>700000</v>
      </c>
      <c r="E63" s="69">
        <v>4</v>
      </c>
      <c r="F63" s="69">
        <v>100000</v>
      </c>
      <c r="G63" s="69">
        <v>20000</v>
      </c>
      <c r="H63" s="71">
        <f t="shared" si="3"/>
        <v>120000</v>
      </c>
      <c r="I63" s="71">
        <f t="shared" si="2"/>
        <v>600000</v>
      </c>
      <c r="J63" s="69">
        <f t="shared" si="1"/>
        <v>2000</v>
      </c>
    </row>
    <row r="64" ht="12.75" spans="1:10">
      <c r="A64" s="68">
        <v>111</v>
      </c>
      <c r="B64" s="69" t="s">
        <v>117</v>
      </c>
      <c r="C64" s="127" t="s">
        <v>118</v>
      </c>
      <c r="D64" s="71">
        <f>'20-1-26'!I64</f>
        <v>1500000</v>
      </c>
      <c r="E64" s="69"/>
      <c r="F64" s="69"/>
      <c r="G64" s="69"/>
      <c r="H64" s="71">
        <f t="shared" si="3"/>
        <v>0</v>
      </c>
      <c r="I64" s="71">
        <f t="shared" si="2"/>
        <v>1500000</v>
      </c>
      <c r="J64" s="69">
        <f t="shared" si="1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71">
        <f>'20-1-26'!I65</f>
        <v>6570000</v>
      </c>
      <c r="E65" s="69"/>
      <c r="F65" s="69"/>
      <c r="G65" s="69"/>
      <c r="H65" s="71">
        <f t="shared" si="3"/>
        <v>0</v>
      </c>
      <c r="I65" s="71">
        <f t="shared" si="2"/>
        <v>6570000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71">
        <f>'20-1-26'!I66</f>
        <v>250000</v>
      </c>
      <c r="E66" s="69"/>
      <c r="F66" s="69"/>
      <c r="G66" s="69"/>
      <c r="H66" s="71">
        <f t="shared" si="3"/>
        <v>0</v>
      </c>
      <c r="I66" s="71">
        <f t="shared" si="2"/>
        <v>250000</v>
      </c>
      <c r="J66" s="69">
        <f t="shared" si="1"/>
        <v>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71">
        <f>'20-1-26'!I67</f>
        <v>0</v>
      </c>
      <c r="E67" s="69"/>
      <c r="F67" s="69"/>
      <c r="G67" s="69"/>
      <c r="H67" s="71">
        <f t="shared" si="3"/>
        <v>0</v>
      </c>
      <c r="I67" s="71">
        <f t="shared" si="2"/>
        <v>0</v>
      </c>
      <c r="J67" s="69">
        <f t="shared" si="1"/>
        <v>0</v>
      </c>
    </row>
    <row r="68" ht="12.75" customHeight="1" spans="1:10">
      <c r="A68" s="68"/>
      <c r="B68" s="69"/>
      <c r="C68" s="70"/>
      <c r="D68" s="126"/>
      <c r="E68" s="69"/>
      <c r="F68" s="69"/>
      <c r="G68" s="69"/>
      <c r="H68" s="71">
        <f t="shared" si="3"/>
        <v>0</v>
      </c>
      <c r="I68" s="71"/>
      <c r="J68" s="69">
        <f t="shared" si="1"/>
        <v>0</v>
      </c>
    </row>
    <row r="69" ht="12.75" customHeight="1" spans="1:10">
      <c r="A69" s="68"/>
      <c r="B69" s="69"/>
      <c r="C69" s="70"/>
      <c r="D69" s="126"/>
      <c r="E69" s="69"/>
      <c r="F69" s="69"/>
      <c r="G69" s="69"/>
      <c r="H69" s="71">
        <f t="shared" si="3"/>
        <v>0</v>
      </c>
      <c r="I69" s="71"/>
      <c r="J69" s="69">
        <f t="shared" si="1"/>
        <v>0</v>
      </c>
    </row>
    <row r="70" ht="12.75" customHeight="1" spans="1:10">
      <c r="A70" s="68"/>
      <c r="B70" s="69"/>
      <c r="C70" s="70"/>
      <c r="D70" s="126"/>
      <c r="E70" s="69"/>
      <c r="F70" s="69"/>
      <c r="G70" s="69"/>
      <c r="H70" s="71">
        <f t="shared" si="3"/>
        <v>0</v>
      </c>
      <c r="I70" s="71"/>
      <c r="J70" s="69">
        <f t="shared" si="1"/>
        <v>0</v>
      </c>
    </row>
    <row r="71" ht="12.75" customHeight="1" spans="1:10">
      <c r="A71" s="68"/>
      <c r="B71" s="69"/>
      <c r="C71" s="70"/>
      <c r="D71" s="126"/>
      <c r="E71" s="69"/>
      <c r="F71" s="69"/>
      <c r="G71" s="69"/>
      <c r="H71" s="71">
        <f t="shared" si="3"/>
        <v>0</v>
      </c>
      <c r="I71" s="71"/>
      <c r="J71" s="69">
        <f t="shared" si="1"/>
        <v>0</v>
      </c>
    </row>
    <row r="72" ht="12.75" customHeight="1" spans="1:10">
      <c r="A72" s="68"/>
      <c r="B72" s="69"/>
      <c r="C72" s="70"/>
      <c r="D72" s="126"/>
      <c r="E72" s="69"/>
      <c r="F72" s="69"/>
      <c r="G72" s="69"/>
      <c r="H72" s="71">
        <f t="shared" si="3"/>
        <v>0</v>
      </c>
      <c r="I72" s="71"/>
      <c r="J72" s="69">
        <f t="shared" si="1"/>
        <v>0</v>
      </c>
    </row>
    <row r="73" ht="12.75" customHeight="1" spans="1:10">
      <c r="A73" s="68"/>
      <c r="B73" s="69"/>
      <c r="C73" s="70"/>
      <c r="D73" s="126"/>
      <c r="E73" s="69"/>
      <c r="F73" s="69"/>
      <c r="G73" s="69"/>
      <c r="H73" s="71">
        <f t="shared" si="3"/>
        <v>0</v>
      </c>
      <c r="I73" s="71"/>
      <c r="J73" s="69">
        <f t="shared" ref="J73:J136" si="4">1/10*G73</f>
        <v>0</v>
      </c>
    </row>
    <row r="74" ht="12.75" customHeight="1" spans="1:10">
      <c r="A74" s="68"/>
      <c r="B74" s="69"/>
      <c r="C74" s="70"/>
      <c r="D74" s="126"/>
      <c r="E74" s="69"/>
      <c r="F74" s="69"/>
      <c r="G74" s="69"/>
      <c r="H74" s="71">
        <f t="shared" si="3"/>
        <v>0</v>
      </c>
      <c r="I74" s="71"/>
      <c r="J74" s="69">
        <f t="shared" si="4"/>
        <v>0</v>
      </c>
    </row>
    <row r="75" ht="12.75" customHeight="1" spans="1:10">
      <c r="A75" s="68"/>
      <c r="B75" s="69"/>
      <c r="C75" s="70"/>
      <c r="D75" s="126"/>
      <c r="E75" s="69"/>
      <c r="F75" s="69"/>
      <c r="G75" s="69"/>
      <c r="H75" s="71">
        <f t="shared" si="3"/>
        <v>0</v>
      </c>
      <c r="I75" s="71"/>
      <c r="J75" s="69">
        <f t="shared" si="4"/>
        <v>0</v>
      </c>
    </row>
    <row r="76" ht="12.75" customHeight="1" spans="1:10">
      <c r="A76" s="68"/>
      <c r="B76" s="69"/>
      <c r="C76" s="70"/>
      <c r="D76" s="126"/>
      <c r="E76" s="69"/>
      <c r="F76" s="69"/>
      <c r="G76" s="69"/>
      <c r="H76" s="71">
        <f t="shared" si="3"/>
        <v>0</v>
      </c>
      <c r="I76" s="71"/>
      <c r="J76" s="69">
        <f t="shared" si="4"/>
        <v>0</v>
      </c>
    </row>
    <row r="77" ht="12.75" customHeight="1" spans="1:10">
      <c r="A77" s="68"/>
      <c r="B77" s="69"/>
      <c r="C77" s="70"/>
      <c r="D77" s="126"/>
      <c r="E77" s="69"/>
      <c r="F77" s="69"/>
      <c r="G77" s="69"/>
      <c r="H77" s="71">
        <f t="shared" si="3"/>
        <v>0</v>
      </c>
      <c r="I77" s="71"/>
      <c r="J77" s="69">
        <f t="shared" si="4"/>
        <v>0</v>
      </c>
    </row>
    <row r="78" ht="12.75" customHeight="1" spans="1:10">
      <c r="A78" s="68"/>
      <c r="B78" s="69"/>
      <c r="C78" s="70"/>
      <c r="D78" s="126"/>
      <c r="E78" s="69"/>
      <c r="F78" s="69"/>
      <c r="G78" s="69"/>
      <c r="H78" s="71">
        <f t="shared" si="3"/>
        <v>0</v>
      </c>
      <c r="I78" s="71"/>
      <c r="J78" s="69">
        <f t="shared" si="4"/>
        <v>0</v>
      </c>
    </row>
    <row r="79" ht="12.75" customHeight="1" spans="1:10">
      <c r="A79" s="68"/>
      <c r="B79" s="69"/>
      <c r="C79" s="70"/>
      <c r="D79" s="126"/>
      <c r="E79" s="69"/>
      <c r="F79" s="69"/>
      <c r="G79" s="69"/>
      <c r="H79" s="71">
        <f t="shared" si="3"/>
        <v>0</v>
      </c>
      <c r="I79" s="71"/>
      <c r="J79" s="69">
        <f t="shared" si="4"/>
        <v>0</v>
      </c>
    </row>
    <row r="80" ht="12.75" customHeight="1" spans="1:10">
      <c r="A80" s="68"/>
      <c r="B80" s="69"/>
      <c r="C80" s="70"/>
      <c r="D80" s="126"/>
      <c r="E80" s="69"/>
      <c r="F80" s="69"/>
      <c r="G80" s="69"/>
      <c r="H80" s="71">
        <f t="shared" si="3"/>
        <v>0</v>
      </c>
      <c r="I80" s="71"/>
      <c r="J80" s="69">
        <f t="shared" si="4"/>
        <v>0</v>
      </c>
    </row>
    <row r="81" ht="12.75" customHeight="1" spans="1:10">
      <c r="A81" s="68"/>
      <c r="B81" s="69"/>
      <c r="C81" s="70"/>
      <c r="D81" s="126"/>
      <c r="E81" s="69"/>
      <c r="F81" s="69"/>
      <c r="G81" s="69"/>
      <c r="H81" s="71">
        <f t="shared" si="3"/>
        <v>0</v>
      </c>
      <c r="I81" s="71"/>
      <c r="J81" s="69">
        <f t="shared" si="4"/>
        <v>0</v>
      </c>
    </row>
    <row r="82" ht="12.75" customHeight="1" spans="1:10">
      <c r="A82" s="68"/>
      <c r="B82" s="69"/>
      <c r="C82" s="70"/>
      <c r="D82" s="126"/>
      <c r="E82" s="69"/>
      <c r="F82" s="69"/>
      <c r="G82" s="69"/>
      <c r="H82" s="71">
        <f t="shared" si="3"/>
        <v>0</v>
      </c>
      <c r="I82" s="71"/>
      <c r="J82" s="69">
        <f t="shared" si="4"/>
        <v>0</v>
      </c>
    </row>
    <row r="83" ht="12.75" customHeight="1" spans="1:10">
      <c r="A83" s="68"/>
      <c r="B83" s="69"/>
      <c r="C83" s="70"/>
      <c r="D83" s="126"/>
      <c r="E83" s="69"/>
      <c r="F83" s="69"/>
      <c r="G83" s="69"/>
      <c r="H83" s="71">
        <f t="shared" si="3"/>
        <v>0</v>
      </c>
      <c r="I83" s="71"/>
      <c r="J83" s="69">
        <f t="shared" si="4"/>
        <v>0</v>
      </c>
    </row>
    <row r="84" ht="12.75" customHeight="1" spans="1:10">
      <c r="A84" s="68"/>
      <c r="B84" s="69"/>
      <c r="C84" s="70"/>
      <c r="D84" s="126"/>
      <c r="E84" s="69"/>
      <c r="F84" s="69"/>
      <c r="G84" s="69"/>
      <c r="H84" s="71">
        <f t="shared" si="3"/>
        <v>0</v>
      </c>
      <c r="I84" s="71"/>
      <c r="J84" s="69">
        <f t="shared" si="4"/>
        <v>0</v>
      </c>
    </row>
    <row r="85" ht="12.75" customHeight="1" spans="1:10">
      <c r="A85" s="68"/>
      <c r="B85" s="69"/>
      <c r="C85" s="70"/>
      <c r="D85" s="126"/>
      <c r="E85" s="69"/>
      <c r="F85" s="69"/>
      <c r="G85" s="69"/>
      <c r="H85" s="71">
        <f t="shared" si="3"/>
        <v>0</v>
      </c>
      <c r="I85" s="71"/>
      <c r="J85" s="69">
        <f t="shared" si="4"/>
        <v>0</v>
      </c>
    </row>
    <row r="86" ht="12.75" customHeight="1" spans="1:10">
      <c r="A86" s="68"/>
      <c r="B86" s="69"/>
      <c r="C86" s="70"/>
      <c r="D86" s="126"/>
      <c r="E86" s="69"/>
      <c r="F86" s="69"/>
      <c r="G86" s="69"/>
      <c r="H86" s="71">
        <f t="shared" si="3"/>
        <v>0</v>
      </c>
      <c r="I86" s="71"/>
      <c r="J86" s="69">
        <f t="shared" si="4"/>
        <v>0</v>
      </c>
    </row>
    <row r="87" ht="12.75" customHeight="1" spans="1:10">
      <c r="A87" s="68"/>
      <c r="B87" s="69"/>
      <c r="C87" s="70"/>
      <c r="D87" s="126"/>
      <c r="E87" s="69"/>
      <c r="F87" s="69"/>
      <c r="G87" s="69"/>
      <c r="H87" s="71">
        <f t="shared" si="3"/>
        <v>0</v>
      </c>
      <c r="I87" s="71"/>
      <c r="J87" s="69">
        <f t="shared" si="4"/>
        <v>0</v>
      </c>
    </row>
    <row r="88" ht="12.75" customHeight="1" spans="1:10">
      <c r="A88" s="68"/>
      <c r="B88" s="69"/>
      <c r="C88" s="70"/>
      <c r="D88" s="126"/>
      <c r="E88" s="69"/>
      <c r="F88" s="69"/>
      <c r="G88" s="69"/>
      <c r="H88" s="71">
        <f t="shared" si="3"/>
        <v>0</v>
      </c>
      <c r="I88" s="71"/>
      <c r="J88" s="69">
        <f t="shared" si="4"/>
        <v>0</v>
      </c>
    </row>
    <row r="89" ht="12.75" customHeight="1" spans="1:10">
      <c r="A89" s="68"/>
      <c r="B89" s="69"/>
      <c r="C89" s="70"/>
      <c r="D89" s="126"/>
      <c r="E89" s="69"/>
      <c r="F89" s="69"/>
      <c r="G89" s="69"/>
      <c r="H89" s="71">
        <f t="shared" ref="H89:H152" si="5">SUM(F89:G89)</f>
        <v>0</v>
      </c>
      <c r="I89" s="71"/>
      <c r="J89" s="69">
        <f t="shared" si="4"/>
        <v>0</v>
      </c>
    </row>
    <row r="90" ht="12.75" customHeight="1" spans="1:10">
      <c r="A90" s="68"/>
      <c r="B90" s="69"/>
      <c r="C90" s="70"/>
      <c r="D90" s="126"/>
      <c r="E90" s="69"/>
      <c r="F90" s="69"/>
      <c r="G90" s="69"/>
      <c r="H90" s="71">
        <f t="shared" si="5"/>
        <v>0</v>
      </c>
      <c r="I90" s="71"/>
      <c r="J90" s="69">
        <f t="shared" si="4"/>
        <v>0</v>
      </c>
    </row>
    <row r="91" ht="12.75" customHeight="1" spans="1:10">
      <c r="A91" s="68"/>
      <c r="B91" s="69"/>
      <c r="C91" s="70"/>
      <c r="D91" s="126"/>
      <c r="E91" s="69"/>
      <c r="F91" s="69"/>
      <c r="G91" s="69"/>
      <c r="H91" s="71">
        <f t="shared" si="5"/>
        <v>0</v>
      </c>
      <c r="I91" s="71"/>
      <c r="J91" s="69">
        <f t="shared" si="4"/>
        <v>0</v>
      </c>
    </row>
    <row r="92" ht="12.75" customHeight="1" spans="1:10">
      <c r="A92" s="68"/>
      <c r="B92" s="69"/>
      <c r="C92" s="70"/>
      <c r="D92" s="126"/>
      <c r="E92" s="69"/>
      <c r="F92" s="69"/>
      <c r="G92" s="69"/>
      <c r="H92" s="71">
        <f t="shared" si="5"/>
        <v>0</v>
      </c>
      <c r="I92" s="71"/>
      <c r="J92" s="69">
        <f t="shared" si="4"/>
        <v>0</v>
      </c>
    </row>
    <row r="93" ht="12.75" customHeight="1" spans="1:10">
      <c r="A93" s="68"/>
      <c r="B93" s="69"/>
      <c r="C93" s="70"/>
      <c r="D93" s="126"/>
      <c r="E93" s="69"/>
      <c r="F93" s="69"/>
      <c r="G93" s="69"/>
      <c r="H93" s="71">
        <f t="shared" si="5"/>
        <v>0</v>
      </c>
      <c r="I93" s="71"/>
      <c r="J93" s="69">
        <f t="shared" si="4"/>
        <v>0</v>
      </c>
    </row>
    <row r="94" ht="12.75" customHeight="1" spans="1:10">
      <c r="A94" s="68"/>
      <c r="B94" s="69"/>
      <c r="C94" s="70"/>
      <c r="D94" s="126"/>
      <c r="E94" s="69"/>
      <c r="F94" s="69"/>
      <c r="G94" s="69"/>
      <c r="H94" s="71">
        <f t="shared" si="5"/>
        <v>0</v>
      </c>
      <c r="I94" s="71"/>
      <c r="J94" s="69">
        <f t="shared" si="4"/>
        <v>0</v>
      </c>
    </row>
    <row r="95" ht="12.75" customHeight="1" spans="1:10">
      <c r="A95" s="68"/>
      <c r="B95" s="69"/>
      <c r="C95" s="70"/>
      <c r="D95" s="126"/>
      <c r="E95" s="69"/>
      <c r="F95" s="69"/>
      <c r="G95" s="69"/>
      <c r="H95" s="71">
        <f t="shared" si="5"/>
        <v>0</v>
      </c>
      <c r="I95" s="71"/>
      <c r="J95" s="69">
        <f t="shared" si="4"/>
        <v>0</v>
      </c>
    </row>
    <row r="96" ht="12.75" customHeight="1" spans="1:10">
      <c r="A96" s="68"/>
      <c r="B96" s="69"/>
      <c r="C96" s="70"/>
      <c r="D96" s="126"/>
      <c r="E96" s="69"/>
      <c r="F96" s="69"/>
      <c r="G96" s="69"/>
      <c r="H96" s="71">
        <f t="shared" si="5"/>
        <v>0</v>
      </c>
      <c r="I96" s="71"/>
      <c r="J96" s="69">
        <f t="shared" si="4"/>
        <v>0</v>
      </c>
    </row>
    <row r="97" ht="12.75" customHeight="1" spans="1:10">
      <c r="A97" s="68"/>
      <c r="B97" s="69"/>
      <c r="C97" s="70"/>
      <c r="D97" s="126"/>
      <c r="E97" s="69"/>
      <c r="F97" s="69"/>
      <c r="G97" s="69"/>
      <c r="H97" s="71">
        <f t="shared" si="5"/>
        <v>0</v>
      </c>
      <c r="I97" s="71"/>
      <c r="J97" s="69">
        <f t="shared" si="4"/>
        <v>0</v>
      </c>
    </row>
    <row r="98" ht="12.75" customHeight="1" spans="1:10">
      <c r="A98" s="68"/>
      <c r="B98" s="69"/>
      <c r="C98" s="70"/>
      <c r="D98" s="126"/>
      <c r="E98" s="69"/>
      <c r="F98" s="69"/>
      <c r="G98" s="69"/>
      <c r="H98" s="71">
        <f t="shared" si="5"/>
        <v>0</v>
      </c>
      <c r="I98" s="71"/>
      <c r="J98" s="69">
        <f t="shared" si="4"/>
        <v>0</v>
      </c>
    </row>
    <row r="99" ht="12.75" customHeight="1" spans="1:10">
      <c r="A99" s="68"/>
      <c r="B99" s="69"/>
      <c r="C99" s="70"/>
      <c r="D99" s="126"/>
      <c r="E99" s="69"/>
      <c r="F99" s="69"/>
      <c r="G99" s="69"/>
      <c r="H99" s="71">
        <f t="shared" si="5"/>
        <v>0</v>
      </c>
      <c r="I99" s="71"/>
      <c r="J99" s="69">
        <f t="shared" si="4"/>
        <v>0</v>
      </c>
    </row>
    <row r="100" ht="12.75" customHeight="1" spans="1:10">
      <c r="A100" s="68"/>
      <c r="B100" s="69"/>
      <c r="C100" s="70"/>
      <c r="D100" s="126"/>
      <c r="E100" s="69"/>
      <c r="F100" s="69"/>
      <c r="G100" s="69"/>
      <c r="H100" s="71">
        <f t="shared" si="5"/>
        <v>0</v>
      </c>
      <c r="I100" s="71"/>
      <c r="J100" s="69">
        <f t="shared" si="4"/>
        <v>0</v>
      </c>
    </row>
    <row r="101" ht="12.75" customHeight="1" spans="1:10">
      <c r="A101" s="68"/>
      <c r="B101" s="69"/>
      <c r="C101" s="70"/>
      <c r="D101" s="126"/>
      <c r="E101" s="69"/>
      <c r="F101" s="69"/>
      <c r="G101" s="69"/>
      <c r="H101" s="71">
        <f t="shared" si="5"/>
        <v>0</v>
      </c>
      <c r="I101" s="71"/>
      <c r="J101" s="69">
        <f t="shared" si="4"/>
        <v>0</v>
      </c>
    </row>
    <row r="102" ht="12.75" customHeight="1" spans="1:10">
      <c r="A102" s="68"/>
      <c r="B102" s="69"/>
      <c r="C102" s="70"/>
      <c r="D102" s="126"/>
      <c r="E102" s="69"/>
      <c r="F102" s="69"/>
      <c r="G102" s="69"/>
      <c r="H102" s="71">
        <f t="shared" si="5"/>
        <v>0</v>
      </c>
      <c r="I102" s="71"/>
      <c r="J102" s="69">
        <f t="shared" si="4"/>
        <v>0</v>
      </c>
    </row>
    <row r="103" ht="12.75" customHeight="1" spans="1:10">
      <c r="A103" s="68"/>
      <c r="B103" s="69"/>
      <c r="C103" s="70"/>
      <c r="D103" s="126"/>
      <c r="E103" s="69"/>
      <c r="F103" s="69"/>
      <c r="G103" s="69"/>
      <c r="H103" s="71">
        <f t="shared" si="5"/>
        <v>0</v>
      </c>
      <c r="I103" s="71"/>
      <c r="J103" s="69">
        <f t="shared" si="4"/>
        <v>0</v>
      </c>
    </row>
    <row r="104" ht="12.75" customHeight="1" spans="1:10">
      <c r="A104" s="68"/>
      <c r="B104" s="69"/>
      <c r="C104" s="70"/>
      <c r="D104" s="126"/>
      <c r="E104" s="69"/>
      <c r="F104" s="69"/>
      <c r="G104" s="69"/>
      <c r="H104" s="71">
        <f t="shared" si="5"/>
        <v>0</v>
      </c>
      <c r="I104" s="71"/>
      <c r="J104" s="69">
        <f t="shared" si="4"/>
        <v>0</v>
      </c>
    </row>
    <row r="105" ht="12.75" customHeight="1" spans="1:10">
      <c r="A105" s="68"/>
      <c r="B105" s="69"/>
      <c r="C105" s="70"/>
      <c r="D105" s="126"/>
      <c r="E105" s="69"/>
      <c r="F105" s="69"/>
      <c r="G105" s="69"/>
      <c r="H105" s="71">
        <f t="shared" si="5"/>
        <v>0</v>
      </c>
      <c r="I105" s="71"/>
      <c r="J105" s="69">
        <f t="shared" si="4"/>
        <v>0</v>
      </c>
    </row>
    <row r="106" ht="12.75" customHeight="1" spans="1:10">
      <c r="A106" s="68"/>
      <c r="B106" s="69"/>
      <c r="C106" s="70"/>
      <c r="D106" s="126"/>
      <c r="E106" s="69"/>
      <c r="F106" s="69"/>
      <c r="G106" s="69"/>
      <c r="H106" s="71">
        <f t="shared" si="5"/>
        <v>0</v>
      </c>
      <c r="I106" s="71"/>
      <c r="J106" s="69">
        <f t="shared" si="4"/>
        <v>0</v>
      </c>
    </row>
    <row r="107" ht="12.75" customHeight="1" spans="1:10">
      <c r="A107" s="68"/>
      <c r="B107" s="69"/>
      <c r="C107" s="70"/>
      <c r="D107" s="126"/>
      <c r="E107" s="69"/>
      <c r="F107" s="69"/>
      <c r="G107" s="69"/>
      <c r="H107" s="71">
        <f t="shared" si="5"/>
        <v>0</v>
      </c>
      <c r="I107" s="71"/>
      <c r="J107" s="69">
        <f t="shared" si="4"/>
        <v>0</v>
      </c>
    </row>
    <row r="108" ht="12.75" customHeight="1" spans="1:10">
      <c r="A108" s="68"/>
      <c r="B108" s="69"/>
      <c r="C108" s="70"/>
      <c r="D108" s="126"/>
      <c r="E108" s="69"/>
      <c r="F108" s="69"/>
      <c r="G108" s="69"/>
      <c r="H108" s="71">
        <f t="shared" si="5"/>
        <v>0</v>
      </c>
      <c r="I108" s="71"/>
      <c r="J108" s="69">
        <f t="shared" si="4"/>
        <v>0</v>
      </c>
    </row>
    <row r="109" ht="12.75" customHeight="1" spans="1:10">
      <c r="A109" s="68"/>
      <c r="B109" s="69"/>
      <c r="C109" s="70"/>
      <c r="D109" s="126"/>
      <c r="E109" s="69"/>
      <c r="F109" s="69"/>
      <c r="G109" s="69"/>
      <c r="H109" s="71">
        <f t="shared" si="5"/>
        <v>0</v>
      </c>
      <c r="I109" s="71"/>
      <c r="J109" s="69">
        <f t="shared" si="4"/>
        <v>0</v>
      </c>
    </row>
    <row r="110" ht="12.75" customHeight="1" spans="1:10">
      <c r="A110" s="68"/>
      <c r="B110" s="69"/>
      <c r="C110" s="70"/>
      <c r="D110" s="126"/>
      <c r="E110" s="69"/>
      <c r="F110" s="69"/>
      <c r="G110" s="69"/>
      <c r="H110" s="71">
        <f t="shared" si="5"/>
        <v>0</v>
      </c>
      <c r="I110" s="71"/>
      <c r="J110" s="69">
        <f t="shared" si="4"/>
        <v>0</v>
      </c>
    </row>
    <row r="111" ht="12.75" customHeight="1" spans="1:10">
      <c r="A111" s="68"/>
      <c r="B111" s="69"/>
      <c r="C111" s="70"/>
      <c r="D111" s="126"/>
      <c r="E111" s="69"/>
      <c r="F111" s="69"/>
      <c r="G111" s="69"/>
      <c r="H111" s="71">
        <f t="shared" si="5"/>
        <v>0</v>
      </c>
      <c r="I111" s="71"/>
      <c r="J111" s="69">
        <f t="shared" si="4"/>
        <v>0</v>
      </c>
    </row>
    <row r="112" ht="12.75" customHeight="1" spans="1:10">
      <c r="A112" s="68"/>
      <c r="B112" s="69"/>
      <c r="C112" s="70"/>
      <c r="D112" s="126"/>
      <c r="E112" s="69"/>
      <c r="F112" s="69"/>
      <c r="G112" s="69"/>
      <c r="H112" s="71">
        <f t="shared" si="5"/>
        <v>0</v>
      </c>
      <c r="I112" s="71"/>
      <c r="J112" s="69">
        <f t="shared" si="4"/>
        <v>0</v>
      </c>
    </row>
    <row r="113" ht="12.75" customHeight="1" spans="1:10">
      <c r="A113" s="68"/>
      <c r="B113" s="69"/>
      <c r="C113" s="70"/>
      <c r="D113" s="126"/>
      <c r="E113" s="69"/>
      <c r="F113" s="69"/>
      <c r="G113" s="69"/>
      <c r="H113" s="71">
        <f t="shared" si="5"/>
        <v>0</v>
      </c>
      <c r="I113" s="71"/>
      <c r="J113" s="69">
        <f t="shared" si="4"/>
        <v>0</v>
      </c>
    </row>
    <row r="114" ht="12.75" customHeight="1" spans="1:10">
      <c r="A114" s="68"/>
      <c r="B114" s="69"/>
      <c r="C114" s="70"/>
      <c r="D114" s="126"/>
      <c r="E114" s="69"/>
      <c r="F114" s="69"/>
      <c r="G114" s="69"/>
      <c r="H114" s="71">
        <f t="shared" si="5"/>
        <v>0</v>
      </c>
      <c r="I114" s="71"/>
      <c r="J114" s="69">
        <f t="shared" si="4"/>
        <v>0</v>
      </c>
    </row>
    <row r="115" ht="12.75" customHeight="1" spans="1:10">
      <c r="A115" s="68"/>
      <c r="B115" s="69"/>
      <c r="C115" s="70"/>
      <c r="D115" s="126"/>
      <c r="E115" s="69"/>
      <c r="F115" s="69"/>
      <c r="G115" s="69"/>
      <c r="H115" s="71">
        <f t="shared" si="5"/>
        <v>0</v>
      </c>
      <c r="I115" s="71"/>
      <c r="J115" s="69">
        <f t="shared" si="4"/>
        <v>0</v>
      </c>
    </row>
    <row r="116" ht="12.75" customHeight="1" spans="1:10">
      <c r="A116" s="68"/>
      <c r="B116" s="69"/>
      <c r="C116" s="70"/>
      <c r="D116" s="126"/>
      <c r="E116" s="69"/>
      <c r="F116" s="69"/>
      <c r="G116" s="69"/>
      <c r="H116" s="71">
        <f t="shared" si="5"/>
        <v>0</v>
      </c>
      <c r="I116" s="71"/>
      <c r="J116" s="69">
        <f t="shared" si="4"/>
        <v>0</v>
      </c>
    </row>
    <row r="117" ht="12.75" customHeight="1" spans="1:10">
      <c r="A117" s="68"/>
      <c r="B117" s="69"/>
      <c r="C117" s="70"/>
      <c r="D117" s="126"/>
      <c r="E117" s="69"/>
      <c r="F117" s="69"/>
      <c r="G117" s="69"/>
      <c r="H117" s="71">
        <f t="shared" si="5"/>
        <v>0</v>
      </c>
      <c r="I117" s="71"/>
      <c r="J117" s="69">
        <f t="shared" si="4"/>
        <v>0</v>
      </c>
    </row>
    <row r="118" ht="12.75" customHeight="1" spans="1:10">
      <c r="A118" s="68"/>
      <c r="B118" s="69"/>
      <c r="C118" s="70"/>
      <c r="D118" s="126"/>
      <c r="E118" s="69"/>
      <c r="F118" s="69"/>
      <c r="G118" s="69"/>
      <c r="H118" s="71">
        <f t="shared" si="5"/>
        <v>0</v>
      </c>
      <c r="I118" s="71"/>
      <c r="J118" s="69">
        <f t="shared" si="4"/>
        <v>0</v>
      </c>
    </row>
    <row r="119" ht="12.75" customHeight="1" spans="1:10">
      <c r="A119" s="68"/>
      <c r="B119" s="69"/>
      <c r="C119" s="70"/>
      <c r="D119" s="126"/>
      <c r="E119" s="69"/>
      <c r="F119" s="69"/>
      <c r="G119" s="69"/>
      <c r="H119" s="71">
        <f t="shared" si="5"/>
        <v>0</v>
      </c>
      <c r="I119" s="71"/>
      <c r="J119" s="69">
        <f t="shared" si="4"/>
        <v>0</v>
      </c>
    </row>
    <row r="120" ht="12.75" customHeight="1" spans="1:10">
      <c r="A120" s="68"/>
      <c r="B120" s="69"/>
      <c r="C120" s="70"/>
      <c r="D120" s="126"/>
      <c r="E120" s="69"/>
      <c r="F120" s="69"/>
      <c r="G120" s="69"/>
      <c r="H120" s="71">
        <f t="shared" si="5"/>
        <v>0</v>
      </c>
      <c r="I120" s="71"/>
      <c r="J120" s="69">
        <f t="shared" si="4"/>
        <v>0</v>
      </c>
    </row>
    <row r="121" ht="12.75" customHeight="1" spans="1:10">
      <c r="A121" s="68"/>
      <c r="B121" s="69"/>
      <c r="C121" s="70"/>
      <c r="D121" s="126"/>
      <c r="E121" s="69"/>
      <c r="F121" s="69"/>
      <c r="G121" s="69"/>
      <c r="H121" s="71">
        <f t="shared" si="5"/>
        <v>0</v>
      </c>
      <c r="I121" s="71"/>
      <c r="J121" s="69">
        <f t="shared" si="4"/>
        <v>0</v>
      </c>
    </row>
    <row r="122" ht="12.75" customHeight="1" spans="1:10">
      <c r="A122" s="68"/>
      <c r="B122" s="69"/>
      <c r="C122" s="70"/>
      <c r="D122" s="126"/>
      <c r="E122" s="69"/>
      <c r="F122" s="69"/>
      <c r="G122" s="69"/>
      <c r="H122" s="71">
        <f t="shared" si="5"/>
        <v>0</v>
      </c>
      <c r="I122" s="71"/>
      <c r="J122" s="69">
        <f t="shared" si="4"/>
        <v>0</v>
      </c>
    </row>
    <row r="123" ht="12.75" customHeight="1" spans="1:10">
      <c r="A123" s="68"/>
      <c r="B123" s="69"/>
      <c r="C123" s="70"/>
      <c r="D123" s="126"/>
      <c r="E123" s="69"/>
      <c r="F123" s="69"/>
      <c r="G123" s="69"/>
      <c r="H123" s="71">
        <f t="shared" si="5"/>
        <v>0</v>
      </c>
      <c r="I123" s="71"/>
      <c r="J123" s="69">
        <f t="shared" si="4"/>
        <v>0</v>
      </c>
    </row>
    <row r="124" ht="12.75" customHeight="1" spans="1:10">
      <c r="A124" s="68"/>
      <c r="B124" s="69"/>
      <c r="C124" s="70"/>
      <c r="D124" s="126"/>
      <c r="E124" s="69"/>
      <c r="F124" s="69"/>
      <c r="G124" s="69"/>
      <c r="H124" s="71">
        <f t="shared" si="5"/>
        <v>0</v>
      </c>
      <c r="I124" s="71"/>
      <c r="J124" s="69">
        <f t="shared" si="4"/>
        <v>0</v>
      </c>
    </row>
    <row r="125" ht="12.75" customHeight="1" spans="1:10">
      <c r="A125" s="68"/>
      <c r="B125" s="69"/>
      <c r="C125" s="70"/>
      <c r="D125" s="126"/>
      <c r="E125" s="69"/>
      <c r="F125" s="69"/>
      <c r="G125" s="69"/>
      <c r="H125" s="71">
        <f t="shared" si="5"/>
        <v>0</v>
      </c>
      <c r="I125" s="71"/>
      <c r="J125" s="69">
        <f t="shared" si="4"/>
        <v>0</v>
      </c>
    </row>
    <row r="126" ht="12.75" customHeight="1" spans="1:10">
      <c r="A126" s="68"/>
      <c r="B126" s="69"/>
      <c r="C126" s="70"/>
      <c r="D126" s="126"/>
      <c r="E126" s="69"/>
      <c r="F126" s="69"/>
      <c r="G126" s="69"/>
      <c r="H126" s="71">
        <f t="shared" si="5"/>
        <v>0</v>
      </c>
      <c r="I126" s="71"/>
      <c r="J126" s="69">
        <f t="shared" si="4"/>
        <v>0</v>
      </c>
    </row>
    <row r="127" ht="12.75" customHeight="1" spans="1:10">
      <c r="A127" s="68"/>
      <c r="B127" s="69"/>
      <c r="C127" s="70"/>
      <c r="D127" s="126"/>
      <c r="E127" s="69"/>
      <c r="F127" s="69"/>
      <c r="G127" s="69"/>
      <c r="H127" s="71">
        <f t="shared" si="5"/>
        <v>0</v>
      </c>
      <c r="I127" s="71"/>
      <c r="J127" s="69">
        <f t="shared" si="4"/>
        <v>0</v>
      </c>
    </row>
    <row r="128" ht="12.75" customHeight="1" spans="1:10">
      <c r="A128" s="68"/>
      <c r="B128" s="69"/>
      <c r="C128" s="70"/>
      <c r="D128" s="126"/>
      <c r="E128" s="69"/>
      <c r="F128" s="69"/>
      <c r="G128" s="69"/>
      <c r="H128" s="71">
        <f t="shared" si="5"/>
        <v>0</v>
      </c>
      <c r="I128" s="71"/>
      <c r="J128" s="69">
        <f t="shared" si="4"/>
        <v>0</v>
      </c>
    </row>
    <row r="129" ht="12.75" customHeight="1" spans="1:10">
      <c r="A129" s="68"/>
      <c r="B129" s="69"/>
      <c r="C129" s="70"/>
      <c r="D129" s="126"/>
      <c r="E129" s="69"/>
      <c r="F129" s="69"/>
      <c r="G129" s="69"/>
      <c r="H129" s="71">
        <f t="shared" si="5"/>
        <v>0</v>
      </c>
      <c r="I129" s="71"/>
      <c r="J129" s="69">
        <f t="shared" si="4"/>
        <v>0</v>
      </c>
    </row>
    <row r="130" ht="12.75" customHeight="1" spans="1:10">
      <c r="A130" s="68"/>
      <c r="B130" s="69"/>
      <c r="C130" s="70"/>
      <c r="D130" s="126"/>
      <c r="E130" s="69"/>
      <c r="F130" s="69"/>
      <c r="G130" s="69"/>
      <c r="H130" s="71">
        <f t="shared" si="5"/>
        <v>0</v>
      </c>
      <c r="I130" s="71"/>
      <c r="J130" s="69">
        <f t="shared" si="4"/>
        <v>0</v>
      </c>
    </row>
    <row r="131" ht="12.75" customHeight="1" spans="1:10">
      <c r="A131" s="68"/>
      <c r="B131" s="69"/>
      <c r="C131" s="70"/>
      <c r="D131" s="126"/>
      <c r="E131" s="69"/>
      <c r="F131" s="69"/>
      <c r="G131" s="69"/>
      <c r="H131" s="71">
        <f t="shared" si="5"/>
        <v>0</v>
      </c>
      <c r="I131" s="71"/>
      <c r="J131" s="69">
        <f t="shared" si="4"/>
        <v>0</v>
      </c>
    </row>
    <row r="132" ht="12.75" customHeight="1" spans="1:10">
      <c r="A132" s="68"/>
      <c r="B132" s="69"/>
      <c r="C132" s="70"/>
      <c r="D132" s="126"/>
      <c r="E132" s="69"/>
      <c r="F132" s="69"/>
      <c r="G132" s="69"/>
      <c r="H132" s="71">
        <f t="shared" si="5"/>
        <v>0</v>
      </c>
      <c r="I132" s="71"/>
      <c r="J132" s="69">
        <f t="shared" si="4"/>
        <v>0</v>
      </c>
    </row>
    <row r="133" ht="12.75" customHeight="1" spans="1:10">
      <c r="A133" s="68"/>
      <c r="B133" s="69"/>
      <c r="C133" s="70"/>
      <c r="D133" s="126"/>
      <c r="E133" s="69"/>
      <c r="F133" s="69"/>
      <c r="G133" s="69"/>
      <c r="H133" s="71">
        <f t="shared" si="5"/>
        <v>0</v>
      </c>
      <c r="I133" s="71"/>
      <c r="J133" s="69">
        <f t="shared" si="4"/>
        <v>0</v>
      </c>
    </row>
    <row r="134" ht="12.75" customHeight="1" spans="1:10">
      <c r="A134" s="68"/>
      <c r="B134" s="69"/>
      <c r="C134" s="70"/>
      <c r="D134" s="126"/>
      <c r="E134" s="69"/>
      <c r="F134" s="69"/>
      <c r="G134" s="69"/>
      <c r="H134" s="71">
        <f t="shared" si="5"/>
        <v>0</v>
      </c>
      <c r="I134" s="71"/>
      <c r="J134" s="69">
        <f t="shared" si="4"/>
        <v>0</v>
      </c>
    </row>
    <row r="135" ht="12.75" customHeight="1" spans="1:10">
      <c r="A135" s="68"/>
      <c r="B135" s="69"/>
      <c r="C135" s="70"/>
      <c r="D135" s="126"/>
      <c r="E135" s="69"/>
      <c r="F135" s="69"/>
      <c r="G135" s="69"/>
      <c r="H135" s="71">
        <f t="shared" si="5"/>
        <v>0</v>
      </c>
      <c r="I135" s="71"/>
      <c r="J135" s="69">
        <f t="shared" si="4"/>
        <v>0</v>
      </c>
    </row>
    <row r="136" ht="12.75" customHeight="1" spans="1:10">
      <c r="A136" s="68"/>
      <c r="B136" s="69"/>
      <c r="C136" s="70"/>
      <c r="D136" s="126"/>
      <c r="E136" s="69"/>
      <c r="F136" s="69"/>
      <c r="G136" s="69"/>
      <c r="H136" s="71">
        <f t="shared" si="5"/>
        <v>0</v>
      </c>
      <c r="I136" s="71"/>
      <c r="J136" s="69">
        <f t="shared" si="4"/>
        <v>0</v>
      </c>
    </row>
    <row r="137" ht="12.75" customHeight="1" spans="1:10">
      <c r="A137" s="68"/>
      <c r="B137" s="69"/>
      <c r="C137" s="70"/>
      <c r="D137" s="126"/>
      <c r="E137" s="69"/>
      <c r="F137" s="69"/>
      <c r="G137" s="69"/>
      <c r="H137" s="71">
        <f t="shared" si="5"/>
        <v>0</v>
      </c>
      <c r="I137" s="71"/>
      <c r="J137" s="69">
        <f t="shared" ref="J137:J186" si="6">1/10*G137</f>
        <v>0</v>
      </c>
    </row>
    <row r="138" ht="12.75" customHeight="1" spans="1:10">
      <c r="A138" s="68"/>
      <c r="B138" s="69"/>
      <c r="C138" s="70"/>
      <c r="D138" s="126"/>
      <c r="E138" s="69"/>
      <c r="F138" s="69"/>
      <c r="G138" s="69"/>
      <c r="H138" s="71">
        <f t="shared" si="5"/>
        <v>0</v>
      </c>
      <c r="I138" s="71"/>
      <c r="J138" s="69">
        <f t="shared" si="6"/>
        <v>0</v>
      </c>
    </row>
    <row r="139" ht="12.75" customHeight="1" spans="1:10">
      <c r="A139" s="68"/>
      <c r="B139" s="69"/>
      <c r="C139" s="70"/>
      <c r="D139" s="126"/>
      <c r="E139" s="69"/>
      <c r="F139" s="69"/>
      <c r="G139" s="69"/>
      <c r="H139" s="71">
        <f t="shared" si="5"/>
        <v>0</v>
      </c>
      <c r="I139" s="71"/>
      <c r="J139" s="69">
        <f t="shared" si="6"/>
        <v>0</v>
      </c>
    </row>
    <row r="140" ht="12.75" customHeight="1" spans="1:10">
      <c r="A140" s="68"/>
      <c r="B140" s="69"/>
      <c r="C140" s="70"/>
      <c r="D140" s="126"/>
      <c r="E140" s="69"/>
      <c r="F140" s="69"/>
      <c r="G140" s="69"/>
      <c r="H140" s="71">
        <f t="shared" si="5"/>
        <v>0</v>
      </c>
      <c r="I140" s="71"/>
      <c r="J140" s="69">
        <f t="shared" si="6"/>
        <v>0</v>
      </c>
    </row>
    <row r="141" ht="12.75" customHeight="1" spans="1:10">
      <c r="A141" s="68"/>
      <c r="B141" s="69"/>
      <c r="C141" s="70"/>
      <c r="D141" s="126"/>
      <c r="E141" s="69"/>
      <c r="F141" s="69"/>
      <c r="G141" s="69"/>
      <c r="H141" s="71">
        <f t="shared" si="5"/>
        <v>0</v>
      </c>
      <c r="I141" s="71"/>
      <c r="J141" s="69">
        <f t="shared" si="6"/>
        <v>0</v>
      </c>
    </row>
    <row r="142" ht="12.75" customHeight="1" spans="1:10">
      <c r="A142" s="68"/>
      <c r="B142" s="69"/>
      <c r="C142" s="70"/>
      <c r="D142" s="126"/>
      <c r="E142" s="69"/>
      <c r="F142" s="69"/>
      <c r="G142" s="69"/>
      <c r="H142" s="71">
        <f t="shared" si="5"/>
        <v>0</v>
      </c>
      <c r="I142" s="71"/>
      <c r="J142" s="69">
        <f t="shared" si="6"/>
        <v>0</v>
      </c>
    </row>
    <row r="143" ht="12.75" customHeight="1" spans="1:10">
      <c r="A143" s="68"/>
      <c r="B143" s="69"/>
      <c r="C143" s="70"/>
      <c r="D143" s="126"/>
      <c r="E143" s="69"/>
      <c r="F143" s="69"/>
      <c r="G143" s="69"/>
      <c r="H143" s="71">
        <f t="shared" si="5"/>
        <v>0</v>
      </c>
      <c r="I143" s="71"/>
      <c r="J143" s="69">
        <f t="shared" si="6"/>
        <v>0</v>
      </c>
    </row>
    <row r="144" ht="12.75" customHeight="1" spans="1:10">
      <c r="A144" s="68"/>
      <c r="B144" s="69"/>
      <c r="C144" s="70"/>
      <c r="D144" s="126"/>
      <c r="E144" s="69"/>
      <c r="F144" s="69"/>
      <c r="G144" s="69"/>
      <c r="H144" s="71">
        <f t="shared" si="5"/>
        <v>0</v>
      </c>
      <c r="I144" s="71"/>
      <c r="J144" s="69">
        <f t="shared" si="6"/>
        <v>0</v>
      </c>
    </row>
    <row r="145" ht="12.75" customHeight="1" spans="1:10">
      <c r="A145" s="68"/>
      <c r="B145" s="69"/>
      <c r="C145" s="70"/>
      <c r="D145" s="126"/>
      <c r="E145" s="69"/>
      <c r="F145" s="69"/>
      <c r="G145" s="69"/>
      <c r="H145" s="71">
        <f t="shared" si="5"/>
        <v>0</v>
      </c>
      <c r="I145" s="71"/>
      <c r="J145" s="69">
        <f t="shared" si="6"/>
        <v>0</v>
      </c>
    </row>
    <row r="146" ht="12.75" customHeight="1" spans="1:10">
      <c r="A146" s="68"/>
      <c r="B146" s="69"/>
      <c r="C146" s="70"/>
      <c r="D146" s="126"/>
      <c r="E146" s="69"/>
      <c r="F146" s="69"/>
      <c r="G146" s="69"/>
      <c r="H146" s="71">
        <f t="shared" si="5"/>
        <v>0</v>
      </c>
      <c r="I146" s="71"/>
      <c r="J146" s="69">
        <f t="shared" si="6"/>
        <v>0</v>
      </c>
    </row>
    <row r="147" ht="12.75" customHeight="1" spans="1:10">
      <c r="A147" s="68"/>
      <c r="B147" s="69"/>
      <c r="C147" s="70"/>
      <c r="D147" s="126"/>
      <c r="E147" s="69"/>
      <c r="F147" s="69"/>
      <c r="G147" s="69"/>
      <c r="H147" s="71">
        <f t="shared" si="5"/>
        <v>0</v>
      </c>
      <c r="I147" s="71"/>
      <c r="J147" s="69">
        <f t="shared" si="6"/>
        <v>0</v>
      </c>
    </row>
    <row r="148" ht="12.75" customHeight="1" spans="1:10">
      <c r="A148" s="68"/>
      <c r="B148" s="69"/>
      <c r="C148" s="70"/>
      <c r="D148" s="126"/>
      <c r="E148" s="69"/>
      <c r="F148" s="69"/>
      <c r="G148" s="69"/>
      <c r="H148" s="71">
        <f t="shared" si="5"/>
        <v>0</v>
      </c>
      <c r="I148" s="71"/>
      <c r="J148" s="69">
        <f t="shared" si="6"/>
        <v>0</v>
      </c>
    </row>
    <row r="149" ht="12.75" customHeight="1" spans="1:10">
      <c r="A149" s="68"/>
      <c r="B149" s="69"/>
      <c r="C149" s="70"/>
      <c r="D149" s="126"/>
      <c r="E149" s="69"/>
      <c r="F149" s="69"/>
      <c r="G149" s="69"/>
      <c r="H149" s="71">
        <f t="shared" si="5"/>
        <v>0</v>
      </c>
      <c r="I149" s="71"/>
      <c r="J149" s="69">
        <f t="shared" si="6"/>
        <v>0</v>
      </c>
    </row>
    <row r="150" ht="12.75" customHeight="1" spans="1:10">
      <c r="A150" s="68"/>
      <c r="B150" s="69"/>
      <c r="C150" s="70"/>
      <c r="D150" s="126"/>
      <c r="E150" s="69"/>
      <c r="F150" s="69"/>
      <c r="G150" s="69"/>
      <c r="H150" s="71">
        <f t="shared" si="5"/>
        <v>0</v>
      </c>
      <c r="I150" s="71"/>
      <c r="J150" s="69">
        <f t="shared" si="6"/>
        <v>0</v>
      </c>
    </row>
    <row r="151" ht="12.75" customHeight="1" spans="1:10">
      <c r="A151" s="68"/>
      <c r="B151" s="69"/>
      <c r="C151" s="70"/>
      <c r="D151" s="126"/>
      <c r="E151" s="69"/>
      <c r="F151" s="69"/>
      <c r="G151" s="69"/>
      <c r="H151" s="71">
        <f t="shared" si="5"/>
        <v>0</v>
      </c>
      <c r="I151" s="71"/>
      <c r="J151" s="69">
        <f t="shared" si="6"/>
        <v>0</v>
      </c>
    </row>
    <row r="152" ht="12.75" customHeight="1" spans="1:10">
      <c r="A152" s="68"/>
      <c r="B152" s="69"/>
      <c r="C152" s="70"/>
      <c r="D152" s="126"/>
      <c r="E152" s="69"/>
      <c r="F152" s="69"/>
      <c r="G152" s="69"/>
      <c r="H152" s="71">
        <f t="shared" si="5"/>
        <v>0</v>
      </c>
      <c r="I152" s="71"/>
      <c r="J152" s="69">
        <f t="shared" si="6"/>
        <v>0</v>
      </c>
    </row>
    <row r="153" ht="12.75" customHeight="1" spans="1:10">
      <c r="A153" s="68"/>
      <c r="B153" s="69"/>
      <c r="C153" s="70"/>
      <c r="D153" s="126"/>
      <c r="E153" s="69"/>
      <c r="F153" s="69"/>
      <c r="G153" s="69"/>
      <c r="H153" s="71">
        <f t="shared" ref="H153:H186" si="7">SUM(F153:G153)</f>
        <v>0</v>
      </c>
      <c r="I153" s="71"/>
      <c r="J153" s="69">
        <f t="shared" si="6"/>
        <v>0</v>
      </c>
    </row>
    <row r="154" ht="12.75" customHeight="1" spans="1:10">
      <c r="A154" s="68"/>
      <c r="B154" s="69"/>
      <c r="C154" s="70"/>
      <c r="D154" s="126"/>
      <c r="E154" s="69"/>
      <c r="F154" s="69"/>
      <c r="G154" s="69"/>
      <c r="H154" s="71">
        <f t="shared" si="7"/>
        <v>0</v>
      </c>
      <c r="I154" s="71"/>
      <c r="J154" s="69">
        <f t="shared" si="6"/>
        <v>0</v>
      </c>
    </row>
    <row r="155" ht="12.75" customHeight="1" spans="1:10">
      <c r="A155" s="68"/>
      <c r="B155" s="69"/>
      <c r="C155" s="70"/>
      <c r="D155" s="126"/>
      <c r="E155" s="69"/>
      <c r="F155" s="69"/>
      <c r="G155" s="69"/>
      <c r="H155" s="71">
        <f t="shared" si="7"/>
        <v>0</v>
      </c>
      <c r="I155" s="71"/>
      <c r="J155" s="69">
        <f t="shared" si="6"/>
        <v>0</v>
      </c>
    </row>
    <row r="156" ht="12.75" customHeight="1" spans="1:10">
      <c r="A156" s="68"/>
      <c r="B156" s="69"/>
      <c r="C156" s="70"/>
      <c r="D156" s="126"/>
      <c r="E156" s="69"/>
      <c r="F156" s="69"/>
      <c r="G156" s="69"/>
      <c r="H156" s="71">
        <f t="shared" si="7"/>
        <v>0</v>
      </c>
      <c r="I156" s="71"/>
      <c r="J156" s="69">
        <f t="shared" si="6"/>
        <v>0</v>
      </c>
    </row>
    <row r="157" ht="12.75" customHeight="1" spans="1:10">
      <c r="A157" s="68"/>
      <c r="B157" s="69"/>
      <c r="C157" s="70"/>
      <c r="D157" s="126"/>
      <c r="E157" s="69"/>
      <c r="F157" s="69"/>
      <c r="G157" s="69"/>
      <c r="H157" s="71">
        <f t="shared" si="7"/>
        <v>0</v>
      </c>
      <c r="I157" s="71"/>
      <c r="J157" s="69">
        <f t="shared" si="6"/>
        <v>0</v>
      </c>
    </row>
    <row r="158" ht="12.75" customHeight="1" spans="1:10">
      <c r="A158" s="68"/>
      <c r="B158" s="69"/>
      <c r="C158" s="70"/>
      <c r="D158" s="126"/>
      <c r="E158" s="69"/>
      <c r="F158" s="69"/>
      <c r="G158" s="69"/>
      <c r="H158" s="71">
        <f t="shared" si="7"/>
        <v>0</v>
      </c>
      <c r="I158" s="71"/>
      <c r="J158" s="69">
        <f t="shared" si="6"/>
        <v>0</v>
      </c>
    </row>
    <row r="159" ht="12.75" customHeight="1" spans="1:10">
      <c r="A159" s="68"/>
      <c r="B159" s="69"/>
      <c r="C159" s="70"/>
      <c r="D159" s="126"/>
      <c r="E159" s="69"/>
      <c r="F159" s="69"/>
      <c r="G159" s="69"/>
      <c r="H159" s="71">
        <f t="shared" si="7"/>
        <v>0</v>
      </c>
      <c r="I159" s="71"/>
      <c r="J159" s="69">
        <f t="shared" si="6"/>
        <v>0</v>
      </c>
    </row>
    <row r="160" ht="12.75" customHeight="1" spans="1:10">
      <c r="A160" s="68"/>
      <c r="B160" s="69"/>
      <c r="C160" s="70"/>
      <c r="D160" s="126"/>
      <c r="E160" s="69"/>
      <c r="F160" s="69"/>
      <c r="G160" s="69"/>
      <c r="H160" s="71">
        <f t="shared" si="7"/>
        <v>0</v>
      </c>
      <c r="I160" s="71"/>
      <c r="J160" s="69">
        <f t="shared" si="6"/>
        <v>0</v>
      </c>
    </row>
    <row r="161" ht="12.75" customHeight="1" spans="1:10">
      <c r="A161" s="68"/>
      <c r="B161" s="69"/>
      <c r="C161" s="70"/>
      <c r="D161" s="126"/>
      <c r="E161" s="69"/>
      <c r="F161" s="69"/>
      <c r="G161" s="69"/>
      <c r="H161" s="71">
        <f t="shared" si="7"/>
        <v>0</v>
      </c>
      <c r="I161" s="71"/>
      <c r="J161" s="69">
        <f t="shared" si="6"/>
        <v>0</v>
      </c>
    </row>
    <row r="162" ht="12.75" customHeight="1" spans="1:10">
      <c r="A162" s="68"/>
      <c r="B162" s="69"/>
      <c r="C162" s="70"/>
      <c r="D162" s="126"/>
      <c r="E162" s="69"/>
      <c r="F162" s="69"/>
      <c r="G162" s="69"/>
      <c r="H162" s="71">
        <f t="shared" si="7"/>
        <v>0</v>
      </c>
      <c r="I162" s="71"/>
      <c r="J162" s="69">
        <f t="shared" si="6"/>
        <v>0</v>
      </c>
    </row>
    <row r="163" ht="12.75" customHeight="1" spans="1:10">
      <c r="A163" s="68"/>
      <c r="B163" s="69"/>
      <c r="C163" s="70"/>
      <c r="D163" s="126"/>
      <c r="E163" s="69"/>
      <c r="F163" s="69"/>
      <c r="G163" s="69"/>
      <c r="H163" s="71">
        <f t="shared" si="7"/>
        <v>0</v>
      </c>
      <c r="I163" s="71"/>
      <c r="J163" s="69">
        <f t="shared" si="6"/>
        <v>0</v>
      </c>
    </row>
    <row r="164" ht="12.75" customHeight="1" spans="1:10">
      <c r="A164" s="68"/>
      <c r="B164" s="69"/>
      <c r="C164" s="70"/>
      <c r="D164" s="126"/>
      <c r="E164" s="69"/>
      <c r="F164" s="69"/>
      <c r="G164" s="69"/>
      <c r="H164" s="71">
        <f t="shared" si="7"/>
        <v>0</v>
      </c>
      <c r="I164" s="71"/>
      <c r="J164" s="69">
        <f t="shared" si="6"/>
        <v>0</v>
      </c>
    </row>
    <row r="165" ht="12.75" customHeight="1" spans="1:10">
      <c r="A165" s="68"/>
      <c r="B165" s="69"/>
      <c r="C165" s="70"/>
      <c r="D165" s="126"/>
      <c r="E165" s="69"/>
      <c r="F165" s="69"/>
      <c r="G165" s="69"/>
      <c r="H165" s="71">
        <f t="shared" si="7"/>
        <v>0</v>
      </c>
      <c r="I165" s="71"/>
      <c r="J165" s="69">
        <f t="shared" si="6"/>
        <v>0</v>
      </c>
    </row>
    <row r="166" ht="12.75" customHeight="1" spans="1:10">
      <c r="A166" s="68"/>
      <c r="B166" s="69"/>
      <c r="C166" s="70"/>
      <c r="D166" s="126"/>
      <c r="E166" s="69"/>
      <c r="F166" s="69"/>
      <c r="G166" s="69"/>
      <c r="H166" s="71">
        <f t="shared" si="7"/>
        <v>0</v>
      </c>
      <c r="I166" s="71"/>
      <c r="J166" s="69">
        <f t="shared" si="6"/>
        <v>0</v>
      </c>
    </row>
    <row r="167" ht="12.75" customHeight="1" spans="1:10">
      <c r="A167" s="68"/>
      <c r="B167" s="69"/>
      <c r="C167" s="70"/>
      <c r="D167" s="126"/>
      <c r="E167" s="69"/>
      <c r="F167" s="69"/>
      <c r="G167" s="69"/>
      <c r="H167" s="71">
        <f t="shared" si="7"/>
        <v>0</v>
      </c>
      <c r="I167" s="71"/>
      <c r="J167" s="69">
        <f t="shared" si="6"/>
        <v>0</v>
      </c>
    </row>
    <row r="168" ht="12.75" customHeight="1" spans="1:10">
      <c r="A168" s="68"/>
      <c r="B168" s="69"/>
      <c r="C168" s="70"/>
      <c r="D168" s="126"/>
      <c r="E168" s="69"/>
      <c r="F168" s="69"/>
      <c r="G168" s="69"/>
      <c r="H168" s="71">
        <f t="shared" si="7"/>
        <v>0</v>
      </c>
      <c r="I168" s="71"/>
      <c r="J168" s="69">
        <f t="shared" si="6"/>
        <v>0</v>
      </c>
    </row>
    <row r="169" ht="12.75" customHeight="1" spans="1:10">
      <c r="A169" s="68"/>
      <c r="B169" s="69"/>
      <c r="C169" s="70"/>
      <c r="D169" s="126"/>
      <c r="E169" s="69"/>
      <c r="F169" s="69"/>
      <c r="G169" s="69"/>
      <c r="H169" s="71">
        <f t="shared" si="7"/>
        <v>0</v>
      </c>
      <c r="I169" s="71"/>
      <c r="J169" s="69">
        <f t="shared" si="6"/>
        <v>0</v>
      </c>
    </row>
    <row r="170" ht="12.75" customHeight="1" spans="1:10">
      <c r="A170" s="68"/>
      <c r="B170" s="69"/>
      <c r="C170" s="70"/>
      <c r="D170" s="126"/>
      <c r="E170" s="69"/>
      <c r="F170" s="69"/>
      <c r="G170" s="69"/>
      <c r="H170" s="71">
        <f t="shared" si="7"/>
        <v>0</v>
      </c>
      <c r="I170" s="71"/>
      <c r="J170" s="69">
        <f t="shared" si="6"/>
        <v>0</v>
      </c>
    </row>
    <row r="171" ht="12.75" customHeight="1" spans="1:10">
      <c r="A171" s="68"/>
      <c r="B171" s="69"/>
      <c r="C171" s="70"/>
      <c r="D171" s="126"/>
      <c r="E171" s="69"/>
      <c r="F171" s="69"/>
      <c r="G171" s="69"/>
      <c r="H171" s="71">
        <f t="shared" si="7"/>
        <v>0</v>
      </c>
      <c r="I171" s="71"/>
      <c r="J171" s="69">
        <f t="shared" si="6"/>
        <v>0</v>
      </c>
    </row>
    <row r="172" ht="12.75" customHeight="1" spans="1:10">
      <c r="A172" s="68"/>
      <c r="B172" s="69"/>
      <c r="C172" s="70"/>
      <c r="D172" s="126"/>
      <c r="E172" s="69"/>
      <c r="F172" s="69"/>
      <c r="G172" s="69"/>
      <c r="H172" s="71">
        <f t="shared" si="7"/>
        <v>0</v>
      </c>
      <c r="I172" s="71"/>
      <c r="J172" s="69">
        <f t="shared" si="6"/>
        <v>0</v>
      </c>
    </row>
    <row r="173" ht="12.75" customHeight="1" spans="1:10">
      <c r="A173" s="68"/>
      <c r="B173" s="69"/>
      <c r="C173" s="70"/>
      <c r="D173" s="126"/>
      <c r="E173" s="69"/>
      <c r="F173" s="69"/>
      <c r="G173" s="69"/>
      <c r="H173" s="71">
        <f t="shared" si="7"/>
        <v>0</v>
      </c>
      <c r="I173" s="71"/>
      <c r="J173" s="69">
        <f t="shared" si="6"/>
        <v>0</v>
      </c>
    </row>
    <row r="174" ht="12.75" customHeight="1" spans="1:10">
      <c r="A174" s="68"/>
      <c r="B174" s="69"/>
      <c r="C174" s="70"/>
      <c r="D174" s="126"/>
      <c r="E174" s="69"/>
      <c r="F174" s="69"/>
      <c r="G174" s="69"/>
      <c r="H174" s="71">
        <f t="shared" si="7"/>
        <v>0</v>
      </c>
      <c r="I174" s="71"/>
      <c r="J174" s="69">
        <f t="shared" si="6"/>
        <v>0</v>
      </c>
    </row>
    <row r="175" ht="12.75" customHeight="1" spans="1:10">
      <c r="A175" s="68"/>
      <c r="B175" s="69"/>
      <c r="C175" s="70"/>
      <c r="D175" s="126"/>
      <c r="E175" s="69"/>
      <c r="F175" s="69"/>
      <c r="G175" s="69"/>
      <c r="H175" s="71">
        <f t="shared" si="7"/>
        <v>0</v>
      </c>
      <c r="I175" s="71"/>
      <c r="J175" s="69">
        <f t="shared" si="6"/>
        <v>0</v>
      </c>
    </row>
    <row r="176" ht="12.75" customHeight="1" spans="1:10">
      <c r="A176" s="68"/>
      <c r="B176" s="69"/>
      <c r="C176" s="70"/>
      <c r="D176" s="126"/>
      <c r="E176" s="69"/>
      <c r="F176" s="69"/>
      <c r="G176" s="69"/>
      <c r="H176" s="71">
        <f t="shared" si="7"/>
        <v>0</v>
      </c>
      <c r="I176" s="71"/>
      <c r="J176" s="69">
        <f t="shared" si="6"/>
        <v>0</v>
      </c>
    </row>
    <row r="177" ht="12.75" customHeight="1" spans="1:11">
      <c r="A177" s="68"/>
      <c r="B177" s="69"/>
      <c r="C177" s="70"/>
      <c r="D177" s="126"/>
      <c r="E177" s="69"/>
      <c r="F177" s="69"/>
      <c r="G177" s="69"/>
      <c r="H177" s="71">
        <f t="shared" si="7"/>
        <v>0</v>
      </c>
      <c r="I177" s="71"/>
      <c r="J177" s="69">
        <f t="shared" si="6"/>
        <v>0</v>
      </c>
    </row>
    <row r="178" ht="12.75" customHeight="1" spans="1:11">
      <c r="A178" s="68"/>
      <c r="B178" s="69"/>
      <c r="C178" s="70"/>
      <c r="D178" s="126"/>
      <c r="E178" s="69"/>
      <c r="F178" s="69"/>
      <c r="G178" s="69"/>
      <c r="H178" s="71">
        <f t="shared" si="7"/>
        <v>0</v>
      </c>
      <c r="I178" s="71"/>
      <c r="J178" s="69">
        <f t="shared" si="6"/>
        <v>0</v>
      </c>
    </row>
    <row r="179" ht="12.75" customHeight="1" spans="1:11">
      <c r="A179" s="68"/>
      <c r="B179" s="69"/>
      <c r="C179" s="70"/>
      <c r="D179" s="126"/>
      <c r="E179" s="69"/>
      <c r="F179" s="69"/>
      <c r="G179" s="69"/>
      <c r="H179" s="71">
        <f t="shared" si="7"/>
        <v>0</v>
      </c>
      <c r="I179" s="71"/>
      <c r="J179" s="69">
        <f t="shared" si="6"/>
        <v>0</v>
      </c>
    </row>
    <row r="180" ht="12.75" customHeight="1" spans="1:11">
      <c r="A180" s="68"/>
      <c r="B180" s="69"/>
      <c r="C180" s="70"/>
      <c r="D180" s="126"/>
      <c r="E180" s="69"/>
      <c r="F180" s="69"/>
      <c r="G180" s="69"/>
      <c r="H180" s="71">
        <f t="shared" si="7"/>
        <v>0</v>
      </c>
      <c r="I180" s="71"/>
      <c r="J180" s="69">
        <f t="shared" si="6"/>
        <v>0</v>
      </c>
    </row>
    <row r="181" ht="12.75" customHeight="1" spans="1:11">
      <c r="A181" s="68"/>
      <c r="B181" s="69"/>
      <c r="C181" s="70"/>
      <c r="D181" s="126"/>
      <c r="E181" s="69"/>
      <c r="F181" s="69"/>
      <c r="G181" s="69"/>
      <c r="H181" s="71">
        <f t="shared" si="7"/>
        <v>0</v>
      </c>
      <c r="I181" s="71"/>
      <c r="J181" s="69">
        <f t="shared" si="6"/>
        <v>0</v>
      </c>
    </row>
    <row r="182" ht="12.75" customHeight="1" spans="1:11">
      <c r="A182" s="68"/>
      <c r="B182" s="69"/>
      <c r="C182" s="70"/>
      <c r="D182" s="126"/>
      <c r="E182" s="69"/>
      <c r="F182" s="69"/>
      <c r="G182" s="69"/>
      <c r="H182" s="71">
        <f t="shared" si="7"/>
        <v>0</v>
      </c>
      <c r="I182" s="71"/>
      <c r="J182" s="69">
        <f t="shared" si="6"/>
        <v>0</v>
      </c>
    </row>
    <row r="183" ht="12.75" customHeight="1" spans="1:11">
      <c r="A183" s="68"/>
      <c r="B183" s="69"/>
      <c r="C183" s="70"/>
      <c r="D183" s="126"/>
      <c r="E183" s="69"/>
      <c r="F183" s="69"/>
      <c r="G183" s="69"/>
      <c r="H183" s="71">
        <f t="shared" si="7"/>
        <v>0</v>
      </c>
      <c r="I183" s="71"/>
      <c r="J183" s="69">
        <f t="shared" si="6"/>
        <v>0</v>
      </c>
    </row>
    <row r="184" ht="12.75" customHeight="1" spans="1:11">
      <c r="A184" s="68"/>
      <c r="B184" s="69"/>
      <c r="C184" s="70"/>
      <c r="D184" s="126"/>
      <c r="E184" s="69"/>
      <c r="F184" s="69"/>
      <c r="G184" s="69"/>
      <c r="H184" s="71">
        <f t="shared" si="7"/>
        <v>0</v>
      </c>
      <c r="I184" s="71"/>
      <c r="J184" s="69">
        <f t="shared" si="6"/>
        <v>0</v>
      </c>
    </row>
    <row r="185" ht="12.75" customHeight="1" spans="1:11">
      <c r="A185" s="68"/>
      <c r="B185" s="69"/>
      <c r="C185" s="70"/>
      <c r="D185" s="126"/>
      <c r="E185" s="69"/>
      <c r="F185" s="69"/>
      <c r="G185" s="69"/>
      <c r="H185" s="71">
        <f t="shared" si="7"/>
        <v>0</v>
      </c>
      <c r="I185" s="71"/>
      <c r="J185" s="69">
        <f t="shared" si="6"/>
        <v>0</v>
      </c>
    </row>
    <row r="186" ht="12.75" spans="1:11">
      <c r="A186" s="68"/>
      <c r="B186" s="69"/>
      <c r="C186" s="74"/>
      <c r="D186" s="126"/>
      <c r="E186" s="69"/>
      <c r="F186" s="69"/>
      <c r="G186" s="69"/>
      <c r="H186" s="71">
        <f t="shared" si="7"/>
        <v>0</v>
      </c>
      <c r="I186" s="71">
        <f t="shared" si="2"/>
        <v>0</v>
      </c>
      <c r="J186" s="69">
        <f t="shared" si="6"/>
        <v>0</v>
      </c>
    </row>
    <row r="187" ht="11.25" spans="1:11">
      <c r="A187" s="75"/>
      <c r="B187" s="76" t="s">
        <v>124</v>
      </c>
      <c r="C187" s="77"/>
      <c r="D187" s="78">
        <f>SUM(D9:D186)</f>
        <v>374075000</v>
      </c>
      <c r="E187" s="78">
        <f t="shared" ref="E187:J187" si="8">SUM(E9:E186)</f>
        <v>16</v>
      </c>
      <c r="F187" s="78">
        <f t="shared" si="8"/>
        <v>900000</v>
      </c>
      <c r="G187" s="78">
        <f t="shared" si="8"/>
        <v>920000</v>
      </c>
      <c r="H187" s="78">
        <f t="shared" si="8"/>
        <v>1820000</v>
      </c>
      <c r="I187" s="78">
        <f t="shared" si="8"/>
        <v>373175000</v>
      </c>
      <c r="J187" s="78">
        <f t="shared" si="8"/>
        <v>92000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920000</v>
      </c>
      <c r="F190" s="129" t="s">
        <v>147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46000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506000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23000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23000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23000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23000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92000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230000</v>
      </c>
    </row>
    <row r="200" customHeight="1" spans="1:11">
      <c r="B200" s="87" t="s">
        <v>124</v>
      </c>
      <c r="C200" s="88" t="s">
        <v>128</v>
      </c>
      <c r="D200" s="87">
        <f>SUM(D193:D199)</f>
        <v>920000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44" workbookViewId="0">
      <selection activeCell="D64" sqref="D64"/>
    </sheetView>
  </sheetViews>
  <sheetFormatPr defaultColWidth="9.14285714285714" defaultRowHeight="11.1" customHeight="1"/>
  <cols>
    <col min="1" max="1" width="4.42857142857143" style="92" customWidth="1"/>
    <col min="2" max="2" width="15.1428571428571" style="92" customWidth="1"/>
    <col min="3" max="3" width="8.42857142857143" style="92" customWidth="1"/>
    <col min="4" max="4" width="12.5714285714286" style="92" customWidth="1"/>
    <col min="5" max="5" width="5.14285714285714" style="92" customWidth="1"/>
    <col min="6" max="6" width="10.2857142857143" style="92" customWidth="1"/>
    <col min="7" max="7" width="9.57142857142857" style="92" customWidth="1"/>
    <col min="8" max="8" width="9.42857142857143" style="92" customWidth="1"/>
    <col min="9" max="9" width="10.8571428571429" style="92" customWidth="1"/>
    <col min="10" max="10" width="7.85714285714286" style="92" customWidth="1"/>
    <col min="11" max="16384" width="9.14285714285714" style="92"/>
  </cols>
  <sheetData>
    <row r="1" spans="1:10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</row>
    <row r="2" spans="1:10">
      <c r="A2" s="94" t="s">
        <v>149</v>
      </c>
      <c r="B2" s="94"/>
      <c r="C2" s="94"/>
      <c r="D2" s="94"/>
      <c r="E2" s="94"/>
      <c r="F2" s="94"/>
      <c r="G2" s="94"/>
      <c r="H2" s="94"/>
      <c r="I2" s="94"/>
      <c r="J2" s="94"/>
    </row>
    <row r="3" ht="12" spans="1:10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</row>
    <row r="4" ht="11.25" spans="1:10">
      <c r="A4" s="96"/>
      <c r="B4" s="96"/>
      <c r="C4" s="96"/>
      <c r="D4" s="97"/>
      <c r="E4" s="97"/>
      <c r="F4" s="97"/>
      <c r="G4" s="97"/>
    </row>
    <row r="5" spans="1:10">
      <c r="A5" s="93" t="s">
        <v>3</v>
      </c>
      <c r="B5" s="93"/>
      <c r="C5" s="93"/>
      <c r="D5" s="93"/>
      <c r="E5" s="93"/>
      <c r="F5" s="93"/>
      <c r="G5" s="93"/>
      <c r="H5" s="93"/>
      <c r="I5" s="93"/>
      <c r="J5" s="93"/>
    </row>
    <row r="6" ht="11.25" spans="1:10">
      <c r="A6" s="98" t="s">
        <v>150</v>
      </c>
      <c r="B6" s="98"/>
      <c r="C6" s="98"/>
      <c r="D6" s="98"/>
      <c r="E6" s="98"/>
      <c r="F6" s="98"/>
      <c r="G6" s="98"/>
      <c r="H6" s="98"/>
      <c r="I6" s="98"/>
      <c r="J6" s="98"/>
    </row>
    <row r="7" ht="15" customHeight="1" spans="1:10">
      <c r="A7" s="99" t="s">
        <v>5</v>
      </c>
      <c r="B7" s="99" t="s">
        <v>6</v>
      </c>
      <c r="C7" s="99" t="s">
        <v>7</v>
      </c>
      <c r="D7" s="100"/>
      <c r="E7" s="101" t="s">
        <v>8</v>
      </c>
      <c r="F7" s="102"/>
      <c r="G7" s="102"/>
      <c r="H7" s="103"/>
      <c r="I7" s="104" t="s">
        <v>9</v>
      </c>
      <c r="J7" s="104" t="s">
        <v>10</v>
      </c>
    </row>
    <row r="8" ht="11.25" spans="1:10">
      <c r="A8" s="105"/>
      <c r="B8" s="105"/>
      <c r="C8" s="105"/>
      <c r="D8" s="106"/>
      <c r="E8" s="107" t="s">
        <v>11</v>
      </c>
      <c r="F8" s="107" t="s">
        <v>12</v>
      </c>
      <c r="G8" s="107" t="s">
        <v>13</v>
      </c>
      <c r="H8" s="107" t="s">
        <v>14</v>
      </c>
      <c r="I8" s="108"/>
      <c r="J8" s="108"/>
    </row>
    <row r="9" ht="11.25" spans="1:10">
      <c r="A9" s="109">
        <v>1</v>
      </c>
      <c r="B9" s="110" t="s">
        <v>15</v>
      </c>
      <c r="C9" s="130" t="s">
        <v>16</v>
      </c>
      <c r="D9" s="112">
        <f>'27-1-26'!I9</f>
        <v>5500000</v>
      </c>
      <c r="E9" s="110"/>
      <c r="F9" s="110">
        <v>0</v>
      </c>
      <c r="G9" s="110">
        <f t="shared" ref="G9:H24" si="0">SUM(E9:F9)</f>
        <v>0</v>
      </c>
      <c r="H9" s="112">
        <f t="shared" si="0"/>
        <v>0</v>
      </c>
      <c r="I9" s="112">
        <f>D9-F9</f>
        <v>5500000</v>
      </c>
      <c r="J9" s="110">
        <f t="shared" ref="J9:J72" si="1">1/10*G9</f>
        <v>0</v>
      </c>
    </row>
    <row r="10" ht="11.25" spans="1:10">
      <c r="A10" s="109">
        <v>2</v>
      </c>
      <c r="B10" s="110" t="s">
        <v>17</v>
      </c>
      <c r="C10" s="130" t="s">
        <v>18</v>
      </c>
      <c r="D10" s="112">
        <f>'27-1-26'!I10</f>
        <v>1910000</v>
      </c>
      <c r="E10" s="110"/>
      <c r="F10" s="110"/>
      <c r="G10" s="110"/>
      <c r="H10" s="112">
        <f t="shared" si="0"/>
        <v>0</v>
      </c>
      <c r="I10" s="112">
        <f t="shared" ref="I10:I186" si="2">D10-F10</f>
        <v>1910000</v>
      </c>
      <c r="J10" s="110">
        <f t="shared" si="1"/>
        <v>0</v>
      </c>
    </row>
    <row r="11" ht="11.25" spans="1:10">
      <c r="A11" s="109">
        <v>3</v>
      </c>
      <c r="B11" s="110" t="s">
        <v>19</v>
      </c>
      <c r="C11" s="130" t="s">
        <v>20</v>
      </c>
      <c r="D11" s="112">
        <f>'27-1-26'!I11</f>
        <v>1750000</v>
      </c>
      <c r="E11" s="110"/>
      <c r="F11" s="110"/>
      <c r="G11" s="110"/>
      <c r="H11" s="112">
        <f t="shared" si="0"/>
        <v>0</v>
      </c>
      <c r="I11" s="112">
        <f t="shared" si="2"/>
        <v>1750000</v>
      </c>
      <c r="J11" s="110">
        <f t="shared" si="1"/>
        <v>0</v>
      </c>
    </row>
    <row r="12" ht="11.25" spans="1:10">
      <c r="A12" s="109">
        <v>4</v>
      </c>
      <c r="B12" s="110" t="s">
        <v>21</v>
      </c>
      <c r="C12" s="130" t="s">
        <v>22</v>
      </c>
      <c r="D12" s="112">
        <f>'27-1-26'!I12</f>
        <v>13750000</v>
      </c>
      <c r="E12" s="110"/>
      <c r="F12" s="110"/>
      <c r="G12" s="110"/>
      <c r="H12" s="112">
        <f t="shared" si="0"/>
        <v>0</v>
      </c>
      <c r="I12" s="112">
        <f t="shared" si="2"/>
        <v>13750000</v>
      </c>
      <c r="J12" s="110">
        <f t="shared" si="1"/>
        <v>0</v>
      </c>
    </row>
    <row r="13" ht="11.25" spans="1:10">
      <c r="A13" s="109">
        <v>5</v>
      </c>
      <c r="B13" s="110" t="s">
        <v>23</v>
      </c>
      <c r="C13" s="130" t="s">
        <v>24</v>
      </c>
      <c r="D13" s="112">
        <f>'27-1-26'!I13</f>
        <v>19950000</v>
      </c>
      <c r="E13" s="110"/>
      <c r="F13" s="110"/>
      <c r="G13" s="110"/>
      <c r="H13" s="112">
        <f t="shared" si="0"/>
        <v>0</v>
      </c>
      <c r="I13" s="112">
        <f t="shared" si="2"/>
        <v>19950000</v>
      </c>
      <c r="J13" s="110">
        <f t="shared" si="1"/>
        <v>0</v>
      </c>
    </row>
    <row r="14" ht="11.25" spans="1:10">
      <c r="A14" s="109">
        <v>6</v>
      </c>
      <c r="B14" s="110" t="s">
        <v>25</v>
      </c>
      <c r="C14" s="130" t="s">
        <v>26</v>
      </c>
      <c r="D14" s="112">
        <f>'27-1-26'!I14</f>
        <v>100000</v>
      </c>
      <c r="E14" s="110"/>
      <c r="F14" s="110"/>
      <c r="G14" s="110"/>
      <c r="H14" s="112">
        <f t="shared" si="0"/>
        <v>0</v>
      </c>
      <c r="I14" s="112">
        <f t="shared" si="2"/>
        <v>100000</v>
      </c>
      <c r="J14" s="110">
        <f t="shared" si="1"/>
        <v>0</v>
      </c>
    </row>
    <row r="15" ht="11.25" spans="1:10">
      <c r="A15" s="109">
        <v>7</v>
      </c>
      <c r="B15" s="110" t="s">
        <v>27</v>
      </c>
      <c r="C15" s="130" t="s">
        <v>28</v>
      </c>
      <c r="D15" s="112">
        <f>'27-1-26'!I15</f>
        <v>10500000</v>
      </c>
      <c r="E15" s="110"/>
      <c r="F15" s="110"/>
      <c r="G15" s="110"/>
      <c r="H15" s="112">
        <f t="shared" si="0"/>
        <v>0</v>
      </c>
      <c r="I15" s="112">
        <f t="shared" si="2"/>
        <v>10500000</v>
      </c>
      <c r="J15" s="110">
        <f t="shared" si="1"/>
        <v>0</v>
      </c>
    </row>
    <row r="16" ht="11.25" spans="1:10">
      <c r="A16" s="109">
        <v>8</v>
      </c>
      <c r="B16" s="110" t="s">
        <v>29</v>
      </c>
      <c r="C16" s="130" t="s">
        <v>30</v>
      </c>
      <c r="D16" s="112">
        <f>'27-1-26'!I16</f>
        <v>15310000</v>
      </c>
      <c r="E16" s="110"/>
      <c r="F16" s="110"/>
      <c r="G16" s="110"/>
      <c r="H16" s="112">
        <f t="shared" si="0"/>
        <v>0</v>
      </c>
      <c r="I16" s="112">
        <f t="shared" si="2"/>
        <v>15310000</v>
      </c>
      <c r="J16" s="110">
        <f t="shared" si="1"/>
        <v>0</v>
      </c>
    </row>
    <row r="17" ht="11.25" spans="1:10">
      <c r="A17" s="109">
        <v>9</v>
      </c>
      <c r="B17" s="110" t="s">
        <v>31</v>
      </c>
      <c r="C17" s="131" t="s">
        <v>32</v>
      </c>
      <c r="D17" s="112">
        <f>'27-1-26'!I17</f>
        <v>6500000</v>
      </c>
      <c r="E17" s="110"/>
      <c r="F17" s="110"/>
      <c r="G17" s="110"/>
      <c r="H17" s="112">
        <f t="shared" si="0"/>
        <v>0</v>
      </c>
      <c r="I17" s="112">
        <f t="shared" si="2"/>
        <v>6500000</v>
      </c>
      <c r="J17" s="110">
        <f t="shared" si="1"/>
        <v>0</v>
      </c>
    </row>
    <row r="18" ht="11.25" spans="1:10">
      <c r="A18" s="109">
        <v>10</v>
      </c>
      <c r="B18" s="110" t="s">
        <v>33</v>
      </c>
      <c r="C18" s="131" t="s">
        <v>34</v>
      </c>
      <c r="D18" s="112">
        <f>'27-1-26'!I18</f>
        <v>12595000</v>
      </c>
      <c r="E18" s="110"/>
      <c r="F18" s="110"/>
      <c r="G18" s="110"/>
      <c r="H18" s="112">
        <f t="shared" si="0"/>
        <v>0</v>
      </c>
      <c r="I18" s="112">
        <f t="shared" si="2"/>
        <v>12595000</v>
      </c>
      <c r="J18" s="110">
        <f t="shared" si="1"/>
        <v>0</v>
      </c>
    </row>
    <row r="19" ht="11.25" spans="1:10">
      <c r="A19" s="109">
        <v>14</v>
      </c>
      <c r="B19" s="110" t="s">
        <v>35</v>
      </c>
      <c r="C19" s="131" t="s">
        <v>36</v>
      </c>
      <c r="D19" s="112">
        <f>'27-1-26'!I19</f>
        <v>4000000</v>
      </c>
      <c r="E19" s="110"/>
      <c r="F19" s="110"/>
      <c r="G19" s="110"/>
      <c r="H19" s="112">
        <f t="shared" si="0"/>
        <v>0</v>
      </c>
      <c r="I19" s="112">
        <f t="shared" si="2"/>
        <v>4000000</v>
      </c>
      <c r="J19" s="110">
        <f t="shared" si="1"/>
        <v>0</v>
      </c>
    </row>
    <row r="20" ht="11.25" spans="1:10">
      <c r="A20" s="109">
        <v>18</v>
      </c>
      <c r="B20" s="110" t="s">
        <v>37</v>
      </c>
      <c r="C20" s="131" t="s">
        <v>38</v>
      </c>
      <c r="D20" s="112">
        <f>'27-1-26'!I20</f>
        <v>42000000</v>
      </c>
      <c r="E20" s="110"/>
      <c r="F20" s="110"/>
      <c r="G20" s="110"/>
      <c r="H20" s="112">
        <f t="shared" si="0"/>
        <v>0</v>
      </c>
      <c r="I20" s="112">
        <f t="shared" si="2"/>
        <v>42000000</v>
      </c>
      <c r="J20" s="110">
        <f t="shared" si="1"/>
        <v>0</v>
      </c>
    </row>
    <row r="21" ht="11.25" spans="1:10">
      <c r="A21" s="109">
        <v>19</v>
      </c>
      <c r="B21" s="110" t="s">
        <v>39</v>
      </c>
      <c r="C21" s="131" t="s">
        <v>40</v>
      </c>
      <c r="D21" s="112">
        <f>'27-1-26'!I21</f>
        <v>12680000</v>
      </c>
      <c r="E21" s="110"/>
      <c r="F21" s="110"/>
      <c r="G21" s="110"/>
      <c r="H21" s="112">
        <f t="shared" si="0"/>
        <v>0</v>
      </c>
      <c r="I21" s="112">
        <f t="shared" si="2"/>
        <v>12680000</v>
      </c>
      <c r="J21" s="110">
        <f t="shared" si="1"/>
        <v>0</v>
      </c>
    </row>
    <row r="22" ht="11.25" spans="1:10">
      <c r="A22" s="109">
        <v>22</v>
      </c>
      <c r="B22" s="110" t="s">
        <v>41</v>
      </c>
      <c r="C22" s="131" t="s">
        <v>42</v>
      </c>
      <c r="D22" s="112">
        <f>'27-1-26'!I22</f>
        <v>0</v>
      </c>
      <c r="E22" s="110"/>
      <c r="F22" s="110"/>
      <c r="G22" s="110"/>
      <c r="H22" s="112">
        <f t="shared" si="0"/>
        <v>0</v>
      </c>
      <c r="I22" s="112">
        <f t="shared" si="2"/>
        <v>0</v>
      </c>
      <c r="J22" s="110">
        <f t="shared" si="1"/>
        <v>0</v>
      </c>
    </row>
    <row r="23" ht="11.25" spans="1:10">
      <c r="A23" s="109">
        <v>23</v>
      </c>
      <c r="B23" s="110" t="s">
        <v>43</v>
      </c>
      <c r="C23" s="131" t="s">
        <v>42</v>
      </c>
      <c r="D23" s="112">
        <f>'27-1-26'!I23</f>
        <v>1500000</v>
      </c>
      <c r="E23" s="110"/>
      <c r="F23" s="110"/>
      <c r="G23" s="110"/>
      <c r="H23" s="112">
        <f t="shared" si="0"/>
        <v>0</v>
      </c>
      <c r="I23" s="112">
        <f t="shared" si="2"/>
        <v>1500000</v>
      </c>
      <c r="J23" s="110">
        <f t="shared" si="1"/>
        <v>0</v>
      </c>
    </row>
    <row r="24" ht="11.25" spans="1:10">
      <c r="A24" s="109">
        <v>24</v>
      </c>
      <c r="B24" s="110" t="s">
        <v>44</v>
      </c>
      <c r="C24" s="131" t="s">
        <v>42</v>
      </c>
      <c r="D24" s="112">
        <f>'27-1-26'!I24</f>
        <v>600000</v>
      </c>
      <c r="E24" s="110"/>
      <c r="F24" s="110"/>
      <c r="G24" s="110"/>
      <c r="H24" s="112">
        <f t="shared" si="0"/>
        <v>0</v>
      </c>
      <c r="I24" s="112">
        <f t="shared" si="2"/>
        <v>600000</v>
      </c>
      <c r="J24" s="110">
        <f t="shared" si="1"/>
        <v>0</v>
      </c>
    </row>
    <row r="25" ht="11.25" spans="1:10">
      <c r="A25" s="109">
        <v>25</v>
      </c>
      <c r="B25" s="110" t="s">
        <v>45</v>
      </c>
      <c r="C25" s="131" t="s">
        <v>46</v>
      </c>
      <c r="D25" s="112">
        <f>'27-1-26'!I25</f>
        <v>22200000</v>
      </c>
      <c r="E25" s="110"/>
      <c r="F25" s="110"/>
      <c r="G25" s="110"/>
      <c r="H25" s="112">
        <f t="shared" ref="H25:H83" si="3">SUM(F25:G25)</f>
        <v>0</v>
      </c>
      <c r="I25" s="112">
        <f t="shared" si="2"/>
        <v>22200000</v>
      </c>
      <c r="J25" s="110">
        <f t="shared" si="1"/>
        <v>0</v>
      </c>
    </row>
    <row r="26" ht="11.25" spans="1:10">
      <c r="A26" s="109">
        <v>26</v>
      </c>
      <c r="B26" s="110" t="s">
        <v>47</v>
      </c>
      <c r="C26" s="131" t="s">
        <v>48</v>
      </c>
      <c r="D26" s="112">
        <f>'27-1-26'!I26</f>
        <v>3800000</v>
      </c>
      <c r="E26" s="110"/>
      <c r="F26" s="110"/>
      <c r="G26" s="110"/>
      <c r="H26" s="112">
        <f t="shared" si="3"/>
        <v>0</v>
      </c>
      <c r="I26" s="112">
        <f t="shared" si="2"/>
        <v>3800000</v>
      </c>
      <c r="J26" s="110">
        <f t="shared" si="1"/>
        <v>0</v>
      </c>
    </row>
    <row r="27" ht="11.25" spans="1:10">
      <c r="A27" s="109">
        <v>29</v>
      </c>
      <c r="B27" s="110" t="s">
        <v>49</v>
      </c>
      <c r="C27" s="131" t="s">
        <v>50</v>
      </c>
      <c r="D27" s="112">
        <f>'27-1-26'!I27</f>
        <v>1030000</v>
      </c>
      <c r="E27" s="110"/>
      <c r="F27" s="110"/>
      <c r="G27" s="110"/>
      <c r="H27" s="112">
        <f t="shared" si="3"/>
        <v>0</v>
      </c>
      <c r="I27" s="112">
        <f t="shared" si="2"/>
        <v>1030000</v>
      </c>
      <c r="J27" s="110">
        <f t="shared" si="1"/>
        <v>0</v>
      </c>
    </row>
    <row r="28" ht="11.25" spans="1:10">
      <c r="A28" s="109">
        <v>30</v>
      </c>
      <c r="B28" s="110" t="s">
        <v>51</v>
      </c>
      <c r="C28" s="131" t="s">
        <v>52</v>
      </c>
      <c r="D28" s="112">
        <f>'27-1-26'!I28</f>
        <v>0</v>
      </c>
      <c r="E28" s="110"/>
      <c r="F28" s="110"/>
      <c r="G28" s="110"/>
      <c r="H28" s="112">
        <f t="shared" si="3"/>
        <v>0</v>
      </c>
      <c r="I28" s="112">
        <f t="shared" si="2"/>
        <v>0</v>
      </c>
      <c r="J28" s="110">
        <f t="shared" si="1"/>
        <v>0</v>
      </c>
    </row>
    <row r="29" ht="11.25" spans="1:10">
      <c r="A29" s="109">
        <v>31</v>
      </c>
      <c r="B29" s="110" t="s">
        <v>53</v>
      </c>
      <c r="C29" s="131" t="s">
        <v>54</v>
      </c>
      <c r="D29" s="112">
        <f>'27-1-26'!I29</f>
        <v>0</v>
      </c>
      <c r="E29" s="110"/>
      <c r="F29" s="110"/>
      <c r="G29" s="110"/>
      <c r="H29" s="112">
        <f t="shared" si="3"/>
        <v>0</v>
      </c>
      <c r="I29" s="112">
        <f t="shared" si="2"/>
        <v>0</v>
      </c>
      <c r="J29" s="110">
        <f t="shared" si="1"/>
        <v>0</v>
      </c>
    </row>
    <row r="30" ht="11.25" spans="1:10">
      <c r="A30" s="109">
        <v>33</v>
      </c>
      <c r="B30" s="110" t="s">
        <v>55</v>
      </c>
      <c r="C30" s="131" t="s">
        <v>56</v>
      </c>
      <c r="D30" s="112">
        <f>'27-1-26'!I30</f>
        <v>2750000</v>
      </c>
      <c r="E30" s="110"/>
      <c r="F30" s="110"/>
      <c r="G30" s="110"/>
      <c r="H30" s="112">
        <f t="shared" si="3"/>
        <v>0</v>
      </c>
      <c r="I30" s="112">
        <f t="shared" si="2"/>
        <v>2750000</v>
      </c>
      <c r="J30" s="110">
        <f t="shared" si="1"/>
        <v>0</v>
      </c>
    </row>
    <row r="31" ht="11.25" spans="1:10">
      <c r="A31" s="109">
        <v>34</v>
      </c>
      <c r="B31" s="110" t="s">
        <v>57</v>
      </c>
      <c r="C31" s="131" t="s">
        <v>58</v>
      </c>
      <c r="D31" s="112">
        <f>'27-1-26'!I31</f>
        <v>1250000</v>
      </c>
      <c r="E31" s="110"/>
      <c r="F31" s="110"/>
      <c r="G31" s="110"/>
      <c r="H31" s="112">
        <f t="shared" si="3"/>
        <v>0</v>
      </c>
      <c r="I31" s="112">
        <f t="shared" si="2"/>
        <v>1250000</v>
      </c>
      <c r="J31" s="110">
        <f t="shared" si="1"/>
        <v>0</v>
      </c>
    </row>
    <row r="32" ht="11.25" spans="1:10">
      <c r="A32" s="109">
        <v>35</v>
      </c>
      <c r="B32" s="110" t="s">
        <v>59</v>
      </c>
      <c r="C32" s="131" t="s">
        <v>58</v>
      </c>
      <c r="D32" s="112">
        <f>'27-1-26'!I32</f>
        <v>12000000</v>
      </c>
      <c r="E32" s="110"/>
      <c r="F32" s="110"/>
      <c r="G32" s="110"/>
      <c r="H32" s="112">
        <f t="shared" si="3"/>
        <v>0</v>
      </c>
      <c r="I32" s="112">
        <f t="shared" si="2"/>
        <v>12000000</v>
      </c>
      <c r="J32" s="110">
        <f t="shared" si="1"/>
        <v>0</v>
      </c>
    </row>
    <row r="33" ht="11.25" spans="1:10">
      <c r="A33" s="109">
        <v>41</v>
      </c>
      <c r="B33" s="110" t="s">
        <v>60</v>
      </c>
      <c r="C33" s="130" t="s">
        <v>61</v>
      </c>
      <c r="D33" s="112">
        <f>'27-1-26'!I33</f>
        <v>750000</v>
      </c>
      <c r="E33" s="110"/>
      <c r="F33" s="110"/>
      <c r="G33" s="110"/>
      <c r="H33" s="112">
        <f t="shared" si="3"/>
        <v>0</v>
      </c>
      <c r="I33" s="112">
        <f t="shared" si="2"/>
        <v>750000</v>
      </c>
      <c r="J33" s="110">
        <f t="shared" si="1"/>
        <v>0</v>
      </c>
    </row>
    <row r="34" ht="11.25" spans="1:10">
      <c r="A34" s="109">
        <v>43</v>
      </c>
      <c r="B34" s="110" t="s">
        <v>62</v>
      </c>
      <c r="C34" s="130" t="s">
        <v>63</v>
      </c>
      <c r="D34" s="112">
        <f>'27-1-26'!I34</f>
        <v>2800000</v>
      </c>
      <c r="E34" s="110"/>
      <c r="F34" s="110"/>
      <c r="G34" s="110"/>
      <c r="H34" s="112">
        <f t="shared" si="3"/>
        <v>0</v>
      </c>
      <c r="I34" s="112">
        <f t="shared" si="2"/>
        <v>2800000</v>
      </c>
      <c r="J34" s="110">
        <f t="shared" si="1"/>
        <v>0</v>
      </c>
    </row>
    <row r="35" ht="11.25" spans="1:10">
      <c r="A35" s="109">
        <v>44</v>
      </c>
      <c r="B35" s="110" t="s">
        <v>64</v>
      </c>
      <c r="C35" s="130" t="s">
        <v>63</v>
      </c>
      <c r="D35" s="112">
        <f>'27-1-26'!I35</f>
        <v>3500000</v>
      </c>
      <c r="E35" s="110"/>
      <c r="F35" s="110"/>
      <c r="G35" s="110"/>
      <c r="H35" s="112">
        <f t="shared" si="3"/>
        <v>0</v>
      </c>
      <c r="I35" s="112">
        <f t="shared" si="2"/>
        <v>3500000</v>
      </c>
      <c r="J35" s="110">
        <f t="shared" si="1"/>
        <v>0</v>
      </c>
    </row>
    <row r="36" ht="11.25" spans="1:10">
      <c r="A36" s="109">
        <v>47</v>
      </c>
      <c r="B36" s="110" t="s">
        <v>65</v>
      </c>
      <c r="C36" s="130" t="s">
        <v>66</v>
      </c>
      <c r="D36" s="112">
        <f>'27-1-26'!I36</f>
        <v>12000000</v>
      </c>
      <c r="E36" s="110">
        <v>21</v>
      </c>
      <c r="F36" s="110">
        <v>1400000</v>
      </c>
      <c r="G36" s="110">
        <v>800000</v>
      </c>
      <c r="H36" s="112">
        <f t="shared" si="3"/>
        <v>2200000</v>
      </c>
      <c r="I36" s="112">
        <f t="shared" si="2"/>
        <v>10600000</v>
      </c>
      <c r="J36" s="110">
        <f t="shared" si="1"/>
        <v>80000</v>
      </c>
    </row>
    <row r="37" ht="11.25" spans="1:10">
      <c r="A37" s="109">
        <v>49</v>
      </c>
      <c r="B37" s="110" t="s">
        <v>67</v>
      </c>
      <c r="C37" s="130" t="s">
        <v>68</v>
      </c>
      <c r="D37" s="112">
        <f>'27-1-26'!I37</f>
        <v>1250000</v>
      </c>
      <c r="E37" s="110"/>
      <c r="F37" s="110"/>
      <c r="G37" s="110"/>
      <c r="H37" s="112">
        <f t="shared" si="3"/>
        <v>0</v>
      </c>
      <c r="I37" s="112">
        <f t="shared" si="2"/>
        <v>1250000</v>
      </c>
      <c r="J37" s="110">
        <f t="shared" si="1"/>
        <v>0</v>
      </c>
    </row>
    <row r="38" ht="11.25" spans="1:10">
      <c r="A38" s="109">
        <v>52</v>
      </c>
      <c r="B38" s="110" t="s">
        <v>69</v>
      </c>
      <c r="C38" s="130" t="s">
        <v>70</v>
      </c>
      <c r="D38" s="112">
        <f>'27-1-26'!I38</f>
        <v>5800000</v>
      </c>
      <c r="E38" s="110"/>
      <c r="F38" s="110"/>
      <c r="G38" s="110"/>
      <c r="H38" s="112">
        <f t="shared" si="3"/>
        <v>0</v>
      </c>
      <c r="I38" s="112">
        <f t="shared" si="2"/>
        <v>5800000</v>
      </c>
      <c r="J38" s="110">
        <f t="shared" si="1"/>
        <v>0</v>
      </c>
    </row>
    <row r="39" ht="11.25" spans="1:10">
      <c r="A39" s="109">
        <v>60</v>
      </c>
      <c r="B39" s="110" t="s">
        <v>71</v>
      </c>
      <c r="C39" s="130" t="s">
        <v>72</v>
      </c>
      <c r="D39" s="112">
        <f>'27-1-26'!I39</f>
        <v>14320000</v>
      </c>
      <c r="E39" s="110"/>
      <c r="F39" s="110"/>
      <c r="G39" s="110"/>
      <c r="H39" s="112">
        <f t="shared" si="3"/>
        <v>0</v>
      </c>
      <c r="I39" s="112">
        <f t="shared" si="2"/>
        <v>14320000</v>
      </c>
      <c r="J39" s="110">
        <f t="shared" si="1"/>
        <v>0</v>
      </c>
    </row>
    <row r="40" ht="11.25" spans="1:10">
      <c r="A40" s="109">
        <v>62</v>
      </c>
      <c r="B40" s="110" t="s">
        <v>73</v>
      </c>
      <c r="C40" s="130" t="s">
        <v>74</v>
      </c>
      <c r="D40" s="112">
        <f>'27-1-26'!I40</f>
        <v>400000</v>
      </c>
      <c r="E40" s="110"/>
      <c r="F40" s="110"/>
      <c r="G40" s="110"/>
      <c r="H40" s="112">
        <f t="shared" si="3"/>
        <v>0</v>
      </c>
      <c r="I40" s="112">
        <f t="shared" si="2"/>
        <v>400000</v>
      </c>
      <c r="J40" s="110">
        <f t="shared" si="1"/>
        <v>0</v>
      </c>
    </row>
    <row r="41" ht="11.25" spans="1:10">
      <c r="A41" s="109">
        <v>64</v>
      </c>
      <c r="B41" s="110" t="s">
        <v>75</v>
      </c>
      <c r="C41" s="130" t="s">
        <v>76</v>
      </c>
      <c r="D41" s="112">
        <f>'27-1-26'!I41</f>
        <v>1800000</v>
      </c>
      <c r="E41" s="110"/>
      <c r="F41" s="110"/>
      <c r="G41" s="110"/>
      <c r="H41" s="112">
        <f t="shared" si="3"/>
        <v>0</v>
      </c>
      <c r="I41" s="112">
        <f t="shared" si="2"/>
        <v>1800000</v>
      </c>
      <c r="J41" s="110">
        <f t="shared" si="1"/>
        <v>0</v>
      </c>
    </row>
    <row r="42" ht="11.25" spans="1:10">
      <c r="A42" s="109">
        <v>65</v>
      </c>
      <c r="B42" s="110" t="s">
        <v>77</v>
      </c>
      <c r="C42" s="130" t="s">
        <v>78</v>
      </c>
      <c r="D42" s="112">
        <f>'27-1-26'!I42</f>
        <v>1200000</v>
      </c>
      <c r="E42" s="110"/>
      <c r="F42" s="110"/>
      <c r="G42" s="110"/>
      <c r="H42" s="112">
        <f t="shared" si="3"/>
        <v>0</v>
      </c>
      <c r="I42" s="112">
        <f t="shared" si="2"/>
        <v>1200000</v>
      </c>
      <c r="J42" s="110">
        <f t="shared" si="1"/>
        <v>0</v>
      </c>
    </row>
    <row r="43" ht="11.25" spans="1:10">
      <c r="A43" s="109">
        <v>69</v>
      </c>
      <c r="B43" s="110" t="s">
        <v>79</v>
      </c>
      <c r="C43" s="130" t="s">
        <v>80</v>
      </c>
      <c r="D43" s="112">
        <f>'27-1-26'!I43</f>
        <v>6000000</v>
      </c>
      <c r="E43" s="110">
        <v>14</v>
      </c>
      <c r="F43" s="110">
        <v>750000</v>
      </c>
      <c r="G43" s="110">
        <v>300000</v>
      </c>
      <c r="H43" s="112">
        <f t="shared" si="3"/>
        <v>1050000</v>
      </c>
      <c r="I43" s="112">
        <f t="shared" si="2"/>
        <v>5250000</v>
      </c>
      <c r="J43" s="110">
        <f t="shared" si="1"/>
        <v>30000</v>
      </c>
    </row>
    <row r="44" ht="11.25" spans="1:10">
      <c r="A44" s="109">
        <v>70</v>
      </c>
      <c r="B44" s="110" t="s">
        <v>81</v>
      </c>
      <c r="C44" s="130" t="s">
        <v>82</v>
      </c>
      <c r="D44" s="112">
        <f>'27-1-26'!I44</f>
        <v>10320000</v>
      </c>
      <c r="E44" s="110"/>
      <c r="F44" s="110"/>
      <c r="G44" s="110"/>
      <c r="H44" s="112">
        <f t="shared" si="3"/>
        <v>0</v>
      </c>
      <c r="I44" s="112">
        <f t="shared" si="2"/>
        <v>10320000</v>
      </c>
      <c r="J44" s="110">
        <f t="shared" si="1"/>
        <v>0</v>
      </c>
    </row>
    <row r="45" ht="11.25" spans="1:10">
      <c r="A45" s="109">
        <v>71</v>
      </c>
      <c r="B45" s="110" t="s">
        <v>83</v>
      </c>
      <c r="C45" s="111" t="s">
        <v>84</v>
      </c>
      <c r="D45" s="112">
        <f>'27-1-26'!I45</f>
        <v>11250000</v>
      </c>
      <c r="E45" s="110">
        <v>11</v>
      </c>
      <c r="F45" s="110">
        <v>375000</v>
      </c>
      <c r="G45" s="110">
        <v>300000</v>
      </c>
      <c r="H45" s="112">
        <f t="shared" si="3"/>
        <v>675000</v>
      </c>
      <c r="I45" s="112">
        <f t="shared" si="2"/>
        <v>10875000</v>
      </c>
      <c r="J45" s="110">
        <f t="shared" si="1"/>
        <v>30000</v>
      </c>
    </row>
    <row r="46" ht="11.25" spans="1:10">
      <c r="A46" s="109">
        <v>73</v>
      </c>
      <c r="B46" s="110" t="s">
        <v>85</v>
      </c>
      <c r="C46" s="130" t="s">
        <v>86</v>
      </c>
      <c r="D46" s="112">
        <f>'27-1-26'!I46</f>
        <v>600000</v>
      </c>
      <c r="E46" s="110"/>
      <c r="F46" s="110"/>
      <c r="G46" s="110"/>
      <c r="H46" s="112">
        <f t="shared" si="3"/>
        <v>0</v>
      </c>
      <c r="I46" s="112">
        <f t="shared" si="2"/>
        <v>600000</v>
      </c>
      <c r="J46" s="110">
        <f t="shared" si="1"/>
        <v>0</v>
      </c>
    </row>
    <row r="47" ht="11.25" spans="1:10">
      <c r="A47" s="109">
        <v>76</v>
      </c>
      <c r="B47" s="110" t="s">
        <v>87</v>
      </c>
      <c r="C47" s="130" t="s">
        <v>88</v>
      </c>
      <c r="D47" s="112">
        <f>'27-1-26'!I47</f>
        <v>9600000</v>
      </c>
      <c r="E47" s="110"/>
      <c r="F47" s="110"/>
      <c r="G47" s="110"/>
      <c r="H47" s="112">
        <f t="shared" si="3"/>
        <v>0</v>
      </c>
      <c r="I47" s="112">
        <f t="shared" si="2"/>
        <v>9600000</v>
      </c>
      <c r="J47" s="110">
        <f t="shared" si="1"/>
        <v>0</v>
      </c>
    </row>
    <row r="48" ht="11.25" spans="1:10">
      <c r="A48" s="109">
        <v>77</v>
      </c>
      <c r="B48" s="110" t="s">
        <v>89</v>
      </c>
      <c r="C48" s="130" t="s">
        <v>88</v>
      </c>
      <c r="D48" s="112">
        <f>'27-1-26'!I48</f>
        <v>1200000</v>
      </c>
      <c r="E48" s="110"/>
      <c r="F48" s="110"/>
      <c r="G48" s="110"/>
      <c r="H48" s="112">
        <f t="shared" si="3"/>
        <v>0</v>
      </c>
      <c r="I48" s="112">
        <f t="shared" si="2"/>
        <v>1200000</v>
      </c>
      <c r="J48" s="110">
        <f t="shared" si="1"/>
        <v>0</v>
      </c>
    </row>
    <row r="49" ht="11.25" spans="1:10">
      <c r="A49" s="109">
        <v>80</v>
      </c>
      <c r="B49" s="110" t="s">
        <v>90</v>
      </c>
      <c r="C49" s="130" t="s">
        <v>91</v>
      </c>
      <c r="D49" s="112">
        <f>'27-1-26'!I49</f>
        <v>9900000</v>
      </c>
      <c r="E49" s="110"/>
      <c r="F49" s="110"/>
      <c r="G49" s="110"/>
      <c r="H49" s="112">
        <f t="shared" si="3"/>
        <v>0</v>
      </c>
      <c r="I49" s="112">
        <f t="shared" si="2"/>
        <v>9900000</v>
      </c>
      <c r="J49" s="110">
        <f t="shared" si="1"/>
        <v>0</v>
      </c>
    </row>
    <row r="50" ht="11.25" spans="1:10">
      <c r="A50" s="109">
        <v>82</v>
      </c>
      <c r="B50" s="110" t="s">
        <v>92</v>
      </c>
      <c r="C50" s="130" t="s">
        <v>93</v>
      </c>
      <c r="D50" s="112">
        <f>'27-1-26'!I50</f>
        <v>0</v>
      </c>
      <c r="E50" s="110"/>
      <c r="F50" s="110"/>
      <c r="G50" s="110"/>
      <c r="H50" s="112">
        <f t="shared" si="3"/>
        <v>0</v>
      </c>
      <c r="I50" s="112">
        <f t="shared" si="2"/>
        <v>0</v>
      </c>
      <c r="J50" s="110">
        <f t="shared" si="1"/>
        <v>0</v>
      </c>
    </row>
    <row r="51" ht="11.25" spans="1:10">
      <c r="A51" s="109">
        <v>86</v>
      </c>
      <c r="B51" s="110" t="s">
        <v>94</v>
      </c>
      <c r="C51" s="111" t="s">
        <v>95</v>
      </c>
      <c r="D51" s="112">
        <f>'27-1-26'!I51</f>
        <v>16400000</v>
      </c>
      <c r="E51" s="110"/>
      <c r="F51" s="110"/>
      <c r="G51" s="110"/>
      <c r="H51" s="112">
        <f t="shared" si="3"/>
        <v>0</v>
      </c>
      <c r="I51" s="112">
        <f t="shared" si="2"/>
        <v>16400000</v>
      </c>
      <c r="J51" s="110">
        <f t="shared" si="1"/>
        <v>0</v>
      </c>
    </row>
    <row r="52" ht="11.25" spans="1:10">
      <c r="A52" s="109">
        <v>87</v>
      </c>
      <c r="B52" s="110" t="s">
        <v>96</v>
      </c>
      <c r="C52" s="111" t="s">
        <v>97</v>
      </c>
      <c r="D52" s="112">
        <f>'27-1-26'!I52</f>
        <v>25400000</v>
      </c>
      <c r="E52" s="110">
        <v>7</v>
      </c>
      <c r="F52" s="110">
        <v>400000</v>
      </c>
      <c r="G52" s="110">
        <v>600000</v>
      </c>
      <c r="H52" s="112">
        <f t="shared" si="3"/>
        <v>1000000</v>
      </c>
      <c r="I52" s="112">
        <f t="shared" si="2"/>
        <v>25000000</v>
      </c>
      <c r="J52" s="110">
        <f t="shared" si="1"/>
        <v>60000</v>
      </c>
    </row>
    <row r="53" ht="11.25" spans="1:10">
      <c r="A53" s="109">
        <v>89</v>
      </c>
      <c r="B53" s="110" t="s">
        <v>98</v>
      </c>
      <c r="C53" s="130" t="s">
        <v>99</v>
      </c>
      <c r="D53" s="112">
        <f>'27-1-26'!I53</f>
        <v>100000</v>
      </c>
      <c r="E53" s="110"/>
      <c r="F53" s="110"/>
      <c r="G53" s="110"/>
      <c r="H53" s="112">
        <f t="shared" si="3"/>
        <v>0</v>
      </c>
      <c r="I53" s="112">
        <f t="shared" si="2"/>
        <v>100000</v>
      </c>
      <c r="J53" s="110">
        <f t="shared" si="1"/>
        <v>0</v>
      </c>
    </row>
    <row r="54" ht="11.25" spans="1:10">
      <c r="A54" s="109">
        <v>91</v>
      </c>
      <c r="B54" s="110" t="s">
        <v>100</v>
      </c>
      <c r="C54" s="130" t="s">
        <v>99</v>
      </c>
      <c r="D54" s="112">
        <f>'27-1-26'!I54</f>
        <v>4800000</v>
      </c>
      <c r="E54" s="110"/>
      <c r="F54" s="110"/>
      <c r="G54" s="110"/>
      <c r="H54" s="112">
        <f t="shared" si="3"/>
        <v>0</v>
      </c>
      <c r="I54" s="112">
        <f t="shared" si="2"/>
        <v>4800000</v>
      </c>
      <c r="J54" s="110">
        <f t="shared" si="1"/>
        <v>0</v>
      </c>
    </row>
    <row r="55" ht="11.25" spans="1:10">
      <c r="A55" s="109">
        <v>92</v>
      </c>
      <c r="B55" s="110" t="s">
        <v>101</v>
      </c>
      <c r="C55" s="130" t="s">
        <v>102</v>
      </c>
      <c r="D55" s="112">
        <f>'27-1-26'!I55</f>
        <v>7460000</v>
      </c>
      <c r="E55" s="110"/>
      <c r="F55" s="110"/>
      <c r="G55" s="110"/>
      <c r="H55" s="112">
        <f t="shared" si="3"/>
        <v>0</v>
      </c>
      <c r="I55" s="112">
        <f t="shared" si="2"/>
        <v>7460000</v>
      </c>
      <c r="J55" s="110">
        <f t="shared" si="1"/>
        <v>0</v>
      </c>
    </row>
    <row r="56" ht="11.25" spans="1:10">
      <c r="A56" s="109">
        <v>93</v>
      </c>
      <c r="B56" s="110" t="s">
        <v>103</v>
      </c>
      <c r="C56" s="130" t="s">
        <v>102</v>
      </c>
      <c r="D56" s="112">
        <f>'27-1-26'!I56</f>
        <v>600000</v>
      </c>
      <c r="E56" s="110"/>
      <c r="F56" s="110"/>
      <c r="G56" s="110"/>
      <c r="H56" s="112">
        <f t="shared" si="3"/>
        <v>0</v>
      </c>
      <c r="I56" s="112">
        <f t="shared" si="2"/>
        <v>600000</v>
      </c>
      <c r="J56" s="110">
        <f t="shared" si="1"/>
        <v>0</v>
      </c>
    </row>
    <row r="57" ht="11.25" spans="1:10">
      <c r="A57" s="109">
        <v>94</v>
      </c>
      <c r="B57" s="110" t="s">
        <v>104</v>
      </c>
      <c r="C57" s="130" t="s">
        <v>102</v>
      </c>
      <c r="D57" s="112">
        <f>'27-1-26'!I57</f>
        <v>20000000</v>
      </c>
      <c r="E57" s="110"/>
      <c r="F57" s="110"/>
      <c r="G57" s="110"/>
      <c r="H57" s="112">
        <f t="shared" si="3"/>
        <v>0</v>
      </c>
      <c r="I57" s="112">
        <f t="shared" si="2"/>
        <v>20000000</v>
      </c>
      <c r="J57" s="110">
        <f t="shared" si="1"/>
        <v>0</v>
      </c>
    </row>
    <row r="58" ht="11.25" spans="1:10">
      <c r="A58" s="109">
        <v>98</v>
      </c>
      <c r="B58" s="110" t="s">
        <v>105</v>
      </c>
      <c r="C58" s="111" t="s">
        <v>106</v>
      </c>
      <c r="D58" s="112">
        <f>'27-1-26'!I58</f>
        <v>1650000</v>
      </c>
      <c r="E58" s="110"/>
      <c r="F58" s="110"/>
      <c r="G58" s="110"/>
      <c r="H58" s="112">
        <f t="shared" si="3"/>
        <v>0</v>
      </c>
      <c r="I58" s="112">
        <f t="shared" si="2"/>
        <v>1650000</v>
      </c>
      <c r="J58" s="110">
        <f t="shared" si="1"/>
        <v>0</v>
      </c>
    </row>
    <row r="59" ht="11.25" spans="1:10">
      <c r="A59" s="109">
        <v>101</v>
      </c>
      <c r="B59" s="110" t="s">
        <v>107</v>
      </c>
      <c r="C59" s="130" t="s">
        <v>108</v>
      </c>
      <c r="D59" s="112">
        <f>'27-1-26'!I59</f>
        <v>0</v>
      </c>
      <c r="E59" s="110"/>
      <c r="F59" s="110"/>
      <c r="G59" s="110"/>
      <c r="H59" s="112">
        <f t="shared" si="3"/>
        <v>0</v>
      </c>
      <c r="I59" s="112">
        <f t="shared" si="2"/>
        <v>0</v>
      </c>
      <c r="J59" s="110">
        <f t="shared" si="1"/>
        <v>0</v>
      </c>
    </row>
    <row r="60" ht="11.25" spans="1:10">
      <c r="A60" s="109">
        <v>103</v>
      </c>
      <c r="B60" s="110" t="s">
        <v>109</v>
      </c>
      <c r="C60" s="130" t="s">
        <v>110</v>
      </c>
      <c r="D60" s="112">
        <f>'27-1-26'!I60</f>
        <v>3250000</v>
      </c>
      <c r="E60" s="110"/>
      <c r="F60" s="110"/>
      <c r="G60" s="110"/>
      <c r="H60" s="112">
        <f t="shared" si="3"/>
        <v>0</v>
      </c>
      <c r="I60" s="112">
        <f t="shared" si="2"/>
        <v>3250000</v>
      </c>
      <c r="J60" s="110">
        <f t="shared" si="1"/>
        <v>0</v>
      </c>
    </row>
    <row r="61" ht="11.25" spans="1:10">
      <c r="A61" s="109">
        <v>106</v>
      </c>
      <c r="B61" s="110" t="s">
        <v>111</v>
      </c>
      <c r="C61" s="111" t="s">
        <v>112</v>
      </c>
      <c r="D61" s="112">
        <f>'27-1-26'!I61</f>
        <v>230000</v>
      </c>
      <c r="E61" s="110"/>
      <c r="F61" s="110"/>
      <c r="G61" s="110"/>
      <c r="H61" s="112">
        <f t="shared" si="3"/>
        <v>0</v>
      </c>
      <c r="I61" s="112">
        <f t="shared" si="2"/>
        <v>230000</v>
      </c>
      <c r="J61" s="110">
        <f t="shared" si="1"/>
        <v>0</v>
      </c>
    </row>
    <row r="62" ht="11.25" spans="1:10">
      <c r="A62" s="109">
        <v>108</v>
      </c>
      <c r="B62" s="110" t="s">
        <v>113</v>
      </c>
      <c r="C62" s="130" t="s">
        <v>114</v>
      </c>
      <c r="D62" s="112">
        <f>'27-1-26'!I62</f>
        <v>0</v>
      </c>
      <c r="E62" s="110"/>
      <c r="F62" s="110"/>
      <c r="G62" s="110"/>
      <c r="H62" s="112">
        <f t="shared" si="3"/>
        <v>0</v>
      </c>
      <c r="I62" s="112">
        <f t="shared" si="2"/>
        <v>0</v>
      </c>
      <c r="J62" s="110">
        <f t="shared" si="1"/>
        <v>0</v>
      </c>
    </row>
    <row r="63" ht="11.25" spans="1:10">
      <c r="A63" s="109">
        <v>110</v>
      </c>
      <c r="B63" s="110" t="s">
        <v>115</v>
      </c>
      <c r="C63" s="130" t="s">
        <v>116</v>
      </c>
      <c r="D63" s="112">
        <f>'27-1-26'!I63</f>
        <v>600000</v>
      </c>
      <c r="E63" s="110"/>
      <c r="F63" s="110"/>
      <c r="G63" s="110"/>
      <c r="H63" s="112">
        <f t="shared" si="3"/>
        <v>0</v>
      </c>
      <c r="I63" s="112">
        <f t="shared" si="2"/>
        <v>600000</v>
      </c>
      <c r="J63" s="110">
        <f t="shared" si="1"/>
        <v>0</v>
      </c>
    </row>
    <row r="64" ht="11.25" spans="1:10">
      <c r="A64" s="109">
        <v>111</v>
      </c>
      <c r="B64" s="110" t="s">
        <v>117</v>
      </c>
      <c r="C64" s="130" t="s">
        <v>118</v>
      </c>
      <c r="D64" s="112">
        <f>'27-1-26'!I64</f>
        <v>1500000</v>
      </c>
      <c r="E64" s="110"/>
      <c r="F64" s="110"/>
      <c r="G64" s="110"/>
      <c r="H64" s="112">
        <f t="shared" si="3"/>
        <v>0</v>
      </c>
      <c r="I64" s="112">
        <f t="shared" si="2"/>
        <v>1500000</v>
      </c>
      <c r="J64" s="110">
        <f t="shared" si="1"/>
        <v>0</v>
      </c>
    </row>
    <row r="65" ht="11.25" spans="1:10">
      <c r="A65" s="109">
        <v>112</v>
      </c>
      <c r="B65" s="110" t="s">
        <v>119</v>
      </c>
      <c r="C65" s="130" t="s">
        <v>120</v>
      </c>
      <c r="D65" s="112">
        <f>'27-1-26'!I65</f>
        <v>6570000</v>
      </c>
      <c r="E65" s="110">
        <v>4</v>
      </c>
      <c r="F65" s="110">
        <v>708000</v>
      </c>
      <c r="G65" s="110">
        <v>292000</v>
      </c>
      <c r="H65" s="112">
        <f t="shared" si="3"/>
        <v>1000000</v>
      </c>
      <c r="I65" s="112">
        <f t="shared" si="2"/>
        <v>5862000</v>
      </c>
      <c r="J65" s="110">
        <f t="shared" si="1"/>
        <v>29200</v>
      </c>
    </row>
    <row r="66" ht="11.25" spans="1:10">
      <c r="A66" s="109">
        <v>113</v>
      </c>
      <c r="B66" s="110" t="s">
        <v>121</v>
      </c>
      <c r="C66" s="130" t="s">
        <v>120</v>
      </c>
      <c r="D66" s="112">
        <f>'27-1-26'!I66</f>
        <v>250000</v>
      </c>
      <c r="E66" s="110"/>
      <c r="F66" s="110"/>
      <c r="G66" s="110"/>
      <c r="H66" s="112">
        <f t="shared" si="3"/>
        <v>0</v>
      </c>
      <c r="I66" s="112">
        <f t="shared" si="2"/>
        <v>250000</v>
      </c>
      <c r="J66" s="110">
        <f t="shared" si="1"/>
        <v>0</v>
      </c>
    </row>
    <row r="67" ht="12.75" customHeight="1" spans="1:10">
      <c r="A67" s="109">
        <v>117</v>
      </c>
      <c r="B67" s="110" t="s">
        <v>122</v>
      </c>
      <c r="C67" s="130" t="s">
        <v>123</v>
      </c>
      <c r="D67" s="112">
        <f>'27-1-26'!I67</f>
        <v>0</v>
      </c>
      <c r="E67" s="110"/>
      <c r="F67" s="110"/>
      <c r="G67" s="110"/>
      <c r="H67" s="112">
        <f t="shared" si="3"/>
        <v>0</v>
      </c>
      <c r="I67" s="112">
        <f t="shared" si="2"/>
        <v>0</v>
      </c>
      <c r="J67" s="110">
        <f t="shared" si="1"/>
        <v>0</v>
      </c>
    </row>
    <row r="68" ht="12.75" customHeight="1" spans="1:10">
      <c r="A68" s="109"/>
      <c r="B68" s="110"/>
      <c r="C68" s="111"/>
      <c r="D68" s="112">
        <f>'27-1-26'!I68</f>
        <v>0</v>
      </c>
      <c r="E68" s="110"/>
      <c r="F68" s="110"/>
      <c r="G68" s="110"/>
      <c r="H68" s="112">
        <f t="shared" si="3"/>
        <v>0</v>
      </c>
      <c r="I68" s="112"/>
      <c r="J68" s="110">
        <f t="shared" si="1"/>
        <v>0</v>
      </c>
    </row>
    <row r="69" ht="12.75" customHeight="1" spans="1:10">
      <c r="A69" s="109"/>
      <c r="B69" s="110"/>
      <c r="C69" s="111"/>
      <c r="D69" s="112">
        <f>'27-1-26'!I69</f>
        <v>0</v>
      </c>
      <c r="E69" s="110"/>
      <c r="F69" s="110"/>
      <c r="G69" s="110"/>
      <c r="H69" s="112">
        <f t="shared" si="3"/>
        <v>0</v>
      </c>
      <c r="I69" s="112"/>
      <c r="J69" s="110">
        <f t="shared" si="1"/>
        <v>0</v>
      </c>
    </row>
    <row r="70" ht="12.75" customHeight="1" spans="1:10">
      <c r="A70" s="109"/>
      <c r="B70" s="110"/>
      <c r="C70" s="111"/>
      <c r="D70" s="112">
        <f>'27-1-26'!I70</f>
        <v>0</v>
      </c>
      <c r="E70" s="110"/>
      <c r="F70" s="110"/>
      <c r="G70" s="110"/>
      <c r="H70" s="112">
        <f t="shared" si="3"/>
        <v>0</v>
      </c>
      <c r="I70" s="112"/>
      <c r="J70" s="110">
        <f t="shared" si="1"/>
        <v>0</v>
      </c>
    </row>
    <row r="71" ht="12.75" customHeight="1" spans="1:10">
      <c r="A71" s="109"/>
      <c r="B71" s="110"/>
      <c r="C71" s="111"/>
      <c r="D71" s="112">
        <f>'27-1-26'!I71</f>
        <v>0</v>
      </c>
      <c r="E71" s="110"/>
      <c r="F71" s="110"/>
      <c r="G71" s="110"/>
      <c r="H71" s="112">
        <f t="shared" si="3"/>
        <v>0</v>
      </c>
      <c r="I71" s="112"/>
      <c r="J71" s="110">
        <f t="shared" si="1"/>
        <v>0</v>
      </c>
    </row>
    <row r="72" ht="3" customHeight="1" spans="1:10">
      <c r="A72" s="109"/>
      <c r="B72" s="110"/>
      <c r="C72" s="111"/>
      <c r="D72" s="112">
        <f>'27-1-26'!I72</f>
        <v>0</v>
      </c>
      <c r="E72" s="110"/>
      <c r="F72" s="110"/>
      <c r="G72" s="110"/>
      <c r="H72" s="112">
        <f t="shared" si="3"/>
        <v>0</v>
      </c>
      <c r="I72" s="112"/>
      <c r="J72" s="110">
        <f t="shared" si="1"/>
        <v>0</v>
      </c>
    </row>
    <row r="73" ht="3" customHeight="1" spans="1:10">
      <c r="A73" s="109"/>
      <c r="B73" s="110"/>
      <c r="C73" s="111"/>
      <c r="D73" s="112">
        <f>'27-1-26'!I73</f>
        <v>0</v>
      </c>
      <c r="E73" s="110"/>
      <c r="F73" s="110"/>
      <c r="G73" s="110"/>
      <c r="H73" s="112">
        <f t="shared" si="3"/>
        <v>0</v>
      </c>
      <c r="I73" s="112"/>
      <c r="J73" s="110">
        <f t="shared" ref="J73:J136" si="4">1/10*G73</f>
        <v>0</v>
      </c>
    </row>
    <row r="74" ht="3" customHeight="1" spans="1:10">
      <c r="A74" s="109"/>
      <c r="B74" s="110"/>
      <c r="C74" s="111"/>
      <c r="D74" s="112">
        <f>'27-1-26'!I74</f>
        <v>0</v>
      </c>
      <c r="E74" s="110"/>
      <c r="F74" s="110"/>
      <c r="G74" s="110"/>
      <c r="H74" s="112">
        <f t="shared" si="3"/>
        <v>0</v>
      </c>
      <c r="I74" s="112"/>
      <c r="J74" s="110">
        <f t="shared" si="4"/>
        <v>0</v>
      </c>
    </row>
    <row r="75" ht="3" customHeight="1" spans="1:10">
      <c r="A75" s="109"/>
      <c r="B75" s="110"/>
      <c r="C75" s="111"/>
      <c r="D75" s="112">
        <f>'27-1-26'!I75</f>
        <v>0</v>
      </c>
      <c r="E75" s="110"/>
      <c r="F75" s="110"/>
      <c r="G75" s="110"/>
      <c r="H75" s="112">
        <f t="shared" si="3"/>
        <v>0</v>
      </c>
      <c r="I75" s="112"/>
      <c r="J75" s="110">
        <f t="shared" si="4"/>
        <v>0</v>
      </c>
    </row>
    <row r="76" ht="3" customHeight="1" spans="1:10">
      <c r="A76" s="109"/>
      <c r="B76" s="110"/>
      <c r="C76" s="111"/>
      <c r="D76" s="112">
        <f>'27-1-26'!I76</f>
        <v>0</v>
      </c>
      <c r="E76" s="110"/>
      <c r="F76" s="110"/>
      <c r="G76" s="110"/>
      <c r="H76" s="112">
        <f t="shared" si="3"/>
        <v>0</v>
      </c>
      <c r="I76" s="112"/>
      <c r="J76" s="110">
        <f t="shared" si="4"/>
        <v>0</v>
      </c>
    </row>
    <row r="77" ht="3" customHeight="1" spans="1:10">
      <c r="A77" s="109"/>
      <c r="B77" s="110"/>
      <c r="C77" s="111"/>
      <c r="D77" s="112">
        <f>'27-1-26'!I77</f>
        <v>0</v>
      </c>
      <c r="E77" s="110"/>
      <c r="F77" s="110"/>
      <c r="G77" s="110"/>
      <c r="H77" s="112">
        <f t="shared" si="3"/>
        <v>0</v>
      </c>
      <c r="I77" s="112"/>
      <c r="J77" s="110">
        <f t="shared" si="4"/>
        <v>0</v>
      </c>
    </row>
    <row r="78" ht="3" customHeight="1" spans="1:10">
      <c r="A78" s="109"/>
      <c r="B78" s="110"/>
      <c r="C78" s="111"/>
      <c r="D78" s="112">
        <f>'27-1-26'!I78</f>
        <v>0</v>
      </c>
      <c r="E78" s="110"/>
      <c r="F78" s="110"/>
      <c r="G78" s="110"/>
      <c r="H78" s="112">
        <f t="shared" si="3"/>
        <v>0</v>
      </c>
      <c r="I78" s="112"/>
      <c r="J78" s="110">
        <f t="shared" si="4"/>
        <v>0</v>
      </c>
    </row>
    <row r="79" ht="3" customHeight="1" spans="1:10">
      <c r="A79" s="109"/>
      <c r="B79" s="110"/>
      <c r="C79" s="111"/>
      <c r="D79" s="112">
        <f>'27-1-26'!I79</f>
        <v>0</v>
      </c>
      <c r="E79" s="110"/>
      <c r="F79" s="110"/>
      <c r="G79" s="110"/>
      <c r="H79" s="112">
        <f t="shared" si="3"/>
        <v>0</v>
      </c>
      <c r="I79" s="112"/>
      <c r="J79" s="110">
        <f t="shared" si="4"/>
        <v>0</v>
      </c>
    </row>
    <row r="80" ht="3" customHeight="1" spans="1:10">
      <c r="A80" s="109"/>
      <c r="B80" s="110"/>
      <c r="C80" s="111"/>
      <c r="D80" s="112">
        <f>'27-1-26'!I80</f>
        <v>0</v>
      </c>
      <c r="E80" s="110"/>
      <c r="F80" s="110"/>
      <c r="G80" s="110"/>
      <c r="H80" s="112">
        <f t="shared" si="3"/>
        <v>0</v>
      </c>
      <c r="I80" s="112"/>
      <c r="J80" s="110">
        <f t="shared" si="4"/>
        <v>0</v>
      </c>
    </row>
    <row r="81" ht="3" customHeight="1" spans="1:10">
      <c r="A81" s="109"/>
      <c r="B81" s="110"/>
      <c r="C81" s="111"/>
      <c r="D81" s="112">
        <f>'27-1-26'!I81</f>
        <v>0</v>
      </c>
      <c r="E81" s="110"/>
      <c r="F81" s="110"/>
      <c r="G81" s="110"/>
      <c r="H81" s="112">
        <f t="shared" si="3"/>
        <v>0</v>
      </c>
      <c r="I81" s="112"/>
      <c r="J81" s="110">
        <f t="shared" si="4"/>
        <v>0</v>
      </c>
    </row>
    <row r="82" ht="3" customHeight="1" spans="1:10">
      <c r="A82" s="109"/>
      <c r="B82" s="110"/>
      <c r="C82" s="111"/>
      <c r="D82" s="112">
        <f>'27-1-26'!I82</f>
        <v>0</v>
      </c>
      <c r="E82" s="110"/>
      <c r="F82" s="110"/>
      <c r="G82" s="110"/>
      <c r="H82" s="112">
        <f t="shared" si="3"/>
        <v>0</v>
      </c>
      <c r="I82" s="112"/>
      <c r="J82" s="110">
        <f t="shared" si="4"/>
        <v>0</v>
      </c>
    </row>
    <row r="83" ht="3" customHeight="1" spans="1:10">
      <c r="A83" s="109"/>
      <c r="B83" s="110"/>
      <c r="C83" s="111"/>
      <c r="D83" s="112">
        <f>'27-1-26'!I83</f>
        <v>0</v>
      </c>
      <c r="E83" s="110"/>
      <c r="F83" s="110"/>
      <c r="G83" s="110"/>
      <c r="H83" s="112">
        <f t="shared" si="3"/>
        <v>0</v>
      </c>
      <c r="I83" s="112"/>
      <c r="J83" s="110">
        <f t="shared" si="4"/>
        <v>0</v>
      </c>
    </row>
    <row r="84" ht="3" customHeight="1" spans="1:10">
      <c r="A84" s="109"/>
      <c r="B84" s="110"/>
      <c r="C84" s="111"/>
      <c r="D84" s="112">
        <f>'27-1-26'!I84</f>
        <v>0</v>
      </c>
      <c r="E84" s="110"/>
      <c r="F84" s="110"/>
      <c r="G84" s="110"/>
      <c r="H84" s="112">
        <f t="shared" ref="H84:H88" si="5">SUM(F84:G84)</f>
        <v>0</v>
      </c>
      <c r="I84" s="112"/>
      <c r="J84" s="110">
        <f t="shared" si="4"/>
        <v>0</v>
      </c>
    </row>
    <row r="85" ht="3" customHeight="1" spans="1:10">
      <c r="A85" s="109"/>
      <c r="B85" s="110"/>
      <c r="C85" s="111"/>
      <c r="D85" s="112">
        <f>'27-1-26'!I85</f>
        <v>0</v>
      </c>
      <c r="E85" s="110"/>
      <c r="F85" s="110"/>
      <c r="G85" s="110"/>
      <c r="H85" s="112">
        <f t="shared" si="5"/>
        <v>0</v>
      </c>
      <c r="I85" s="112"/>
      <c r="J85" s="110">
        <f t="shared" si="4"/>
        <v>0</v>
      </c>
    </row>
    <row r="86" ht="3" customHeight="1" spans="1:10">
      <c r="A86" s="109"/>
      <c r="B86" s="110"/>
      <c r="C86" s="111"/>
      <c r="D86" s="112">
        <f>'27-1-26'!I86</f>
        <v>0</v>
      </c>
      <c r="E86" s="110"/>
      <c r="F86" s="110"/>
      <c r="G86" s="110"/>
      <c r="H86" s="112">
        <f t="shared" si="5"/>
        <v>0</v>
      </c>
      <c r="I86" s="112"/>
      <c r="J86" s="110">
        <f t="shared" si="4"/>
        <v>0</v>
      </c>
    </row>
    <row r="87" ht="3" customHeight="1" spans="1:10">
      <c r="A87" s="109"/>
      <c r="B87" s="110"/>
      <c r="C87" s="111"/>
      <c r="D87" s="112">
        <f>'27-1-26'!I87</f>
        <v>0</v>
      </c>
      <c r="E87" s="110"/>
      <c r="F87" s="110"/>
      <c r="G87" s="110"/>
      <c r="H87" s="112">
        <f t="shared" si="5"/>
        <v>0</v>
      </c>
      <c r="I87" s="112"/>
      <c r="J87" s="110">
        <f t="shared" si="4"/>
        <v>0</v>
      </c>
    </row>
    <row r="88" ht="3" customHeight="1" spans="1:10">
      <c r="A88" s="109"/>
      <c r="B88" s="110"/>
      <c r="C88" s="111"/>
      <c r="D88" s="112">
        <f>'27-1-26'!I88</f>
        <v>0</v>
      </c>
      <c r="E88" s="110"/>
      <c r="F88" s="110"/>
      <c r="G88" s="110"/>
      <c r="H88" s="112">
        <f t="shared" si="5"/>
        <v>0</v>
      </c>
      <c r="I88" s="112"/>
      <c r="J88" s="110">
        <f t="shared" si="4"/>
        <v>0</v>
      </c>
    </row>
    <row r="89" ht="3" customHeight="1" spans="1:10">
      <c r="A89" s="109"/>
      <c r="B89" s="110"/>
      <c r="C89" s="111"/>
      <c r="D89" s="112">
        <f>'27-1-26'!I89</f>
        <v>0</v>
      </c>
      <c r="E89" s="110"/>
      <c r="F89" s="110"/>
      <c r="G89" s="110"/>
      <c r="H89" s="112">
        <f t="shared" ref="H89:H152" si="6">SUM(F89:G89)</f>
        <v>0</v>
      </c>
      <c r="I89" s="112"/>
      <c r="J89" s="110">
        <f t="shared" si="4"/>
        <v>0</v>
      </c>
    </row>
    <row r="90" ht="3" customHeight="1" spans="1:10">
      <c r="A90" s="109"/>
      <c r="B90" s="110"/>
      <c r="C90" s="111"/>
      <c r="D90" s="112">
        <f>'27-1-26'!I90</f>
        <v>0</v>
      </c>
      <c r="E90" s="110"/>
      <c r="F90" s="110"/>
      <c r="G90" s="110"/>
      <c r="H90" s="112">
        <f t="shared" si="6"/>
        <v>0</v>
      </c>
      <c r="I90" s="112"/>
      <c r="J90" s="110">
        <f t="shared" si="4"/>
        <v>0</v>
      </c>
    </row>
    <row r="91" ht="3" customHeight="1" spans="1:10">
      <c r="A91" s="109"/>
      <c r="B91" s="110"/>
      <c r="C91" s="111"/>
      <c r="D91" s="112">
        <f>'27-1-26'!I91</f>
        <v>0</v>
      </c>
      <c r="E91" s="110"/>
      <c r="F91" s="110"/>
      <c r="G91" s="110"/>
      <c r="H91" s="112">
        <f t="shared" si="6"/>
        <v>0</v>
      </c>
      <c r="I91" s="112"/>
      <c r="J91" s="110">
        <f t="shared" si="4"/>
        <v>0</v>
      </c>
    </row>
    <row r="92" ht="3" customHeight="1" spans="1:10">
      <c r="A92" s="109"/>
      <c r="B92" s="110"/>
      <c r="C92" s="111"/>
      <c r="D92" s="112">
        <f>'27-1-26'!I92</f>
        <v>0</v>
      </c>
      <c r="E92" s="110"/>
      <c r="F92" s="110"/>
      <c r="G92" s="110"/>
      <c r="H92" s="112">
        <f t="shared" si="6"/>
        <v>0</v>
      </c>
      <c r="I92" s="112"/>
      <c r="J92" s="110">
        <f t="shared" si="4"/>
        <v>0</v>
      </c>
    </row>
    <row r="93" ht="3" customHeight="1" spans="1:10">
      <c r="A93" s="109"/>
      <c r="B93" s="110"/>
      <c r="C93" s="111"/>
      <c r="D93" s="112">
        <f>'27-1-26'!I93</f>
        <v>0</v>
      </c>
      <c r="E93" s="110"/>
      <c r="F93" s="110"/>
      <c r="G93" s="110"/>
      <c r="H93" s="112">
        <f t="shared" si="6"/>
        <v>0</v>
      </c>
      <c r="I93" s="112"/>
      <c r="J93" s="110">
        <f t="shared" si="4"/>
        <v>0</v>
      </c>
    </row>
    <row r="94" ht="3" customHeight="1" spans="1:10">
      <c r="A94" s="109"/>
      <c r="B94" s="110"/>
      <c r="C94" s="111"/>
      <c r="D94" s="112">
        <f>'27-1-26'!I94</f>
        <v>0</v>
      </c>
      <c r="E94" s="110"/>
      <c r="F94" s="110"/>
      <c r="G94" s="110"/>
      <c r="H94" s="112">
        <f t="shared" si="6"/>
        <v>0</v>
      </c>
      <c r="I94" s="112"/>
      <c r="J94" s="110">
        <f t="shared" si="4"/>
        <v>0</v>
      </c>
    </row>
    <row r="95" ht="3" customHeight="1" spans="1:10">
      <c r="A95" s="109"/>
      <c r="B95" s="110"/>
      <c r="C95" s="111"/>
      <c r="D95" s="112">
        <f>'27-1-26'!I95</f>
        <v>0</v>
      </c>
      <c r="E95" s="110"/>
      <c r="F95" s="110"/>
      <c r="G95" s="110"/>
      <c r="H95" s="112">
        <f t="shared" si="6"/>
        <v>0</v>
      </c>
      <c r="I95" s="112"/>
      <c r="J95" s="110">
        <f t="shared" si="4"/>
        <v>0</v>
      </c>
    </row>
    <row r="96" ht="3" customHeight="1" spans="1:10">
      <c r="A96" s="109"/>
      <c r="B96" s="110"/>
      <c r="C96" s="111"/>
      <c r="D96" s="112">
        <f>'27-1-26'!I96</f>
        <v>0</v>
      </c>
      <c r="E96" s="110"/>
      <c r="F96" s="110"/>
      <c r="G96" s="110"/>
      <c r="H96" s="112">
        <f t="shared" si="6"/>
        <v>0</v>
      </c>
      <c r="I96" s="112"/>
      <c r="J96" s="110">
        <f t="shared" si="4"/>
        <v>0</v>
      </c>
    </row>
    <row r="97" ht="3" customHeight="1" spans="1:10">
      <c r="A97" s="109"/>
      <c r="B97" s="110"/>
      <c r="C97" s="111"/>
      <c r="D97" s="112">
        <f>'27-1-26'!I97</f>
        <v>0</v>
      </c>
      <c r="E97" s="110"/>
      <c r="F97" s="110"/>
      <c r="G97" s="110"/>
      <c r="H97" s="112">
        <f t="shared" si="6"/>
        <v>0</v>
      </c>
      <c r="I97" s="112"/>
      <c r="J97" s="110">
        <f t="shared" si="4"/>
        <v>0</v>
      </c>
    </row>
    <row r="98" ht="3" customHeight="1" spans="1:10">
      <c r="A98" s="109"/>
      <c r="B98" s="110"/>
      <c r="C98" s="111"/>
      <c r="D98" s="112">
        <f>'27-1-26'!I98</f>
        <v>0</v>
      </c>
      <c r="E98" s="110"/>
      <c r="F98" s="110"/>
      <c r="G98" s="110"/>
      <c r="H98" s="112">
        <f t="shared" si="6"/>
        <v>0</v>
      </c>
      <c r="I98" s="112"/>
      <c r="J98" s="110">
        <f t="shared" si="4"/>
        <v>0</v>
      </c>
    </row>
    <row r="99" ht="3" customHeight="1" spans="1:10">
      <c r="A99" s="109"/>
      <c r="B99" s="110"/>
      <c r="C99" s="111"/>
      <c r="D99" s="112">
        <f>'27-1-26'!I99</f>
        <v>0</v>
      </c>
      <c r="E99" s="110"/>
      <c r="F99" s="110"/>
      <c r="G99" s="110"/>
      <c r="H99" s="112">
        <f t="shared" si="6"/>
        <v>0</v>
      </c>
      <c r="I99" s="112"/>
      <c r="J99" s="110">
        <f t="shared" si="4"/>
        <v>0</v>
      </c>
    </row>
    <row r="100" ht="3" customHeight="1" spans="1:10">
      <c r="A100" s="109"/>
      <c r="B100" s="110"/>
      <c r="C100" s="111"/>
      <c r="D100" s="112">
        <f>'27-1-26'!I100</f>
        <v>0</v>
      </c>
      <c r="E100" s="110"/>
      <c r="F100" s="110"/>
      <c r="G100" s="110"/>
      <c r="H100" s="112">
        <f t="shared" si="6"/>
        <v>0</v>
      </c>
      <c r="I100" s="112"/>
      <c r="J100" s="110">
        <f t="shared" si="4"/>
        <v>0</v>
      </c>
    </row>
    <row r="101" ht="3" customHeight="1" spans="1:10">
      <c r="A101" s="109"/>
      <c r="B101" s="110"/>
      <c r="C101" s="111"/>
      <c r="D101" s="112">
        <f>'27-1-26'!I101</f>
        <v>0</v>
      </c>
      <c r="E101" s="110"/>
      <c r="F101" s="110"/>
      <c r="G101" s="110"/>
      <c r="H101" s="112">
        <f t="shared" si="6"/>
        <v>0</v>
      </c>
      <c r="I101" s="112"/>
      <c r="J101" s="110">
        <f t="shared" si="4"/>
        <v>0</v>
      </c>
    </row>
    <row r="102" ht="3" customHeight="1" spans="1:10">
      <c r="A102" s="109"/>
      <c r="B102" s="110"/>
      <c r="C102" s="111"/>
      <c r="D102" s="112">
        <f>'27-1-26'!I102</f>
        <v>0</v>
      </c>
      <c r="E102" s="110"/>
      <c r="F102" s="110"/>
      <c r="G102" s="110"/>
      <c r="H102" s="112">
        <f t="shared" si="6"/>
        <v>0</v>
      </c>
      <c r="I102" s="112"/>
      <c r="J102" s="110">
        <f t="shared" si="4"/>
        <v>0</v>
      </c>
    </row>
    <row r="103" ht="3" customHeight="1" spans="1:10">
      <c r="A103" s="109"/>
      <c r="B103" s="110"/>
      <c r="C103" s="111"/>
      <c r="D103" s="112">
        <f>'27-1-26'!I103</f>
        <v>0</v>
      </c>
      <c r="E103" s="110"/>
      <c r="F103" s="110"/>
      <c r="G103" s="110"/>
      <c r="H103" s="112">
        <f t="shared" si="6"/>
        <v>0</v>
      </c>
      <c r="I103" s="112"/>
      <c r="J103" s="110">
        <f t="shared" si="4"/>
        <v>0</v>
      </c>
    </row>
    <row r="104" ht="3" customHeight="1" spans="1:10">
      <c r="A104" s="109"/>
      <c r="B104" s="110"/>
      <c r="C104" s="111"/>
      <c r="D104" s="112">
        <f>'27-1-26'!I104</f>
        <v>0</v>
      </c>
      <c r="E104" s="110"/>
      <c r="F104" s="110"/>
      <c r="G104" s="110"/>
      <c r="H104" s="112">
        <f t="shared" si="6"/>
        <v>0</v>
      </c>
      <c r="I104" s="112"/>
      <c r="J104" s="110">
        <f t="shared" si="4"/>
        <v>0</v>
      </c>
    </row>
    <row r="105" ht="3" customHeight="1" spans="1:10">
      <c r="A105" s="109"/>
      <c r="B105" s="110"/>
      <c r="C105" s="111"/>
      <c r="D105" s="112">
        <f>'27-1-26'!I105</f>
        <v>0</v>
      </c>
      <c r="E105" s="110"/>
      <c r="F105" s="110"/>
      <c r="G105" s="110"/>
      <c r="H105" s="112">
        <f t="shared" si="6"/>
        <v>0</v>
      </c>
      <c r="I105" s="112"/>
      <c r="J105" s="110">
        <f t="shared" si="4"/>
        <v>0</v>
      </c>
    </row>
    <row r="106" ht="3" customHeight="1" spans="1:10">
      <c r="A106" s="109"/>
      <c r="B106" s="110"/>
      <c r="C106" s="111"/>
      <c r="D106" s="112">
        <f>'27-1-26'!I106</f>
        <v>0</v>
      </c>
      <c r="E106" s="110"/>
      <c r="F106" s="110"/>
      <c r="G106" s="110"/>
      <c r="H106" s="112">
        <f t="shared" si="6"/>
        <v>0</v>
      </c>
      <c r="I106" s="112"/>
      <c r="J106" s="110">
        <f t="shared" si="4"/>
        <v>0</v>
      </c>
    </row>
    <row r="107" ht="3" customHeight="1" spans="1:10">
      <c r="A107" s="109"/>
      <c r="B107" s="110"/>
      <c r="C107" s="111"/>
      <c r="D107" s="112">
        <f>'27-1-26'!I107</f>
        <v>0</v>
      </c>
      <c r="E107" s="110"/>
      <c r="F107" s="110"/>
      <c r="G107" s="110"/>
      <c r="H107" s="112">
        <f t="shared" si="6"/>
        <v>0</v>
      </c>
      <c r="I107" s="112"/>
      <c r="J107" s="110">
        <f t="shared" si="4"/>
        <v>0</v>
      </c>
    </row>
    <row r="108" ht="3" customHeight="1" spans="1:10">
      <c r="A108" s="109"/>
      <c r="B108" s="110"/>
      <c r="C108" s="111"/>
      <c r="D108" s="112">
        <f>'27-1-26'!I108</f>
        <v>0</v>
      </c>
      <c r="E108" s="110"/>
      <c r="F108" s="110"/>
      <c r="G108" s="110"/>
      <c r="H108" s="112">
        <f t="shared" si="6"/>
        <v>0</v>
      </c>
      <c r="I108" s="112"/>
      <c r="J108" s="110">
        <f t="shared" si="4"/>
        <v>0</v>
      </c>
    </row>
    <row r="109" ht="3" customHeight="1" spans="1:10">
      <c r="A109" s="109"/>
      <c r="B109" s="110"/>
      <c r="C109" s="111"/>
      <c r="D109" s="112">
        <f>'27-1-26'!I109</f>
        <v>0</v>
      </c>
      <c r="E109" s="110"/>
      <c r="F109" s="110"/>
      <c r="G109" s="110"/>
      <c r="H109" s="112">
        <f t="shared" si="6"/>
        <v>0</v>
      </c>
      <c r="I109" s="112"/>
      <c r="J109" s="110">
        <f t="shared" si="4"/>
        <v>0</v>
      </c>
    </row>
    <row r="110" ht="3" customHeight="1" spans="1:10">
      <c r="A110" s="109"/>
      <c r="B110" s="110"/>
      <c r="C110" s="111"/>
      <c r="D110" s="112">
        <f>'27-1-26'!I110</f>
        <v>0</v>
      </c>
      <c r="E110" s="110"/>
      <c r="F110" s="110"/>
      <c r="G110" s="110"/>
      <c r="H110" s="112">
        <f t="shared" si="6"/>
        <v>0</v>
      </c>
      <c r="I110" s="112"/>
      <c r="J110" s="110">
        <f t="shared" si="4"/>
        <v>0</v>
      </c>
    </row>
    <row r="111" ht="3" customHeight="1" spans="1:10">
      <c r="A111" s="109"/>
      <c r="B111" s="110"/>
      <c r="C111" s="111"/>
      <c r="D111" s="112">
        <f>'27-1-26'!I111</f>
        <v>0</v>
      </c>
      <c r="E111" s="110"/>
      <c r="F111" s="110"/>
      <c r="G111" s="110"/>
      <c r="H111" s="112">
        <f t="shared" si="6"/>
        <v>0</v>
      </c>
      <c r="I111" s="112"/>
      <c r="J111" s="110">
        <f t="shared" si="4"/>
        <v>0</v>
      </c>
    </row>
    <row r="112" ht="3" customHeight="1" spans="1:10">
      <c r="A112" s="109"/>
      <c r="B112" s="110"/>
      <c r="C112" s="111"/>
      <c r="D112" s="112">
        <f>'27-1-26'!I112</f>
        <v>0</v>
      </c>
      <c r="E112" s="110"/>
      <c r="F112" s="110"/>
      <c r="G112" s="110"/>
      <c r="H112" s="112">
        <f t="shared" si="6"/>
        <v>0</v>
      </c>
      <c r="I112" s="112"/>
      <c r="J112" s="110">
        <f t="shared" si="4"/>
        <v>0</v>
      </c>
    </row>
    <row r="113" ht="3" customHeight="1" spans="1:10">
      <c r="A113" s="109"/>
      <c r="B113" s="110"/>
      <c r="C113" s="111"/>
      <c r="D113" s="112">
        <f>'27-1-26'!I113</f>
        <v>0</v>
      </c>
      <c r="E113" s="110"/>
      <c r="F113" s="110"/>
      <c r="G113" s="110"/>
      <c r="H113" s="112">
        <f t="shared" si="6"/>
        <v>0</v>
      </c>
      <c r="I113" s="112"/>
      <c r="J113" s="110">
        <f t="shared" si="4"/>
        <v>0</v>
      </c>
    </row>
    <row r="114" ht="3" customHeight="1" spans="1:10">
      <c r="A114" s="109"/>
      <c r="B114" s="110"/>
      <c r="C114" s="111"/>
      <c r="D114" s="112">
        <f>'27-1-26'!I114</f>
        <v>0</v>
      </c>
      <c r="E114" s="110"/>
      <c r="F114" s="110"/>
      <c r="G114" s="110"/>
      <c r="H114" s="112">
        <f t="shared" si="6"/>
        <v>0</v>
      </c>
      <c r="I114" s="112"/>
      <c r="J114" s="110">
        <f t="shared" si="4"/>
        <v>0</v>
      </c>
    </row>
    <row r="115" ht="3" customHeight="1" spans="1:10">
      <c r="A115" s="109"/>
      <c r="B115" s="110"/>
      <c r="C115" s="111"/>
      <c r="D115" s="112">
        <f>'27-1-26'!I115</f>
        <v>0</v>
      </c>
      <c r="E115" s="110"/>
      <c r="F115" s="110"/>
      <c r="G115" s="110"/>
      <c r="H115" s="112">
        <f t="shared" si="6"/>
        <v>0</v>
      </c>
      <c r="I115" s="112"/>
      <c r="J115" s="110">
        <f t="shared" si="4"/>
        <v>0</v>
      </c>
    </row>
    <row r="116" ht="3" customHeight="1" spans="1:10">
      <c r="A116" s="109"/>
      <c r="B116" s="110"/>
      <c r="C116" s="111"/>
      <c r="D116" s="112">
        <f>'27-1-26'!I116</f>
        <v>0</v>
      </c>
      <c r="E116" s="110"/>
      <c r="F116" s="110"/>
      <c r="G116" s="110"/>
      <c r="H116" s="112">
        <f t="shared" si="6"/>
        <v>0</v>
      </c>
      <c r="I116" s="112"/>
      <c r="J116" s="110">
        <f t="shared" si="4"/>
        <v>0</v>
      </c>
    </row>
    <row r="117" ht="3" customHeight="1" spans="1:10">
      <c r="A117" s="109"/>
      <c r="B117" s="110"/>
      <c r="C117" s="111"/>
      <c r="D117" s="112">
        <f>'27-1-26'!I117</f>
        <v>0</v>
      </c>
      <c r="E117" s="110"/>
      <c r="F117" s="110"/>
      <c r="G117" s="110"/>
      <c r="H117" s="112">
        <f t="shared" si="6"/>
        <v>0</v>
      </c>
      <c r="I117" s="112"/>
      <c r="J117" s="110">
        <f t="shared" si="4"/>
        <v>0</v>
      </c>
    </row>
    <row r="118" ht="3" customHeight="1" spans="1:10">
      <c r="A118" s="109"/>
      <c r="B118" s="110"/>
      <c r="C118" s="111"/>
      <c r="D118" s="112">
        <f>'27-1-26'!I118</f>
        <v>0</v>
      </c>
      <c r="E118" s="110"/>
      <c r="F118" s="110"/>
      <c r="G118" s="110"/>
      <c r="H118" s="112">
        <f t="shared" si="6"/>
        <v>0</v>
      </c>
      <c r="I118" s="112"/>
      <c r="J118" s="110">
        <f t="shared" si="4"/>
        <v>0</v>
      </c>
    </row>
    <row r="119" ht="3" customHeight="1" spans="1:10">
      <c r="A119" s="109"/>
      <c r="B119" s="110"/>
      <c r="C119" s="111"/>
      <c r="D119" s="112">
        <f>'27-1-26'!I119</f>
        <v>0</v>
      </c>
      <c r="E119" s="110"/>
      <c r="F119" s="110"/>
      <c r="G119" s="110"/>
      <c r="H119" s="112">
        <f t="shared" si="6"/>
        <v>0</v>
      </c>
      <c r="I119" s="112"/>
      <c r="J119" s="110">
        <f t="shared" si="4"/>
        <v>0</v>
      </c>
    </row>
    <row r="120" ht="3" customHeight="1" spans="1:10">
      <c r="A120" s="109"/>
      <c r="B120" s="110"/>
      <c r="C120" s="111"/>
      <c r="D120" s="112">
        <f>'27-1-26'!I120</f>
        <v>0</v>
      </c>
      <c r="E120" s="110"/>
      <c r="F120" s="110"/>
      <c r="G120" s="110"/>
      <c r="H120" s="112">
        <f t="shared" si="6"/>
        <v>0</v>
      </c>
      <c r="I120" s="112"/>
      <c r="J120" s="110">
        <f t="shared" si="4"/>
        <v>0</v>
      </c>
    </row>
    <row r="121" ht="3" customHeight="1" spans="1:10">
      <c r="A121" s="109"/>
      <c r="B121" s="110"/>
      <c r="C121" s="111"/>
      <c r="D121" s="112">
        <f>'27-1-26'!I121</f>
        <v>0</v>
      </c>
      <c r="E121" s="110"/>
      <c r="F121" s="110"/>
      <c r="G121" s="110"/>
      <c r="H121" s="112">
        <f t="shared" si="6"/>
        <v>0</v>
      </c>
      <c r="I121" s="112"/>
      <c r="J121" s="110">
        <f t="shared" si="4"/>
        <v>0</v>
      </c>
    </row>
    <row r="122" ht="3" customHeight="1" spans="1:10">
      <c r="A122" s="109"/>
      <c r="B122" s="110"/>
      <c r="C122" s="111"/>
      <c r="D122" s="112">
        <f>'27-1-26'!I122</f>
        <v>0</v>
      </c>
      <c r="E122" s="110"/>
      <c r="F122" s="110"/>
      <c r="G122" s="110"/>
      <c r="H122" s="112">
        <f t="shared" si="6"/>
        <v>0</v>
      </c>
      <c r="I122" s="112"/>
      <c r="J122" s="110">
        <f t="shared" si="4"/>
        <v>0</v>
      </c>
    </row>
    <row r="123" ht="3" customHeight="1" spans="1:10">
      <c r="A123" s="109"/>
      <c r="B123" s="110"/>
      <c r="C123" s="111"/>
      <c r="D123" s="112">
        <f>'27-1-26'!I123</f>
        <v>0</v>
      </c>
      <c r="E123" s="110"/>
      <c r="F123" s="110"/>
      <c r="G123" s="110"/>
      <c r="H123" s="112">
        <f t="shared" si="6"/>
        <v>0</v>
      </c>
      <c r="I123" s="112"/>
      <c r="J123" s="110">
        <f t="shared" si="4"/>
        <v>0</v>
      </c>
    </row>
    <row r="124" ht="3" customHeight="1" spans="1:10">
      <c r="A124" s="109"/>
      <c r="B124" s="110"/>
      <c r="C124" s="111"/>
      <c r="D124" s="112">
        <f>'27-1-26'!I124</f>
        <v>0</v>
      </c>
      <c r="E124" s="110"/>
      <c r="F124" s="110"/>
      <c r="G124" s="110"/>
      <c r="H124" s="112">
        <f t="shared" si="6"/>
        <v>0</v>
      </c>
      <c r="I124" s="112"/>
      <c r="J124" s="110">
        <f t="shared" si="4"/>
        <v>0</v>
      </c>
    </row>
    <row r="125" ht="3" customHeight="1" spans="1:10">
      <c r="A125" s="109"/>
      <c r="B125" s="110"/>
      <c r="C125" s="111"/>
      <c r="D125" s="112">
        <f>'27-1-26'!I125</f>
        <v>0</v>
      </c>
      <c r="E125" s="110"/>
      <c r="F125" s="110"/>
      <c r="G125" s="110"/>
      <c r="H125" s="112">
        <f t="shared" si="6"/>
        <v>0</v>
      </c>
      <c r="I125" s="112"/>
      <c r="J125" s="110">
        <f t="shared" si="4"/>
        <v>0</v>
      </c>
    </row>
    <row r="126" ht="3" customHeight="1" spans="1:10">
      <c r="A126" s="109"/>
      <c r="B126" s="110"/>
      <c r="C126" s="111"/>
      <c r="D126" s="112">
        <f>'27-1-26'!I126</f>
        <v>0</v>
      </c>
      <c r="E126" s="110"/>
      <c r="F126" s="110"/>
      <c r="G126" s="110"/>
      <c r="H126" s="112">
        <f t="shared" si="6"/>
        <v>0</v>
      </c>
      <c r="I126" s="112"/>
      <c r="J126" s="110">
        <f t="shared" si="4"/>
        <v>0</v>
      </c>
    </row>
    <row r="127" ht="3" customHeight="1" spans="1:10">
      <c r="A127" s="109"/>
      <c r="B127" s="110"/>
      <c r="C127" s="111"/>
      <c r="D127" s="112">
        <f>'27-1-26'!I127</f>
        <v>0</v>
      </c>
      <c r="E127" s="110"/>
      <c r="F127" s="110"/>
      <c r="G127" s="110"/>
      <c r="H127" s="112">
        <f t="shared" si="6"/>
        <v>0</v>
      </c>
      <c r="I127" s="112"/>
      <c r="J127" s="110">
        <f t="shared" si="4"/>
        <v>0</v>
      </c>
    </row>
    <row r="128" ht="3" customHeight="1" spans="1:10">
      <c r="A128" s="109"/>
      <c r="B128" s="110"/>
      <c r="C128" s="111"/>
      <c r="D128" s="112">
        <f>'27-1-26'!I128</f>
        <v>0</v>
      </c>
      <c r="E128" s="110"/>
      <c r="F128" s="110"/>
      <c r="G128" s="110"/>
      <c r="H128" s="112">
        <f t="shared" si="6"/>
        <v>0</v>
      </c>
      <c r="I128" s="112"/>
      <c r="J128" s="110">
        <f t="shared" si="4"/>
        <v>0</v>
      </c>
    </row>
    <row r="129" ht="3" customHeight="1" spans="1:10">
      <c r="A129" s="109"/>
      <c r="B129" s="110"/>
      <c r="C129" s="111"/>
      <c r="D129" s="112">
        <f>'27-1-26'!I129</f>
        <v>0</v>
      </c>
      <c r="E129" s="110"/>
      <c r="F129" s="110"/>
      <c r="G129" s="110"/>
      <c r="H129" s="112">
        <f t="shared" si="6"/>
        <v>0</v>
      </c>
      <c r="I129" s="112"/>
      <c r="J129" s="110">
        <f t="shared" si="4"/>
        <v>0</v>
      </c>
    </row>
    <row r="130" ht="3" customHeight="1" spans="1:10">
      <c r="A130" s="109"/>
      <c r="B130" s="110"/>
      <c r="C130" s="111"/>
      <c r="D130" s="112">
        <f>'27-1-26'!I130</f>
        <v>0</v>
      </c>
      <c r="E130" s="110"/>
      <c r="F130" s="110"/>
      <c r="G130" s="110"/>
      <c r="H130" s="112">
        <f t="shared" si="6"/>
        <v>0</v>
      </c>
      <c r="I130" s="112"/>
      <c r="J130" s="110">
        <f t="shared" si="4"/>
        <v>0</v>
      </c>
    </row>
    <row r="131" ht="3" customHeight="1" spans="1:10">
      <c r="A131" s="109"/>
      <c r="B131" s="110"/>
      <c r="C131" s="111"/>
      <c r="D131" s="112">
        <f>'27-1-26'!I131</f>
        <v>0</v>
      </c>
      <c r="E131" s="110"/>
      <c r="F131" s="110"/>
      <c r="G131" s="110"/>
      <c r="H131" s="112">
        <f t="shared" si="6"/>
        <v>0</v>
      </c>
      <c r="I131" s="112"/>
      <c r="J131" s="110">
        <f t="shared" si="4"/>
        <v>0</v>
      </c>
    </row>
    <row r="132" ht="3" customHeight="1" spans="1:10">
      <c r="A132" s="109"/>
      <c r="B132" s="110"/>
      <c r="C132" s="111"/>
      <c r="D132" s="112">
        <f>'27-1-26'!I132</f>
        <v>0</v>
      </c>
      <c r="E132" s="110"/>
      <c r="F132" s="110"/>
      <c r="G132" s="110"/>
      <c r="H132" s="112">
        <f t="shared" si="6"/>
        <v>0</v>
      </c>
      <c r="I132" s="112"/>
      <c r="J132" s="110">
        <f t="shared" si="4"/>
        <v>0</v>
      </c>
    </row>
    <row r="133" ht="3" customHeight="1" spans="1:10">
      <c r="A133" s="109"/>
      <c r="B133" s="110"/>
      <c r="C133" s="111"/>
      <c r="D133" s="112">
        <f>'27-1-26'!I133</f>
        <v>0</v>
      </c>
      <c r="E133" s="110"/>
      <c r="F133" s="110"/>
      <c r="G133" s="110"/>
      <c r="H133" s="112">
        <f t="shared" si="6"/>
        <v>0</v>
      </c>
      <c r="I133" s="112"/>
      <c r="J133" s="110">
        <f t="shared" si="4"/>
        <v>0</v>
      </c>
    </row>
    <row r="134" ht="3" customHeight="1" spans="1:10">
      <c r="A134" s="109"/>
      <c r="B134" s="110"/>
      <c r="C134" s="111"/>
      <c r="D134" s="112">
        <f>'27-1-26'!I134</f>
        <v>0</v>
      </c>
      <c r="E134" s="110"/>
      <c r="F134" s="110"/>
      <c r="G134" s="110"/>
      <c r="H134" s="112">
        <f t="shared" si="6"/>
        <v>0</v>
      </c>
      <c r="I134" s="112"/>
      <c r="J134" s="110">
        <f t="shared" si="4"/>
        <v>0</v>
      </c>
    </row>
    <row r="135" ht="3" customHeight="1" spans="1:10">
      <c r="A135" s="109"/>
      <c r="B135" s="110"/>
      <c r="C135" s="111"/>
      <c r="D135" s="112">
        <f>'27-1-26'!I135</f>
        <v>0</v>
      </c>
      <c r="E135" s="110"/>
      <c r="F135" s="110"/>
      <c r="G135" s="110"/>
      <c r="H135" s="112">
        <f t="shared" si="6"/>
        <v>0</v>
      </c>
      <c r="I135" s="112"/>
      <c r="J135" s="110">
        <f t="shared" si="4"/>
        <v>0</v>
      </c>
    </row>
    <row r="136" ht="3" customHeight="1" spans="1:10">
      <c r="A136" s="109"/>
      <c r="B136" s="110"/>
      <c r="C136" s="111"/>
      <c r="D136" s="112">
        <f>'27-1-26'!I136</f>
        <v>0</v>
      </c>
      <c r="E136" s="110"/>
      <c r="F136" s="110"/>
      <c r="G136" s="110"/>
      <c r="H136" s="112">
        <f t="shared" si="6"/>
        <v>0</v>
      </c>
      <c r="I136" s="112"/>
      <c r="J136" s="110">
        <f t="shared" si="4"/>
        <v>0</v>
      </c>
    </row>
    <row r="137" ht="3" customHeight="1" spans="1:10">
      <c r="A137" s="109"/>
      <c r="B137" s="110"/>
      <c r="C137" s="111"/>
      <c r="D137" s="112">
        <f>'27-1-26'!I137</f>
        <v>0</v>
      </c>
      <c r="E137" s="110"/>
      <c r="F137" s="110"/>
      <c r="G137" s="110"/>
      <c r="H137" s="112">
        <f t="shared" si="6"/>
        <v>0</v>
      </c>
      <c r="I137" s="112"/>
      <c r="J137" s="110">
        <f t="shared" ref="J137:J186" si="7">1/10*G137</f>
        <v>0</v>
      </c>
    </row>
    <row r="138" ht="3" customHeight="1" spans="1:10">
      <c r="A138" s="109"/>
      <c r="B138" s="110"/>
      <c r="C138" s="111"/>
      <c r="D138" s="112">
        <f>'27-1-26'!I138</f>
        <v>0</v>
      </c>
      <c r="E138" s="110"/>
      <c r="F138" s="110"/>
      <c r="G138" s="110"/>
      <c r="H138" s="112">
        <f t="shared" si="6"/>
        <v>0</v>
      </c>
      <c r="I138" s="112"/>
      <c r="J138" s="110">
        <f t="shared" si="7"/>
        <v>0</v>
      </c>
    </row>
    <row r="139" ht="3" customHeight="1" spans="1:10">
      <c r="A139" s="109"/>
      <c r="B139" s="110"/>
      <c r="C139" s="111"/>
      <c r="D139" s="112">
        <f>'27-1-26'!I139</f>
        <v>0</v>
      </c>
      <c r="E139" s="110"/>
      <c r="F139" s="110"/>
      <c r="G139" s="110"/>
      <c r="H139" s="112">
        <f t="shared" si="6"/>
        <v>0</v>
      </c>
      <c r="I139" s="112"/>
      <c r="J139" s="110">
        <f t="shared" si="7"/>
        <v>0</v>
      </c>
    </row>
    <row r="140" ht="3" customHeight="1" spans="1:10">
      <c r="A140" s="109"/>
      <c r="B140" s="110"/>
      <c r="C140" s="111"/>
      <c r="D140" s="112">
        <f>'27-1-26'!I140</f>
        <v>0</v>
      </c>
      <c r="E140" s="110"/>
      <c r="F140" s="110"/>
      <c r="G140" s="110"/>
      <c r="H140" s="112">
        <f t="shared" si="6"/>
        <v>0</v>
      </c>
      <c r="I140" s="112"/>
      <c r="J140" s="110">
        <f t="shared" si="7"/>
        <v>0</v>
      </c>
    </row>
    <row r="141" ht="3" customHeight="1" spans="1:10">
      <c r="A141" s="109"/>
      <c r="B141" s="110"/>
      <c r="C141" s="111"/>
      <c r="D141" s="112">
        <f>'27-1-26'!I141</f>
        <v>0</v>
      </c>
      <c r="E141" s="110"/>
      <c r="F141" s="110"/>
      <c r="G141" s="110"/>
      <c r="H141" s="112">
        <f t="shared" si="6"/>
        <v>0</v>
      </c>
      <c r="I141" s="112"/>
      <c r="J141" s="110">
        <f t="shared" si="7"/>
        <v>0</v>
      </c>
    </row>
    <row r="142" ht="3" customHeight="1" spans="1:10">
      <c r="A142" s="109"/>
      <c r="B142" s="110"/>
      <c r="C142" s="111"/>
      <c r="D142" s="112">
        <f>'27-1-26'!I142</f>
        <v>0</v>
      </c>
      <c r="E142" s="110"/>
      <c r="F142" s="110"/>
      <c r="G142" s="110"/>
      <c r="H142" s="112">
        <f t="shared" si="6"/>
        <v>0</v>
      </c>
      <c r="I142" s="112"/>
      <c r="J142" s="110">
        <f t="shared" si="7"/>
        <v>0</v>
      </c>
    </row>
    <row r="143" ht="3" customHeight="1" spans="1:10">
      <c r="A143" s="109"/>
      <c r="B143" s="110"/>
      <c r="C143" s="111"/>
      <c r="D143" s="112">
        <f>'27-1-26'!I143</f>
        <v>0</v>
      </c>
      <c r="E143" s="110"/>
      <c r="F143" s="110"/>
      <c r="G143" s="110"/>
      <c r="H143" s="112">
        <f t="shared" si="6"/>
        <v>0</v>
      </c>
      <c r="I143" s="112"/>
      <c r="J143" s="110">
        <f t="shared" si="7"/>
        <v>0</v>
      </c>
    </row>
    <row r="144" ht="3" customHeight="1" spans="1:10">
      <c r="A144" s="109"/>
      <c r="B144" s="110"/>
      <c r="C144" s="111"/>
      <c r="D144" s="112">
        <f>'27-1-26'!I144</f>
        <v>0</v>
      </c>
      <c r="E144" s="110"/>
      <c r="F144" s="110"/>
      <c r="G144" s="110"/>
      <c r="H144" s="112">
        <f t="shared" si="6"/>
        <v>0</v>
      </c>
      <c r="I144" s="112"/>
      <c r="J144" s="110">
        <f t="shared" si="7"/>
        <v>0</v>
      </c>
    </row>
    <row r="145" ht="3" customHeight="1" spans="1:10">
      <c r="A145" s="109"/>
      <c r="B145" s="110"/>
      <c r="C145" s="111"/>
      <c r="D145" s="112">
        <f>'27-1-26'!I145</f>
        <v>0</v>
      </c>
      <c r="E145" s="110"/>
      <c r="F145" s="110"/>
      <c r="G145" s="110"/>
      <c r="H145" s="112">
        <f t="shared" si="6"/>
        <v>0</v>
      </c>
      <c r="I145" s="112"/>
      <c r="J145" s="110">
        <f t="shared" si="7"/>
        <v>0</v>
      </c>
    </row>
    <row r="146" ht="3" customHeight="1" spans="1:10">
      <c r="A146" s="109"/>
      <c r="B146" s="110"/>
      <c r="C146" s="111"/>
      <c r="D146" s="112">
        <f>'27-1-26'!I146</f>
        <v>0</v>
      </c>
      <c r="E146" s="110"/>
      <c r="F146" s="110"/>
      <c r="G146" s="110"/>
      <c r="H146" s="112">
        <f t="shared" si="6"/>
        <v>0</v>
      </c>
      <c r="I146" s="112"/>
      <c r="J146" s="110">
        <f t="shared" si="7"/>
        <v>0</v>
      </c>
    </row>
    <row r="147" ht="3" customHeight="1" spans="1:10">
      <c r="A147" s="109"/>
      <c r="B147" s="110"/>
      <c r="C147" s="111"/>
      <c r="D147" s="112">
        <f>'27-1-26'!I147</f>
        <v>0</v>
      </c>
      <c r="E147" s="110"/>
      <c r="F147" s="110"/>
      <c r="G147" s="110"/>
      <c r="H147" s="112">
        <f t="shared" si="6"/>
        <v>0</v>
      </c>
      <c r="I147" s="112"/>
      <c r="J147" s="110">
        <f t="shared" si="7"/>
        <v>0</v>
      </c>
    </row>
    <row r="148" ht="3" customHeight="1" spans="1:10">
      <c r="A148" s="109"/>
      <c r="B148" s="110"/>
      <c r="C148" s="111"/>
      <c r="D148" s="112">
        <f>'27-1-26'!I148</f>
        <v>0</v>
      </c>
      <c r="E148" s="110"/>
      <c r="F148" s="110"/>
      <c r="G148" s="110"/>
      <c r="H148" s="112">
        <f t="shared" si="6"/>
        <v>0</v>
      </c>
      <c r="I148" s="112"/>
      <c r="J148" s="110">
        <f t="shared" si="7"/>
        <v>0</v>
      </c>
    </row>
    <row r="149" ht="3" customHeight="1" spans="1:10">
      <c r="A149" s="109"/>
      <c r="B149" s="110"/>
      <c r="C149" s="111"/>
      <c r="D149" s="112">
        <f>'27-1-26'!I149</f>
        <v>0</v>
      </c>
      <c r="E149" s="110"/>
      <c r="F149" s="110"/>
      <c r="G149" s="110"/>
      <c r="H149" s="112">
        <f t="shared" si="6"/>
        <v>0</v>
      </c>
      <c r="I149" s="112"/>
      <c r="J149" s="110">
        <f t="shared" si="7"/>
        <v>0</v>
      </c>
    </row>
    <row r="150" ht="3" customHeight="1" spans="1:10">
      <c r="A150" s="109"/>
      <c r="B150" s="110"/>
      <c r="C150" s="111"/>
      <c r="D150" s="112">
        <f>'27-1-26'!I150</f>
        <v>0</v>
      </c>
      <c r="E150" s="110"/>
      <c r="F150" s="110"/>
      <c r="G150" s="110"/>
      <c r="H150" s="112">
        <f t="shared" si="6"/>
        <v>0</v>
      </c>
      <c r="I150" s="112"/>
      <c r="J150" s="110">
        <f t="shared" si="7"/>
        <v>0</v>
      </c>
    </row>
    <row r="151" ht="3" customHeight="1" spans="1:10">
      <c r="A151" s="109"/>
      <c r="B151" s="110"/>
      <c r="C151" s="111"/>
      <c r="D151" s="112">
        <f>'27-1-26'!I151</f>
        <v>0</v>
      </c>
      <c r="E151" s="110"/>
      <c r="F151" s="110"/>
      <c r="G151" s="110"/>
      <c r="H151" s="112">
        <f t="shared" si="6"/>
        <v>0</v>
      </c>
      <c r="I151" s="112"/>
      <c r="J151" s="110">
        <f t="shared" si="7"/>
        <v>0</v>
      </c>
    </row>
    <row r="152" ht="3" customHeight="1" spans="1:10">
      <c r="A152" s="109"/>
      <c r="B152" s="110"/>
      <c r="C152" s="111"/>
      <c r="D152" s="112">
        <f>'27-1-26'!I152</f>
        <v>0</v>
      </c>
      <c r="E152" s="110"/>
      <c r="F152" s="110"/>
      <c r="G152" s="110"/>
      <c r="H152" s="112">
        <f t="shared" si="6"/>
        <v>0</v>
      </c>
      <c r="I152" s="112"/>
      <c r="J152" s="110">
        <f t="shared" si="7"/>
        <v>0</v>
      </c>
    </row>
    <row r="153" ht="3" customHeight="1" spans="1:10">
      <c r="A153" s="109"/>
      <c r="B153" s="110"/>
      <c r="C153" s="111"/>
      <c r="D153" s="112">
        <f>'27-1-26'!I153</f>
        <v>0</v>
      </c>
      <c r="E153" s="110"/>
      <c r="F153" s="110"/>
      <c r="G153" s="110"/>
      <c r="H153" s="112">
        <f t="shared" ref="H153:H186" si="8">SUM(F153:G153)</f>
        <v>0</v>
      </c>
      <c r="I153" s="112"/>
      <c r="J153" s="110">
        <f t="shared" si="7"/>
        <v>0</v>
      </c>
    </row>
    <row r="154" ht="3" customHeight="1" spans="1:10">
      <c r="A154" s="109"/>
      <c r="B154" s="110"/>
      <c r="C154" s="111"/>
      <c r="D154" s="112">
        <f>'27-1-26'!I154</f>
        <v>0</v>
      </c>
      <c r="E154" s="110"/>
      <c r="F154" s="110"/>
      <c r="G154" s="110"/>
      <c r="H154" s="112">
        <f t="shared" si="8"/>
        <v>0</v>
      </c>
      <c r="I154" s="112"/>
      <c r="J154" s="110">
        <f t="shared" si="7"/>
        <v>0</v>
      </c>
    </row>
    <row r="155" ht="3" customHeight="1" spans="1:10">
      <c r="A155" s="109"/>
      <c r="B155" s="110"/>
      <c r="C155" s="111"/>
      <c r="D155" s="112">
        <f>'27-1-26'!I155</f>
        <v>0</v>
      </c>
      <c r="E155" s="110"/>
      <c r="F155" s="110"/>
      <c r="G155" s="110"/>
      <c r="H155" s="112">
        <f t="shared" si="8"/>
        <v>0</v>
      </c>
      <c r="I155" s="112"/>
      <c r="J155" s="110">
        <f t="shared" si="7"/>
        <v>0</v>
      </c>
    </row>
    <row r="156" ht="3" customHeight="1" spans="1:10">
      <c r="A156" s="109"/>
      <c r="B156" s="110"/>
      <c r="C156" s="111"/>
      <c r="D156" s="112">
        <f>'27-1-26'!I156</f>
        <v>0</v>
      </c>
      <c r="E156" s="110"/>
      <c r="F156" s="110"/>
      <c r="G156" s="110"/>
      <c r="H156" s="112">
        <f t="shared" si="8"/>
        <v>0</v>
      </c>
      <c r="I156" s="112"/>
      <c r="J156" s="110">
        <f t="shared" si="7"/>
        <v>0</v>
      </c>
    </row>
    <row r="157" ht="3" customHeight="1" spans="1:10">
      <c r="A157" s="109"/>
      <c r="B157" s="110"/>
      <c r="C157" s="111"/>
      <c r="D157" s="112">
        <f>'27-1-26'!I157</f>
        <v>0</v>
      </c>
      <c r="E157" s="110"/>
      <c r="F157" s="110"/>
      <c r="G157" s="110"/>
      <c r="H157" s="112">
        <f t="shared" si="8"/>
        <v>0</v>
      </c>
      <c r="I157" s="112"/>
      <c r="J157" s="110">
        <f t="shared" si="7"/>
        <v>0</v>
      </c>
    </row>
    <row r="158" ht="3" customHeight="1" spans="1:10">
      <c r="A158" s="109"/>
      <c r="B158" s="110"/>
      <c r="C158" s="111"/>
      <c r="D158" s="112">
        <f>'27-1-26'!I158</f>
        <v>0</v>
      </c>
      <c r="E158" s="110"/>
      <c r="F158" s="110"/>
      <c r="G158" s="110"/>
      <c r="H158" s="112">
        <f t="shared" si="8"/>
        <v>0</v>
      </c>
      <c r="I158" s="112"/>
      <c r="J158" s="110">
        <f t="shared" si="7"/>
        <v>0</v>
      </c>
    </row>
    <row r="159" ht="3" customHeight="1" spans="1:10">
      <c r="A159" s="109"/>
      <c r="B159" s="110"/>
      <c r="C159" s="111"/>
      <c r="D159" s="112">
        <f>'27-1-26'!I159</f>
        <v>0</v>
      </c>
      <c r="E159" s="110"/>
      <c r="F159" s="110"/>
      <c r="G159" s="110"/>
      <c r="H159" s="112">
        <f t="shared" si="8"/>
        <v>0</v>
      </c>
      <c r="I159" s="112"/>
      <c r="J159" s="110">
        <f t="shared" si="7"/>
        <v>0</v>
      </c>
    </row>
    <row r="160" ht="3" customHeight="1" spans="1:10">
      <c r="A160" s="109"/>
      <c r="B160" s="110"/>
      <c r="C160" s="111"/>
      <c r="D160" s="112">
        <f>'27-1-26'!I160</f>
        <v>0</v>
      </c>
      <c r="E160" s="110"/>
      <c r="F160" s="110"/>
      <c r="G160" s="110"/>
      <c r="H160" s="112">
        <f t="shared" si="8"/>
        <v>0</v>
      </c>
      <c r="I160" s="112"/>
      <c r="J160" s="110">
        <f t="shared" si="7"/>
        <v>0</v>
      </c>
    </row>
    <row r="161" ht="3" customHeight="1" spans="1:10">
      <c r="A161" s="109"/>
      <c r="B161" s="110"/>
      <c r="C161" s="111"/>
      <c r="D161" s="112">
        <f>'27-1-26'!I161</f>
        <v>0</v>
      </c>
      <c r="E161" s="110"/>
      <c r="F161" s="110"/>
      <c r="G161" s="110"/>
      <c r="H161" s="112">
        <f t="shared" si="8"/>
        <v>0</v>
      </c>
      <c r="I161" s="112"/>
      <c r="J161" s="110">
        <f t="shared" si="7"/>
        <v>0</v>
      </c>
    </row>
    <row r="162" ht="3" customHeight="1" spans="1:10">
      <c r="A162" s="109"/>
      <c r="B162" s="110"/>
      <c r="C162" s="111"/>
      <c r="D162" s="112">
        <f>'27-1-26'!I162</f>
        <v>0</v>
      </c>
      <c r="E162" s="110"/>
      <c r="F162" s="110"/>
      <c r="G162" s="110"/>
      <c r="H162" s="112">
        <f t="shared" si="8"/>
        <v>0</v>
      </c>
      <c r="I162" s="112"/>
      <c r="J162" s="110">
        <f t="shared" si="7"/>
        <v>0</v>
      </c>
    </row>
    <row r="163" ht="3" customHeight="1" spans="1:10">
      <c r="A163" s="109"/>
      <c r="B163" s="110"/>
      <c r="C163" s="111"/>
      <c r="D163" s="112">
        <f>'27-1-26'!I163</f>
        <v>0</v>
      </c>
      <c r="E163" s="110"/>
      <c r="F163" s="110"/>
      <c r="G163" s="110"/>
      <c r="H163" s="112">
        <f t="shared" si="8"/>
        <v>0</v>
      </c>
      <c r="I163" s="112"/>
      <c r="J163" s="110">
        <f t="shared" si="7"/>
        <v>0</v>
      </c>
    </row>
    <row r="164" ht="3" customHeight="1" spans="1:10">
      <c r="A164" s="109"/>
      <c r="B164" s="110"/>
      <c r="C164" s="111"/>
      <c r="D164" s="112">
        <f>'27-1-26'!I164</f>
        <v>0</v>
      </c>
      <c r="E164" s="110"/>
      <c r="F164" s="110"/>
      <c r="G164" s="110"/>
      <c r="H164" s="112">
        <f t="shared" si="8"/>
        <v>0</v>
      </c>
      <c r="I164" s="112"/>
      <c r="J164" s="110">
        <f t="shared" si="7"/>
        <v>0</v>
      </c>
    </row>
    <row r="165" ht="3" customHeight="1" spans="1:10">
      <c r="A165" s="109"/>
      <c r="B165" s="110"/>
      <c r="C165" s="111"/>
      <c r="D165" s="112">
        <f>'27-1-26'!I165</f>
        <v>0</v>
      </c>
      <c r="E165" s="110"/>
      <c r="F165" s="110"/>
      <c r="G165" s="110"/>
      <c r="H165" s="112">
        <f t="shared" si="8"/>
        <v>0</v>
      </c>
      <c r="I165" s="112"/>
      <c r="J165" s="110">
        <f t="shared" si="7"/>
        <v>0</v>
      </c>
    </row>
    <row r="166" ht="3" customHeight="1" spans="1:10">
      <c r="A166" s="109"/>
      <c r="B166" s="110"/>
      <c r="C166" s="111"/>
      <c r="D166" s="112">
        <f>'27-1-26'!I166</f>
        <v>0</v>
      </c>
      <c r="E166" s="110"/>
      <c r="F166" s="110"/>
      <c r="G166" s="110"/>
      <c r="H166" s="112">
        <f t="shared" si="8"/>
        <v>0</v>
      </c>
      <c r="I166" s="112"/>
      <c r="J166" s="110">
        <f t="shared" si="7"/>
        <v>0</v>
      </c>
    </row>
    <row r="167" ht="3" customHeight="1" spans="1:10">
      <c r="A167" s="109"/>
      <c r="B167" s="110"/>
      <c r="C167" s="111"/>
      <c r="D167" s="112">
        <f>'27-1-26'!I167</f>
        <v>0</v>
      </c>
      <c r="E167" s="110"/>
      <c r="F167" s="110"/>
      <c r="G167" s="110"/>
      <c r="H167" s="112">
        <f t="shared" si="8"/>
        <v>0</v>
      </c>
      <c r="I167" s="112"/>
      <c r="J167" s="110">
        <f t="shared" si="7"/>
        <v>0</v>
      </c>
    </row>
    <row r="168" ht="3" customHeight="1" spans="1:10">
      <c r="A168" s="109"/>
      <c r="B168" s="110"/>
      <c r="C168" s="111"/>
      <c r="D168" s="112">
        <f>'27-1-26'!I168</f>
        <v>0</v>
      </c>
      <c r="E168" s="110"/>
      <c r="F168" s="110"/>
      <c r="G168" s="110"/>
      <c r="H168" s="112">
        <f t="shared" si="8"/>
        <v>0</v>
      </c>
      <c r="I168" s="112"/>
      <c r="J168" s="110">
        <f t="shared" si="7"/>
        <v>0</v>
      </c>
    </row>
    <row r="169" ht="3" customHeight="1" spans="1:10">
      <c r="A169" s="109"/>
      <c r="B169" s="110"/>
      <c r="C169" s="111"/>
      <c r="D169" s="112">
        <f>'27-1-26'!I169</f>
        <v>0</v>
      </c>
      <c r="E169" s="110"/>
      <c r="F169" s="110"/>
      <c r="G169" s="110"/>
      <c r="H169" s="112">
        <f t="shared" si="8"/>
        <v>0</v>
      </c>
      <c r="I169" s="112"/>
      <c r="J169" s="110">
        <f t="shared" si="7"/>
        <v>0</v>
      </c>
    </row>
    <row r="170" ht="3" customHeight="1" spans="1:10">
      <c r="A170" s="109"/>
      <c r="B170" s="110"/>
      <c r="C170" s="111"/>
      <c r="D170" s="112">
        <f>'27-1-26'!I170</f>
        <v>0</v>
      </c>
      <c r="E170" s="110"/>
      <c r="F170" s="110"/>
      <c r="G170" s="110"/>
      <c r="H170" s="112">
        <f t="shared" si="8"/>
        <v>0</v>
      </c>
      <c r="I170" s="112"/>
      <c r="J170" s="110">
        <f t="shared" si="7"/>
        <v>0</v>
      </c>
    </row>
    <row r="171" ht="3" customHeight="1" spans="1:10">
      <c r="A171" s="109"/>
      <c r="B171" s="110"/>
      <c r="C171" s="111"/>
      <c r="D171" s="112">
        <f>'27-1-26'!I171</f>
        <v>0</v>
      </c>
      <c r="E171" s="110"/>
      <c r="F171" s="110"/>
      <c r="G171" s="110"/>
      <c r="H171" s="112">
        <f t="shared" si="8"/>
        <v>0</v>
      </c>
      <c r="I171" s="112"/>
      <c r="J171" s="110">
        <f t="shared" si="7"/>
        <v>0</v>
      </c>
    </row>
    <row r="172" ht="3" customHeight="1" spans="1:10">
      <c r="A172" s="109"/>
      <c r="B172" s="110"/>
      <c r="C172" s="111"/>
      <c r="D172" s="112">
        <f>'27-1-26'!I172</f>
        <v>0</v>
      </c>
      <c r="E172" s="110"/>
      <c r="F172" s="110"/>
      <c r="G172" s="110"/>
      <c r="H172" s="112">
        <f t="shared" si="8"/>
        <v>0</v>
      </c>
      <c r="I172" s="112"/>
      <c r="J172" s="110">
        <f t="shared" si="7"/>
        <v>0</v>
      </c>
    </row>
    <row r="173" ht="3" customHeight="1" spans="1:10">
      <c r="A173" s="109"/>
      <c r="B173" s="110"/>
      <c r="C173" s="111"/>
      <c r="D173" s="112">
        <f>'27-1-26'!I173</f>
        <v>0</v>
      </c>
      <c r="E173" s="110"/>
      <c r="F173" s="110"/>
      <c r="G173" s="110"/>
      <c r="H173" s="112">
        <f t="shared" si="8"/>
        <v>0</v>
      </c>
      <c r="I173" s="112"/>
      <c r="J173" s="110">
        <f t="shared" si="7"/>
        <v>0</v>
      </c>
    </row>
    <row r="174" ht="3" customHeight="1" spans="1:10">
      <c r="A174" s="109"/>
      <c r="B174" s="110"/>
      <c r="C174" s="111"/>
      <c r="D174" s="112">
        <f>'27-1-26'!I174</f>
        <v>0</v>
      </c>
      <c r="E174" s="110"/>
      <c r="F174" s="110"/>
      <c r="G174" s="110"/>
      <c r="H174" s="112">
        <f t="shared" si="8"/>
        <v>0</v>
      </c>
      <c r="I174" s="112"/>
      <c r="J174" s="110">
        <f t="shared" si="7"/>
        <v>0</v>
      </c>
    </row>
    <row r="175" ht="3" customHeight="1" spans="1:10">
      <c r="A175" s="109"/>
      <c r="B175" s="110"/>
      <c r="C175" s="111"/>
      <c r="D175" s="112">
        <f>'27-1-26'!I175</f>
        <v>0</v>
      </c>
      <c r="E175" s="110"/>
      <c r="F175" s="110"/>
      <c r="G175" s="110"/>
      <c r="H175" s="112">
        <f t="shared" si="8"/>
        <v>0</v>
      </c>
      <c r="I175" s="112"/>
      <c r="J175" s="110">
        <f t="shared" si="7"/>
        <v>0</v>
      </c>
    </row>
    <row r="176" ht="3" customHeight="1" spans="1:10">
      <c r="A176" s="109"/>
      <c r="B176" s="110"/>
      <c r="C176" s="111"/>
      <c r="D176" s="112">
        <f>'27-1-26'!I176</f>
        <v>0</v>
      </c>
      <c r="E176" s="110"/>
      <c r="F176" s="110"/>
      <c r="G176" s="110"/>
      <c r="H176" s="112">
        <f t="shared" si="8"/>
        <v>0</v>
      </c>
      <c r="I176" s="112"/>
      <c r="J176" s="110">
        <f t="shared" si="7"/>
        <v>0</v>
      </c>
    </row>
    <row r="177" ht="3" customHeight="1" spans="1:11">
      <c r="A177" s="109"/>
      <c r="B177" s="110"/>
      <c r="C177" s="111"/>
      <c r="D177" s="112">
        <f>'27-1-26'!I177</f>
        <v>0</v>
      </c>
      <c r="E177" s="110"/>
      <c r="F177" s="110"/>
      <c r="G177" s="110"/>
      <c r="H177" s="112">
        <f t="shared" si="8"/>
        <v>0</v>
      </c>
      <c r="I177" s="112"/>
      <c r="J177" s="110">
        <f t="shared" si="7"/>
        <v>0</v>
      </c>
    </row>
    <row r="178" ht="3" customHeight="1" spans="1:11">
      <c r="A178" s="109"/>
      <c r="B178" s="110"/>
      <c r="C178" s="111"/>
      <c r="D178" s="112">
        <f>'27-1-26'!I178</f>
        <v>0</v>
      </c>
      <c r="E178" s="110"/>
      <c r="F178" s="110"/>
      <c r="G178" s="110"/>
      <c r="H178" s="112">
        <f t="shared" si="8"/>
        <v>0</v>
      </c>
      <c r="I178" s="112"/>
      <c r="J178" s="110">
        <f t="shared" si="7"/>
        <v>0</v>
      </c>
    </row>
    <row r="179" ht="3" customHeight="1" spans="1:11">
      <c r="A179" s="109"/>
      <c r="B179" s="110"/>
      <c r="C179" s="111"/>
      <c r="D179" s="112">
        <f>'27-1-26'!I179</f>
        <v>0</v>
      </c>
      <c r="E179" s="110"/>
      <c r="F179" s="110"/>
      <c r="G179" s="110"/>
      <c r="H179" s="112">
        <f t="shared" si="8"/>
        <v>0</v>
      </c>
      <c r="I179" s="112"/>
      <c r="J179" s="110">
        <f t="shared" si="7"/>
        <v>0</v>
      </c>
    </row>
    <row r="180" ht="3" customHeight="1" spans="1:11">
      <c r="A180" s="109"/>
      <c r="B180" s="110"/>
      <c r="C180" s="111"/>
      <c r="D180" s="112">
        <f>'27-1-26'!I180</f>
        <v>0</v>
      </c>
      <c r="E180" s="110"/>
      <c r="F180" s="110"/>
      <c r="G180" s="110"/>
      <c r="H180" s="112">
        <f t="shared" si="8"/>
        <v>0</v>
      </c>
      <c r="I180" s="112"/>
      <c r="J180" s="110">
        <f t="shared" si="7"/>
        <v>0</v>
      </c>
    </row>
    <row r="181" ht="12.75" customHeight="1" spans="1:11">
      <c r="A181" s="109"/>
      <c r="B181" s="110"/>
      <c r="C181" s="111"/>
      <c r="D181" s="112">
        <f>'27-1-26'!I181</f>
        <v>0</v>
      </c>
      <c r="E181" s="110"/>
      <c r="F181" s="110"/>
      <c r="G181" s="110"/>
      <c r="H181" s="112">
        <f t="shared" si="8"/>
        <v>0</v>
      </c>
      <c r="I181" s="112"/>
      <c r="J181" s="110">
        <f t="shared" si="7"/>
        <v>0</v>
      </c>
    </row>
    <row r="182" ht="12.75" customHeight="1" spans="1:11">
      <c r="A182" s="109"/>
      <c r="B182" s="110"/>
      <c r="C182" s="111"/>
      <c r="D182" s="112">
        <f>'27-1-26'!I182</f>
        <v>0</v>
      </c>
      <c r="E182" s="110"/>
      <c r="F182" s="110"/>
      <c r="G182" s="110"/>
      <c r="H182" s="112">
        <f t="shared" si="8"/>
        <v>0</v>
      </c>
      <c r="I182" s="112"/>
      <c r="J182" s="110">
        <f t="shared" si="7"/>
        <v>0</v>
      </c>
    </row>
    <row r="183" ht="12.75" customHeight="1" spans="1:11">
      <c r="A183" s="109"/>
      <c r="B183" s="110"/>
      <c r="C183" s="111"/>
      <c r="D183" s="112">
        <f>'27-1-26'!I183</f>
        <v>0</v>
      </c>
      <c r="E183" s="110"/>
      <c r="F183" s="110"/>
      <c r="G183" s="110"/>
      <c r="H183" s="112">
        <f t="shared" si="8"/>
        <v>0</v>
      </c>
      <c r="I183" s="112"/>
      <c r="J183" s="110">
        <f t="shared" si="7"/>
        <v>0</v>
      </c>
    </row>
    <row r="184" ht="12.75" customHeight="1" spans="1:11">
      <c r="A184" s="109"/>
      <c r="B184" s="110"/>
      <c r="C184" s="111"/>
      <c r="D184" s="112">
        <f>'27-1-26'!I184</f>
        <v>0</v>
      </c>
      <c r="E184" s="110"/>
      <c r="F184" s="110"/>
      <c r="G184" s="110"/>
      <c r="H184" s="112">
        <f t="shared" si="8"/>
        <v>0</v>
      </c>
      <c r="I184" s="112"/>
      <c r="J184" s="110">
        <f t="shared" si="7"/>
        <v>0</v>
      </c>
    </row>
    <row r="185" ht="12.75" customHeight="1" spans="1:11">
      <c r="A185" s="109"/>
      <c r="B185" s="110"/>
      <c r="C185" s="111"/>
      <c r="D185" s="112">
        <f>'27-1-26'!I185</f>
        <v>0</v>
      </c>
      <c r="E185" s="110"/>
      <c r="F185" s="110"/>
      <c r="G185" s="110"/>
      <c r="H185" s="112">
        <f t="shared" si="8"/>
        <v>0</v>
      </c>
      <c r="I185" s="112"/>
      <c r="J185" s="110">
        <f t="shared" si="7"/>
        <v>0</v>
      </c>
    </row>
    <row r="186" ht="11.25" spans="1:11">
      <c r="A186" s="109"/>
      <c r="B186" s="110"/>
      <c r="C186" s="111"/>
      <c r="D186" s="112">
        <f>'27-1-26'!I186</f>
        <v>0</v>
      </c>
      <c r="E186" s="110"/>
      <c r="F186" s="110"/>
      <c r="G186" s="110"/>
      <c r="H186" s="112">
        <f t="shared" si="8"/>
        <v>0</v>
      </c>
      <c r="I186" s="112">
        <f t="shared" si="2"/>
        <v>0</v>
      </c>
      <c r="J186" s="110">
        <f t="shared" si="7"/>
        <v>0</v>
      </c>
    </row>
    <row r="187" spans="1:11">
      <c r="A187" s="113"/>
      <c r="B187" s="114" t="s">
        <v>124</v>
      </c>
      <c r="C187" s="115"/>
      <c r="D187" s="116">
        <f>SUM(D9:D186)</f>
        <v>373175000</v>
      </c>
      <c r="E187" s="116">
        <f t="shared" ref="E187:J187" si="9">SUM(E9:E186)</f>
        <v>57</v>
      </c>
      <c r="F187" s="116">
        <f t="shared" si="9"/>
        <v>3633000</v>
      </c>
      <c r="G187" s="116">
        <f t="shared" si="9"/>
        <v>2292000</v>
      </c>
      <c r="H187" s="116">
        <f t="shared" si="9"/>
        <v>5925000</v>
      </c>
      <c r="I187" s="116">
        <f t="shared" si="9"/>
        <v>369542000</v>
      </c>
      <c r="J187" s="116">
        <f t="shared" si="9"/>
        <v>229200</v>
      </c>
    </row>
    <row r="188" ht="11.25" spans="1:11">
      <c r="A188" s="117"/>
      <c r="B188" s="117"/>
      <c r="C188" s="117"/>
    </row>
    <row r="189" customHeight="1" spans="1:11">
      <c r="A189" s="118"/>
      <c r="B189" s="117" t="s">
        <v>125</v>
      </c>
      <c r="C189" s="95" t="s">
        <v>126</v>
      </c>
      <c r="D189" s="119"/>
      <c r="K189" s="118"/>
    </row>
    <row r="190" customHeight="1" spans="1:11">
      <c r="A190" s="118"/>
      <c r="B190" s="117" t="s">
        <v>127</v>
      </c>
      <c r="C190" s="95" t="s">
        <v>128</v>
      </c>
      <c r="D190" s="117">
        <f>G187</f>
        <v>2292000</v>
      </c>
      <c r="F190" s="132" t="s">
        <v>151</v>
      </c>
      <c r="G190" s="117"/>
      <c r="H190" s="117"/>
      <c r="I190" s="117"/>
      <c r="K190" s="118"/>
    </row>
    <row r="191" customHeight="1" spans="1:11">
      <c r="A191" s="118"/>
      <c r="B191" s="117" t="s">
        <v>130</v>
      </c>
      <c r="C191" s="95" t="s">
        <v>128</v>
      </c>
      <c r="D191" s="117">
        <f>D190/20</f>
        <v>114600</v>
      </c>
      <c r="F191" s="117" t="s">
        <v>131</v>
      </c>
      <c r="G191" s="117"/>
      <c r="H191" s="117"/>
      <c r="I191" s="117"/>
      <c r="K191" s="118"/>
    </row>
    <row r="192" customHeight="1" spans="1:11">
      <c r="A192" s="118"/>
      <c r="B192" s="117" t="s">
        <v>132</v>
      </c>
      <c r="C192" s="95" t="s">
        <v>133</v>
      </c>
      <c r="D192" s="117"/>
      <c r="F192" s="117" t="s">
        <v>134</v>
      </c>
      <c r="G192" s="121"/>
      <c r="H192" s="117" t="s">
        <v>135</v>
      </c>
      <c r="K192" s="118"/>
    </row>
    <row r="193" customHeight="1" spans="1:11">
      <c r="A193" s="118"/>
      <c r="B193" s="117" t="s">
        <v>136</v>
      </c>
      <c r="C193" s="95" t="s">
        <v>128</v>
      </c>
      <c r="D193" s="117">
        <f>11*D191</f>
        <v>1260600</v>
      </c>
      <c r="F193" s="117"/>
      <c r="G193" s="121"/>
      <c r="H193" s="117"/>
      <c r="K193" s="118"/>
    </row>
    <row r="194" customHeight="1" spans="1:11">
      <c r="A194" s="118"/>
      <c r="B194" s="117" t="s">
        <v>137</v>
      </c>
      <c r="C194" s="95" t="s">
        <v>128</v>
      </c>
      <c r="D194" s="117">
        <f>1/2*D191</f>
        <v>57300</v>
      </c>
      <c r="F194" s="117"/>
      <c r="G194" s="121"/>
      <c r="H194" s="117"/>
      <c r="K194" s="118"/>
    </row>
    <row r="195" customHeight="1" spans="1:11">
      <c r="A195" s="118"/>
      <c r="B195" s="117" t="s">
        <v>138</v>
      </c>
      <c r="C195" s="95" t="s">
        <v>128</v>
      </c>
      <c r="D195" s="117">
        <f>1/2*D191</f>
        <v>57300</v>
      </c>
      <c r="F195" s="117"/>
      <c r="G195" s="121"/>
      <c r="H195" s="117"/>
      <c r="K195" s="118"/>
    </row>
    <row r="196" customHeight="1" spans="1:11">
      <c r="B196" s="117" t="s">
        <v>139</v>
      </c>
      <c r="C196" s="95" t="s">
        <v>128</v>
      </c>
      <c r="D196" s="117">
        <f>1/2*D191</f>
        <v>57300</v>
      </c>
      <c r="F196" s="117"/>
      <c r="G196" s="121"/>
      <c r="H196" s="117"/>
    </row>
    <row r="197" customHeight="1" spans="1:11">
      <c r="B197" s="117" t="s">
        <v>140</v>
      </c>
      <c r="C197" s="95" t="s">
        <v>128</v>
      </c>
      <c r="D197" s="117">
        <f>1/2*D191</f>
        <v>57300</v>
      </c>
      <c r="F197" s="117" t="s">
        <v>141</v>
      </c>
      <c r="G197" s="121"/>
      <c r="H197" s="117" t="s">
        <v>142</v>
      </c>
    </row>
    <row r="198" customHeight="1" spans="1:11">
      <c r="B198" s="117" t="s">
        <v>10</v>
      </c>
      <c r="C198" s="95" t="s">
        <v>128</v>
      </c>
      <c r="D198" s="117">
        <f>2*D191</f>
        <v>229200</v>
      </c>
      <c r="G198" s="117"/>
      <c r="H198" s="117"/>
      <c r="I198" s="117"/>
    </row>
    <row r="199" customHeight="1" spans="1:11">
      <c r="B199" s="117" t="s">
        <v>143</v>
      </c>
      <c r="C199" s="95" t="s">
        <v>128</v>
      </c>
      <c r="D199" s="117">
        <f>5*D191</f>
        <v>573000</v>
      </c>
    </row>
    <row r="200" customHeight="1" spans="1:11">
      <c r="B200" s="122" t="s">
        <v>124</v>
      </c>
      <c r="C200" s="123" t="s">
        <v>128</v>
      </c>
      <c r="D200" s="122">
        <f>SUM(D193:D199)</f>
        <v>2292000</v>
      </c>
    </row>
    <row r="201" customHeight="1" spans="1:11">
      <c r="E201" s="124"/>
    </row>
    <row r="205" ht="11.25" spans="1:11">
      <c r="D205" s="125"/>
      <c r="E205" s="125"/>
      <c r="F205" s="125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95" right="0.2" top="0.75" bottom="2.25" header="0.3" footer="0.3"/>
  <pageSetup paperSize="5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49" workbookViewId="0">
      <selection activeCell="P43" sqref="P43"/>
    </sheetView>
  </sheetViews>
  <sheetFormatPr defaultColWidth="9.14285714285714" defaultRowHeight="11.1" customHeight="1"/>
  <cols>
    <col min="1" max="1" width="4.42857142857143" style="45" customWidth="1"/>
    <col min="2" max="2" width="14" style="45" customWidth="1"/>
    <col min="3" max="3" width="8.14285714285714" style="46" customWidth="1"/>
    <col min="4" max="4" width="12.5714285714286" style="45" customWidth="1"/>
    <col min="5" max="5" width="4.85714285714286" style="45" customWidth="1"/>
    <col min="6" max="6" width="10.1428571428571" style="45" customWidth="1"/>
    <col min="7" max="7" width="9.14285714285714" style="45" customWidth="1"/>
    <col min="8" max="8" width="10.4285714285714" style="45" customWidth="1"/>
    <col min="9" max="9" width="12.2857142857143" style="45" customWidth="1"/>
    <col min="10" max="10" width="8.14285714285714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152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'3-2-26'!I9</f>
        <v>5500000</v>
      </c>
      <c r="E9" s="69"/>
      <c r="F9" s="69">
        <v>0</v>
      </c>
      <c r="G9" s="69">
        <f t="shared" ref="G9:H24" si="0">SUM(E9:F9)</f>
        <v>0</v>
      </c>
      <c r="H9" s="71">
        <f t="shared" si="0"/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'3-2-26'!I10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'3-2-26'!I11</f>
        <v>1750000</v>
      </c>
      <c r="E11" s="69"/>
      <c r="F11" s="69"/>
      <c r="G11" s="69"/>
      <c r="H11" s="71">
        <f t="shared" si="0"/>
        <v>0</v>
      </c>
      <c r="I11" s="71">
        <f t="shared" si="2"/>
        <v>1750000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'3-2-26'!I12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'3-2-26'!I13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'3-2-26'!I14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'3-2-26'!I15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'3-2-26'!I16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'3-2-26'!I17</f>
        <v>6500000</v>
      </c>
      <c r="E17" s="69">
        <v>11</v>
      </c>
      <c r="F17" s="69">
        <v>350000</v>
      </c>
      <c r="G17" s="69">
        <v>200000</v>
      </c>
      <c r="H17" s="71">
        <f t="shared" si="0"/>
        <v>550000</v>
      </c>
      <c r="I17" s="71">
        <f t="shared" si="2"/>
        <v>6150000</v>
      </c>
      <c r="J17" s="69">
        <f t="shared" si="1"/>
        <v>20000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'3-2-26'!I18</f>
        <v>12595000</v>
      </c>
      <c r="E18" s="69"/>
      <c r="F18" s="69"/>
      <c r="G18" s="69"/>
      <c r="H18" s="71">
        <f t="shared" si="0"/>
        <v>0</v>
      </c>
      <c r="I18" s="71">
        <f t="shared" si="2"/>
        <v>12595000</v>
      </c>
      <c r="J18" s="69">
        <f t="shared" si="1"/>
        <v>0</v>
      </c>
    </row>
    <row r="19" ht="12.75" spans="1:10">
      <c r="A19" s="68">
        <v>14</v>
      </c>
      <c r="B19" s="69" t="s">
        <v>35</v>
      </c>
      <c r="C19" s="128" t="s">
        <v>36</v>
      </c>
      <c r="D19" s="71">
        <f>'3-2-26'!I19</f>
        <v>4000000</v>
      </c>
      <c r="E19" s="69">
        <v>5</v>
      </c>
      <c r="F19" s="69">
        <v>250000</v>
      </c>
      <c r="G19" s="69">
        <v>100000</v>
      </c>
      <c r="H19" s="71">
        <f t="shared" si="0"/>
        <v>350000</v>
      </c>
      <c r="I19" s="71">
        <f t="shared" si="2"/>
        <v>3750000</v>
      </c>
      <c r="J19" s="69">
        <f t="shared" si="1"/>
        <v>10000</v>
      </c>
    </row>
    <row r="20" ht="12.75" spans="1:10">
      <c r="A20" s="68">
        <v>18</v>
      </c>
      <c r="B20" s="69" t="s">
        <v>37</v>
      </c>
      <c r="C20" s="128" t="s">
        <v>38</v>
      </c>
      <c r="D20" s="71">
        <f>'3-2-26'!I20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71">
        <f>'3-2-26'!I21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71">
        <f>'3-2-26'!I22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ht="12.75" spans="1:10">
      <c r="A23" s="68">
        <v>23</v>
      </c>
      <c r="B23" s="69" t="s">
        <v>43</v>
      </c>
      <c r="C23" s="128" t="s">
        <v>42</v>
      </c>
      <c r="D23" s="71">
        <f>'3-2-26'!I23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71">
        <f>'3-2-26'!I24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71">
        <f>'3-2-26'!I25</f>
        <v>22200000</v>
      </c>
      <c r="E25" s="69"/>
      <c r="F25" s="69"/>
      <c r="G25" s="69"/>
      <c r="H25" s="71">
        <f t="shared" ref="H25:H88" si="3">SUM(F25:G25)</f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71">
        <f>'3-2-26'!I26</f>
        <v>3800000</v>
      </c>
      <c r="E26" s="69"/>
      <c r="F26" s="69"/>
      <c r="G26" s="69"/>
      <c r="H26" s="71">
        <f t="shared" si="3"/>
        <v>0</v>
      </c>
      <c r="I26" s="71">
        <f t="shared" si="2"/>
        <v>3800000</v>
      </c>
      <c r="J26" s="69">
        <f t="shared" si="1"/>
        <v>0</v>
      </c>
    </row>
    <row r="27" ht="12.75" spans="1:10">
      <c r="A27" s="68">
        <v>29</v>
      </c>
      <c r="B27" s="69" t="s">
        <v>49</v>
      </c>
      <c r="C27" s="128" t="s">
        <v>50</v>
      </c>
      <c r="D27" s="71">
        <f>'3-2-26'!I27</f>
        <v>1030000</v>
      </c>
      <c r="E27" s="69"/>
      <c r="F27" s="69"/>
      <c r="G27" s="69"/>
      <c r="H27" s="71">
        <f t="shared" si="3"/>
        <v>0</v>
      </c>
      <c r="I27" s="71">
        <f t="shared" si="2"/>
        <v>1030000</v>
      </c>
      <c r="J27" s="69">
        <f t="shared" si="1"/>
        <v>0</v>
      </c>
    </row>
    <row r="28" ht="12.75" spans="1:10">
      <c r="A28" s="68">
        <v>30</v>
      </c>
      <c r="B28" s="69" t="s">
        <v>51</v>
      </c>
      <c r="C28" s="128" t="s">
        <v>52</v>
      </c>
      <c r="D28" s="71">
        <f>'3-2-26'!I28</f>
        <v>0</v>
      </c>
      <c r="E28" s="69"/>
      <c r="F28" s="69"/>
      <c r="G28" s="69"/>
      <c r="H28" s="71">
        <f t="shared" si="3"/>
        <v>0</v>
      </c>
      <c r="I28" s="71">
        <f t="shared" si="2"/>
        <v>0</v>
      </c>
      <c r="J28" s="69">
        <f t="shared" si="1"/>
        <v>0</v>
      </c>
    </row>
    <row r="29" ht="12.75" spans="1:10">
      <c r="A29" s="68">
        <v>31</v>
      </c>
      <c r="B29" s="69" t="s">
        <v>53</v>
      </c>
      <c r="C29" s="128" t="s">
        <v>54</v>
      </c>
      <c r="D29" s="71">
        <f>'3-2-26'!I29</f>
        <v>0</v>
      </c>
      <c r="E29" s="69"/>
      <c r="F29" s="69"/>
      <c r="G29" s="69"/>
      <c r="H29" s="71">
        <f t="shared" si="3"/>
        <v>0</v>
      </c>
      <c r="I29" s="71">
        <f t="shared" si="2"/>
        <v>0</v>
      </c>
      <c r="J29" s="69">
        <f t="shared" si="1"/>
        <v>0</v>
      </c>
    </row>
    <row r="30" ht="12.75" spans="1:10">
      <c r="A30" s="68">
        <v>33</v>
      </c>
      <c r="B30" s="69" t="s">
        <v>55</v>
      </c>
      <c r="C30" s="128" t="s">
        <v>56</v>
      </c>
      <c r="D30" s="71">
        <f>'3-2-26'!I30</f>
        <v>2750000</v>
      </c>
      <c r="E30" s="69"/>
      <c r="F30" s="69"/>
      <c r="G30" s="69"/>
      <c r="H30" s="71">
        <f t="shared" si="3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71">
        <f>'3-2-26'!I31</f>
        <v>1250000</v>
      </c>
      <c r="E31" s="69"/>
      <c r="F31" s="69"/>
      <c r="G31" s="69"/>
      <c r="H31" s="71">
        <f t="shared" si="3"/>
        <v>0</v>
      </c>
      <c r="I31" s="71">
        <f t="shared" si="2"/>
        <v>1250000</v>
      </c>
      <c r="J31" s="69">
        <f t="shared" si="1"/>
        <v>0</v>
      </c>
    </row>
    <row r="32" ht="12.75" spans="1:10">
      <c r="A32" s="68">
        <v>35</v>
      </c>
      <c r="B32" s="69" t="s">
        <v>59</v>
      </c>
      <c r="C32" s="128" t="s">
        <v>58</v>
      </c>
      <c r="D32" s="71">
        <f>'3-2-26'!I32</f>
        <v>12000000</v>
      </c>
      <c r="E32" s="69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71">
        <f>'3-2-26'!I33</f>
        <v>750000</v>
      </c>
      <c r="E33" s="69">
        <v>16</v>
      </c>
      <c r="F33" s="69">
        <v>150000</v>
      </c>
      <c r="G33" s="69">
        <v>60000</v>
      </c>
      <c r="H33" s="71">
        <f t="shared" si="3"/>
        <v>210000</v>
      </c>
      <c r="I33" s="71">
        <f t="shared" si="2"/>
        <v>600000</v>
      </c>
      <c r="J33" s="69">
        <f t="shared" si="1"/>
        <v>6000</v>
      </c>
    </row>
    <row r="34" ht="12.75" spans="1:10">
      <c r="A34" s="68">
        <v>43</v>
      </c>
      <c r="B34" s="69" t="s">
        <v>62</v>
      </c>
      <c r="C34" s="127" t="s">
        <v>63</v>
      </c>
      <c r="D34" s="71">
        <f>'3-2-26'!I34</f>
        <v>2800000</v>
      </c>
      <c r="E34" s="69"/>
      <c r="F34" s="69"/>
      <c r="G34" s="69"/>
      <c r="H34" s="71">
        <f t="shared" si="3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71">
        <f>'3-2-26'!I35</f>
        <v>3500000</v>
      </c>
      <c r="E35" s="69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71">
        <f>'3-2-26'!I36</f>
        <v>10600000</v>
      </c>
      <c r="E36" s="69"/>
      <c r="F36" s="69"/>
      <c r="G36" s="69"/>
      <c r="H36" s="71">
        <f t="shared" si="3"/>
        <v>0</v>
      </c>
      <c r="I36" s="71">
        <f t="shared" si="2"/>
        <v>10600000</v>
      </c>
      <c r="J36" s="69">
        <f t="shared" si="1"/>
        <v>0</v>
      </c>
    </row>
    <row r="37" ht="12.75" spans="1:10">
      <c r="A37" s="68">
        <v>49</v>
      </c>
      <c r="B37" s="69" t="s">
        <v>67</v>
      </c>
      <c r="C37" s="127" t="s">
        <v>68</v>
      </c>
      <c r="D37" s="71">
        <f>'3-2-26'!I37</f>
        <v>1250000</v>
      </c>
      <c r="E37" s="69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71">
        <f>'3-2-26'!I38</f>
        <v>5800000</v>
      </c>
      <c r="E38" s="69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71">
        <f>'3-2-26'!I39</f>
        <v>14320000</v>
      </c>
      <c r="E39" s="69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71">
        <f>'3-2-26'!I40</f>
        <v>400000</v>
      </c>
      <c r="E40" s="69">
        <v>14</v>
      </c>
      <c r="F40" s="69">
        <v>200000</v>
      </c>
      <c r="G40" s="69">
        <v>60000</v>
      </c>
      <c r="H40" s="71">
        <f t="shared" si="3"/>
        <v>260000</v>
      </c>
      <c r="I40" s="71">
        <f t="shared" si="2"/>
        <v>200000</v>
      </c>
      <c r="J40" s="69">
        <f t="shared" si="1"/>
        <v>6000</v>
      </c>
    </row>
    <row r="41" ht="12.75" spans="1:10">
      <c r="A41" s="68">
        <v>64</v>
      </c>
      <c r="B41" s="69" t="s">
        <v>75</v>
      </c>
      <c r="C41" s="127" t="s">
        <v>76</v>
      </c>
      <c r="D41" s="71">
        <f>'3-2-26'!I41</f>
        <v>1800000</v>
      </c>
      <c r="E41" s="69"/>
      <c r="F41" s="69"/>
      <c r="G41" s="69"/>
      <c r="H41" s="71">
        <f t="shared" si="3"/>
        <v>0</v>
      </c>
      <c r="I41" s="71">
        <f t="shared" si="2"/>
        <v>1800000</v>
      </c>
      <c r="J41" s="69">
        <f t="shared" si="1"/>
        <v>0</v>
      </c>
    </row>
    <row r="42" ht="12.75" spans="1:10">
      <c r="A42" s="68">
        <v>65</v>
      </c>
      <c r="B42" s="69" t="s">
        <v>77</v>
      </c>
      <c r="C42" s="127" t="s">
        <v>78</v>
      </c>
      <c r="D42" s="71">
        <f>'3-2-26'!I42</f>
        <v>1200000</v>
      </c>
      <c r="E42" s="69"/>
      <c r="F42" s="69"/>
      <c r="G42" s="69"/>
      <c r="H42" s="71">
        <f t="shared" si="3"/>
        <v>0</v>
      </c>
      <c r="I42" s="71">
        <f t="shared" si="2"/>
        <v>1200000</v>
      </c>
      <c r="J42" s="69">
        <f t="shared" si="1"/>
        <v>0</v>
      </c>
    </row>
    <row r="43" ht="12.75" spans="1:10">
      <c r="A43" s="68">
        <v>69</v>
      </c>
      <c r="B43" s="69" t="s">
        <v>79</v>
      </c>
      <c r="C43" s="127" t="s">
        <v>80</v>
      </c>
      <c r="D43" s="71">
        <f>'3-2-26'!I43</f>
        <v>5250000</v>
      </c>
      <c r="E43" s="69"/>
      <c r="F43" s="69"/>
      <c r="G43" s="69"/>
      <c r="H43" s="71">
        <f t="shared" si="3"/>
        <v>0</v>
      </c>
      <c r="I43" s="71">
        <f t="shared" si="2"/>
        <v>5250000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71">
        <f>'3-2-26'!I44</f>
        <v>10320000</v>
      </c>
      <c r="E44" s="69"/>
      <c r="F44" s="69"/>
      <c r="G44" s="69"/>
      <c r="H44" s="71">
        <f t="shared" si="3"/>
        <v>0</v>
      </c>
      <c r="I44" s="71">
        <f t="shared" si="2"/>
        <v>10320000</v>
      </c>
      <c r="J44" s="69">
        <f t="shared" si="1"/>
        <v>0</v>
      </c>
    </row>
    <row r="45" ht="12.75" spans="1:10">
      <c r="A45" s="68">
        <v>71</v>
      </c>
      <c r="B45" s="69" t="s">
        <v>83</v>
      </c>
      <c r="C45" s="70" t="s">
        <v>84</v>
      </c>
      <c r="D45" s="71">
        <f>'3-2-26'!I45</f>
        <v>10875000</v>
      </c>
      <c r="E45" s="69"/>
      <c r="F45" s="69"/>
      <c r="G45" s="69"/>
      <c r="H45" s="71">
        <f t="shared" si="3"/>
        <v>0</v>
      </c>
      <c r="I45" s="71">
        <f t="shared" si="2"/>
        <v>10875000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71">
        <f>'3-2-26'!I46</f>
        <v>600000</v>
      </c>
      <c r="E46" s="69">
        <v>17</v>
      </c>
      <c r="F46" s="69">
        <v>150000</v>
      </c>
      <c r="G46" s="69">
        <v>60000</v>
      </c>
      <c r="H46" s="71">
        <f t="shared" si="3"/>
        <v>210000</v>
      </c>
      <c r="I46" s="71">
        <f t="shared" si="2"/>
        <v>450000</v>
      </c>
      <c r="J46" s="69">
        <f t="shared" si="1"/>
        <v>6000</v>
      </c>
    </row>
    <row r="47" ht="12.75" spans="1:10">
      <c r="A47" s="68">
        <v>76</v>
      </c>
      <c r="B47" s="69" t="s">
        <v>87</v>
      </c>
      <c r="C47" s="127" t="s">
        <v>88</v>
      </c>
      <c r="D47" s="71">
        <f>'3-2-26'!I47</f>
        <v>9600000</v>
      </c>
      <c r="E47" s="69"/>
      <c r="F47" s="69"/>
      <c r="G47" s="69"/>
      <c r="H47" s="71">
        <f t="shared" si="3"/>
        <v>0</v>
      </c>
      <c r="I47" s="71">
        <f t="shared" si="2"/>
        <v>9600000</v>
      </c>
      <c r="J47" s="69">
        <f t="shared" si="1"/>
        <v>0</v>
      </c>
    </row>
    <row r="48" ht="12.75" spans="1:10">
      <c r="A48" s="68">
        <v>77</v>
      </c>
      <c r="B48" s="69" t="s">
        <v>89</v>
      </c>
      <c r="C48" s="127" t="s">
        <v>88</v>
      </c>
      <c r="D48" s="71">
        <f>'3-2-26'!I48</f>
        <v>1200000</v>
      </c>
      <c r="E48" s="69"/>
      <c r="F48" s="69"/>
      <c r="G48" s="69"/>
      <c r="H48" s="71">
        <f t="shared" si="3"/>
        <v>0</v>
      </c>
      <c r="I48" s="71">
        <f t="shared" si="2"/>
        <v>1200000</v>
      </c>
      <c r="J48" s="69">
        <f t="shared" si="1"/>
        <v>0</v>
      </c>
    </row>
    <row r="49" ht="12.75" spans="1:10">
      <c r="A49" s="68">
        <v>80</v>
      </c>
      <c r="B49" s="69" t="s">
        <v>90</v>
      </c>
      <c r="C49" s="127" t="s">
        <v>91</v>
      </c>
      <c r="D49" s="71">
        <f>'3-2-26'!I49</f>
        <v>9900000</v>
      </c>
      <c r="E49" s="69"/>
      <c r="F49" s="69"/>
      <c r="G49" s="69"/>
      <c r="H49" s="71">
        <f t="shared" si="3"/>
        <v>0</v>
      </c>
      <c r="I49" s="71">
        <f t="shared" si="2"/>
        <v>9900000</v>
      </c>
      <c r="J49" s="69">
        <f t="shared" si="1"/>
        <v>0</v>
      </c>
    </row>
    <row r="50" ht="12.75" spans="1:10">
      <c r="A50" s="68">
        <v>82</v>
      </c>
      <c r="B50" s="69" t="s">
        <v>92</v>
      </c>
      <c r="C50" s="127" t="s">
        <v>93</v>
      </c>
      <c r="D50" s="71">
        <f>'3-2-26'!I50</f>
        <v>0</v>
      </c>
      <c r="E50" s="69"/>
      <c r="F50" s="69"/>
      <c r="G50" s="69"/>
      <c r="H50" s="71">
        <f t="shared" si="3"/>
        <v>0</v>
      </c>
      <c r="I50" s="71">
        <f t="shared" si="2"/>
        <v>0</v>
      </c>
      <c r="J50" s="69">
        <f t="shared" si="1"/>
        <v>0</v>
      </c>
    </row>
    <row r="51" ht="12.75" spans="1:10">
      <c r="A51" s="68">
        <v>86</v>
      </c>
      <c r="B51" s="69" t="s">
        <v>94</v>
      </c>
      <c r="C51" s="70" t="s">
        <v>95</v>
      </c>
      <c r="D51" s="71">
        <f>'3-2-26'!I51</f>
        <v>16400000</v>
      </c>
      <c r="E51" s="69"/>
      <c r="F51" s="69"/>
      <c r="G51" s="69"/>
      <c r="H51" s="71">
        <f t="shared" si="3"/>
        <v>0</v>
      </c>
      <c r="I51" s="71">
        <f t="shared" si="2"/>
        <v>16400000</v>
      </c>
      <c r="J51" s="69">
        <f t="shared" si="1"/>
        <v>0</v>
      </c>
    </row>
    <row r="52" ht="12.75" spans="1:10">
      <c r="A52" s="68">
        <v>87</v>
      </c>
      <c r="B52" s="69" t="s">
        <v>96</v>
      </c>
      <c r="C52" s="70" t="s">
        <v>97</v>
      </c>
      <c r="D52" s="71">
        <f>'3-2-26'!I52</f>
        <v>25000000</v>
      </c>
      <c r="E52" s="69"/>
      <c r="F52" s="69"/>
      <c r="G52" s="69"/>
      <c r="H52" s="71">
        <f t="shared" si="3"/>
        <v>0</v>
      </c>
      <c r="I52" s="71">
        <f t="shared" si="2"/>
        <v>25000000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71">
        <f>'3-2-26'!I53</f>
        <v>100000</v>
      </c>
      <c r="E53" s="69"/>
      <c r="F53" s="69"/>
      <c r="G53" s="69"/>
      <c r="H53" s="71">
        <f t="shared" si="3"/>
        <v>0</v>
      </c>
      <c r="I53" s="71">
        <f t="shared" si="2"/>
        <v>100000</v>
      </c>
      <c r="J53" s="69">
        <f t="shared" si="1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71">
        <f>'3-2-26'!I54</f>
        <v>4800000</v>
      </c>
      <c r="E54" s="69"/>
      <c r="F54" s="69"/>
      <c r="G54" s="69"/>
      <c r="H54" s="71">
        <f t="shared" si="3"/>
        <v>0</v>
      </c>
      <c r="I54" s="71">
        <f t="shared" si="2"/>
        <v>4800000</v>
      </c>
      <c r="J54" s="69">
        <f t="shared" si="1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71">
        <f>'3-2-26'!I55</f>
        <v>7460000</v>
      </c>
      <c r="E55" s="69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71">
        <f>'3-2-26'!I56</f>
        <v>600000</v>
      </c>
      <c r="E56" s="69"/>
      <c r="F56" s="69"/>
      <c r="G56" s="69"/>
      <c r="H56" s="71">
        <f t="shared" si="3"/>
        <v>0</v>
      </c>
      <c r="I56" s="71">
        <f t="shared" si="2"/>
        <v>600000</v>
      </c>
      <c r="J56" s="69">
        <f t="shared" si="1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71">
        <f>'3-2-26'!I57</f>
        <v>20000000</v>
      </c>
      <c r="E57" s="69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71">
        <f>'3-2-26'!I58</f>
        <v>1650000</v>
      </c>
      <c r="E58" s="69"/>
      <c r="F58" s="69"/>
      <c r="G58" s="69"/>
      <c r="H58" s="71">
        <f t="shared" si="3"/>
        <v>0</v>
      </c>
      <c r="I58" s="71">
        <f t="shared" si="2"/>
        <v>1650000</v>
      </c>
      <c r="J58" s="69">
        <f t="shared" si="1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71">
        <f>'3-2-26'!I59</f>
        <v>0</v>
      </c>
      <c r="E59" s="69"/>
      <c r="F59" s="69"/>
      <c r="G59" s="69"/>
      <c r="H59" s="71">
        <f t="shared" si="3"/>
        <v>0</v>
      </c>
      <c r="I59" s="71">
        <f t="shared" si="2"/>
        <v>0</v>
      </c>
      <c r="J59" s="69">
        <f t="shared" si="1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71">
        <f>'3-2-26'!I60</f>
        <v>3250000</v>
      </c>
      <c r="E60" s="69"/>
      <c r="F60" s="69"/>
      <c r="G60" s="69"/>
      <c r="H60" s="71">
        <f t="shared" si="3"/>
        <v>0</v>
      </c>
      <c r="I60" s="71">
        <f t="shared" si="2"/>
        <v>3250000</v>
      </c>
      <c r="J60" s="69">
        <f t="shared" si="1"/>
        <v>0</v>
      </c>
    </row>
    <row r="61" ht="12.75" spans="1:10">
      <c r="A61" s="68">
        <v>106</v>
      </c>
      <c r="B61" s="69" t="s">
        <v>111</v>
      </c>
      <c r="C61" s="70" t="s">
        <v>112</v>
      </c>
      <c r="D61" s="71">
        <f>'3-2-26'!I61</f>
        <v>230000</v>
      </c>
      <c r="E61" s="69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71">
        <f>'3-2-26'!I62</f>
        <v>0</v>
      </c>
      <c r="E62" s="69"/>
      <c r="F62" s="69"/>
      <c r="G62" s="69"/>
      <c r="H62" s="71">
        <f t="shared" si="3"/>
        <v>0</v>
      </c>
      <c r="I62" s="71">
        <f t="shared" si="2"/>
        <v>0</v>
      </c>
      <c r="J62" s="69">
        <f t="shared" si="1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71">
        <f>'3-2-26'!I63</f>
        <v>600000</v>
      </c>
      <c r="E63" s="69"/>
      <c r="F63" s="69"/>
      <c r="G63" s="69"/>
      <c r="H63" s="71">
        <f t="shared" si="3"/>
        <v>0</v>
      </c>
      <c r="I63" s="71">
        <f t="shared" si="2"/>
        <v>600000</v>
      </c>
      <c r="J63" s="69">
        <f t="shared" si="1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71">
        <f>'3-2-26'!I64</f>
        <v>1500000</v>
      </c>
      <c r="E64" s="69"/>
      <c r="F64" s="69"/>
      <c r="G64" s="69"/>
      <c r="H64" s="71">
        <f t="shared" si="3"/>
        <v>0</v>
      </c>
      <c r="I64" s="71">
        <f t="shared" si="2"/>
        <v>1500000</v>
      </c>
      <c r="J64" s="69">
        <f t="shared" si="1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71">
        <f>'3-2-26'!I65</f>
        <v>5862000</v>
      </c>
      <c r="E65" s="69"/>
      <c r="F65" s="69"/>
      <c r="G65" s="69"/>
      <c r="H65" s="71">
        <f t="shared" si="3"/>
        <v>0</v>
      </c>
      <c r="I65" s="71">
        <f t="shared" si="2"/>
        <v>5862000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71">
        <f>'3-2-26'!I66</f>
        <v>250000</v>
      </c>
      <c r="E66" s="69"/>
      <c r="F66" s="69"/>
      <c r="G66" s="69"/>
      <c r="H66" s="71">
        <f t="shared" si="3"/>
        <v>0</v>
      </c>
      <c r="I66" s="71">
        <f t="shared" si="2"/>
        <v>250000</v>
      </c>
      <c r="J66" s="69">
        <f t="shared" si="1"/>
        <v>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71">
        <f>'3-2-26'!I67</f>
        <v>0</v>
      </c>
      <c r="E67" s="69"/>
      <c r="F67" s="69"/>
      <c r="G67" s="69"/>
      <c r="H67" s="71">
        <f t="shared" si="3"/>
        <v>0</v>
      </c>
      <c r="I67" s="71">
        <f t="shared" si="2"/>
        <v>0</v>
      </c>
      <c r="J67" s="69">
        <f t="shared" si="1"/>
        <v>0</v>
      </c>
    </row>
    <row r="68" ht="12.75" customHeight="1" spans="1:10">
      <c r="A68" s="68"/>
      <c r="B68" s="69"/>
      <c r="C68" s="70"/>
      <c r="D68" s="71">
        <f>'3-2-26'!I68</f>
        <v>0</v>
      </c>
      <c r="E68" s="69"/>
      <c r="F68" s="69"/>
      <c r="G68" s="69"/>
      <c r="H68" s="71">
        <f t="shared" si="3"/>
        <v>0</v>
      </c>
      <c r="I68" s="71"/>
      <c r="J68" s="69">
        <f t="shared" si="1"/>
        <v>0</v>
      </c>
    </row>
    <row r="69" ht="12.75" customHeight="1" spans="1:10">
      <c r="A69" s="68"/>
      <c r="B69" s="69"/>
      <c r="C69" s="70"/>
      <c r="D69" s="71">
        <f>'3-2-26'!I69</f>
        <v>0</v>
      </c>
      <c r="E69" s="69"/>
      <c r="F69" s="69"/>
      <c r="G69" s="69"/>
      <c r="H69" s="71">
        <f t="shared" si="3"/>
        <v>0</v>
      </c>
      <c r="I69" s="71"/>
      <c r="J69" s="69">
        <f t="shared" si="1"/>
        <v>0</v>
      </c>
    </row>
    <row r="70" ht="12.75" customHeight="1" spans="1:10">
      <c r="A70" s="68"/>
      <c r="B70" s="69"/>
      <c r="C70" s="70"/>
      <c r="D70" s="71">
        <f>'3-2-26'!I70</f>
        <v>0</v>
      </c>
      <c r="E70" s="69"/>
      <c r="F70" s="69"/>
      <c r="G70" s="69"/>
      <c r="H70" s="71">
        <f t="shared" si="3"/>
        <v>0</v>
      </c>
      <c r="I70" s="71"/>
      <c r="J70" s="69">
        <f t="shared" si="1"/>
        <v>0</v>
      </c>
    </row>
    <row r="71" ht="12.75" customHeight="1" spans="1:10">
      <c r="A71" s="68"/>
      <c r="B71" s="69"/>
      <c r="C71" s="70"/>
      <c r="D71" s="71">
        <f>'3-2-26'!I71</f>
        <v>0</v>
      </c>
      <c r="E71" s="69"/>
      <c r="F71" s="69"/>
      <c r="G71" s="69"/>
      <c r="H71" s="71">
        <f t="shared" si="3"/>
        <v>0</v>
      </c>
      <c r="I71" s="71"/>
      <c r="J71" s="69">
        <f t="shared" si="1"/>
        <v>0</v>
      </c>
    </row>
    <row r="72" ht="12.75" customHeight="1" spans="1:10">
      <c r="A72" s="68"/>
      <c r="B72" s="69"/>
      <c r="C72" s="70"/>
      <c r="D72" s="71">
        <f>'3-2-26'!I72</f>
        <v>0</v>
      </c>
      <c r="E72" s="69"/>
      <c r="F72" s="69"/>
      <c r="G72" s="69"/>
      <c r="H72" s="71">
        <f t="shared" si="3"/>
        <v>0</v>
      </c>
      <c r="I72" s="71"/>
      <c r="J72" s="69">
        <f t="shared" si="1"/>
        <v>0</v>
      </c>
    </row>
    <row r="73" ht="12.75" customHeight="1" spans="1:10">
      <c r="A73" s="68"/>
      <c r="B73" s="69"/>
      <c r="C73" s="70"/>
      <c r="D73" s="71">
        <f>'3-2-26'!I73</f>
        <v>0</v>
      </c>
      <c r="E73" s="69"/>
      <c r="F73" s="69"/>
      <c r="G73" s="69"/>
      <c r="H73" s="71">
        <f t="shared" si="3"/>
        <v>0</v>
      </c>
      <c r="I73" s="71"/>
      <c r="J73" s="69">
        <f t="shared" ref="J73:J136" si="4">1/10*G73</f>
        <v>0</v>
      </c>
    </row>
    <row r="74" ht="3" customHeight="1" spans="1:10">
      <c r="A74" s="68"/>
      <c r="B74" s="69"/>
      <c r="C74" s="70"/>
      <c r="D74" s="71">
        <f>'3-2-26'!I74</f>
        <v>0</v>
      </c>
      <c r="E74" s="69"/>
      <c r="F74" s="69"/>
      <c r="G74" s="69"/>
      <c r="H74" s="71">
        <f t="shared" si="3"/>
        <v>0</v>
      </c>
      <c r="I74" s="71"/>
      <c r="J74" s="69">
        <f t="shared" si="4"/>
        <v>0</v>
      </c>
    </row>
    <row r="75" ht="3" customHeight="1" spans="1:10">
      <c r="A75" s="68"/>
      <c r="B75" s="69"/>
      <c r="C75" s="70"/>
      <c r="D75" s="71">
        <f>'3-2-26'!I75</f>
        <v>0</v>
      </c>
      <c r="E75" s="69"/>
      <c r="F75" s="69"/>
      <c r="G75" s="69"/>
      <c r="H75" s="71">
        <f t="shared" si="3"/>
        <v>0</v>
      </c>
      <c r="I75" s="71"/>
      <c r="J75" s="69">
        <f t="shared" si="4"/>
        <v>0</v>
      </c>
    </row>
    <row r="76" ht="3" customHeight="1" spans="1:10">
      <c r="A76" s="68"/>
      <c r="B76" s="69"/>
      <c r="C76" s="70"/>
      <c r="D76" s="71">
        <f>'3-2-26'!I76</f>
        <v>0</v>
      </c>
      <c r="E76" s="69"/>
      <c r="F76" s="69"/>
      <c r="G76" s="69"/>
      <c r="H76" s="71">
        <f t="shared" si="3"/>
        <v>0</v>
      </c>
      <c r="I76" s="71"/>
      <c r="J76" s="69">
        <f t="shared" si="4"/>
        <v>0</v>
      </c>
    </row>
    <row r="77" ht="3" customHeight="1" spans="1:10">
      <c r="A77" s="68"/>
      <c r="B77" s="69"/>
      <c r="C77" s="70"/>
      <c r="D77" s="71">
        <f>'3-2-26'!I77</f>
        <v>0</v>
      </c>
      <c r="E77" s="69"/>
      <c r="F77" s="69"/>
      <c r="G77" s="69"/>
      <c r="H77" s="71">
        <f t="shared" si="3"/>
        <v>0</v>
      </c>
      <c r="I77" s="71"/>
      <c r="J77" s="69">
        <f t="shared" si="4"/>
        <v>0</v>
      </c>
    </row>
    <row r="78" ht="3" customHeight="1" spans="1:10">
      <c r="A78" s="68"/>
      <c r="B78" s="69"/>
      <c r="C78" s="70"/>
      <c r="D78" s="71">
        <f>'3-2-26'!I78</f>
        <v>0</v>
      </c>
      <c r="E78" s="69"/>
      <c r="F78" s="69"/>
      <c r="G78" s="69"/>
      <c r="H78" s="71">
        <f t="shared" si="3"/>
        <v>0</v>
      </c>
      <c r="I78" s="71"/>
      <c r="J78" s="69">
        <f t="shared" si="4"/>
        <v>0</v>
      </c>
    </row>
    <row r="79" ht="3" customHeight="1" spans="1:10">
      <c r="A79" s="68"/>
      <c r="B79" s="69"/>
      <c r="C79" s="70"/>
      <c r="D79" s="71">
        <f>'3-2-26'!I79</f>
        <v>0</v>
      </c>
      <c r="E79" s="69"/>
      <c r="F79" s="69"/>
      <c r="G79" s="69"/>
      <c r="H79" s="71">
        <f t="shared" si="3"/>
        <v>0</v>
      </c>
      <c r="I79" s="71"/>
      <c r="J79" s="69">
        <f t="shared" si="4"/>
        <v>0</v>
      </c>
    </row>
    <row r="80" ht="3" customHeight="1" spans="1:10">
      <c r="A80" s="68"/>
      <c r="B80" s="69"/>
      <c r="C80" s="70"/>
      <c r="D80" s="71">
        <f>'3-2-26'!I80</f>
        <v>0</v>
      </c>
      <c r="E80" s="69"/>
      <c r="F80" s="69"/>
      <c r="G80" s="69"/>
      <c r="H80" s="71">
        <f t="shared" si="3"/>
        <v>0</v>
      </c>
      <c r="I80" s="71"/>
      <c r="J80" s="69">
        <f t="shared" si="4"/>
        <v>0</v>
      </c>
    </row>
    <row r="81" ht="3" customHeight="1" spans="1:10">
      <c r="A81" s="68"/>
      <c r="B81" s="69"/>
      <c r="C81" s="70"/>
      <c r="D81" s="71">
        <f>'3-2-26'!I81</f>
        <v>0</v>
      </c>
      <c r="E81" s="69"/>
      <c r="F81" s="69"/>
      <c r="G81" s="69"/>
      <c r="H81" s="71">
        <f t="shared" si="3"/>
        <v>0</v>
      </c>
      <c r="I81" s="71"/>
      <c r="J81" s="69">
        <f t="shared" si="4"/>
        <v>0</v>
      </c>
    </row>
    <row r="82" ht="3" customHeight="1" spans="1:10">
      <c r="A82" s="68"/>
      <c r="B82" s="69"/>
      <c r="C82" s="70"/>
      <c r="D82" s="71">
        <f>'3-2-26'!I82</f>
        <v>0</v>
      </c>
      <c r="E82" s="69"/>
      <c r="F82" s="69"/>
      <c r="G82" s="69"/>
      <c r="H82" s="71">
        <f t="shared" si="3"/>
        <v>0</v>
      </c>
      <c r="I82" s="71"/>
      <c r="J82" s="69">
        <f t="shared" si="4"/>
        <v>0</v>
      </c>
    </row>
    <row r="83" ht="3" customHeight="1" spans="1:10">
      <c r="A83" s="68"/>
      <c r="B83" s="69"/>
      <c r="C83" s="70"/>
      <c r="D83" s="71">
        <f>'3-2-26'!I83</f>
        <v>0</v>
      </c>
      <c r="E83" s="69"/>
      <c r="F83" s="69"/>
      <c r="G83" s="69"/>
      <c r="H83" s="71">
        <f t="shared" si="3"/>
        <v>0</v>
      </c>
      <c r="I83" s="71"/>
      <c r="J83" s="69">
        <f t="shared" si="4"/>
        <v>0</v>
      </c>
    </row>
    <row r="84" ht="3" customHeight="1" spans="1:10">
      <c r="A84" s="68"/>
      <c r="B84" s="69"/>
      <c r="C84" s="70"/>
      <c r="D84" s="71">
        <f>'3-2-26'!I84</f>
        <v>0</v>
      </c>
      <c r="E84" s="69"/>
      <c r="F84" s="69"/>
      <c r="G84" s="69"/>
      <c r="H84" s="71">
        <f t="shared" si="3"/>
        <v>0</v>
      </c>
      <c r="I84" s="71"/>
      <c r="J84" s="69">
        <f t="shared" si="4"/>
        <v>0</v>
      </c>
    </row>
    <row r="85" ht="3" customHeight="1" spans="1:10">
      <c r="A85" s="68"/>
      <c r="B85" s="69"/>
      <c r="C85" s="70"/>
      <c r="D85" s="71">
        <f>'3-2-26'!I85</f>
        <v>0</v>
      </c>
      <c r="E85" s="69"/>
      <c r="F85" s="69"/>
      <c r="G85" s="69"/>
      <c r="H85" s="71">
        <f t="shared" si="3"/>
        <v>0</v>
      </c>
      <c r="I85" s="71"/>
      <c r="J85" s="69">
        <f t="shared" si="4"/>
        <v>0</v>
      </c>
    </row>
    <row r="86" ht="3" customHeight="1" spans="1:10">
      <c r="A86" s="68"/>
      <c r="B86" s="69"/>
      <c r="C86" s="70"/>
      <c r="D86" s="71">
        <f>'3-2-26'!I86</f>
        <v>0</v>
      </c>
      <c r="E86" s="69"/>
      <c r="F86" s="69"/>
      <c r="G86" s="69"/>
      <c r="H86" s="71">
        <f t="shared" si="3"/>
        <v>0</v>
      </c>
      <c r="I86" s="71"/>
      <c r="J86" s="69">
        <f t="shared" si="4"/>
        <v>0</v>
      </c>
    </row>
    <row r="87" ht="3" customHeight="1" spans="1:10">
      <c r="A87" s="68"/>
      <c r="B87" s="69"/>
      <c r="C87" s="70"/>
      <c r="D87" s="71">
        <f>'3-2-26'!I87</f>
        <v>0</v>
      </c>
      <c r="E87" s="69"/>
      <c r="F87" s="69"/>
      <c r="G87" s="69"/>
      <c r="H87" s="71">
        <f t="shared" si="3"/>
        <v>0</v>
      </c>
      <c r="I87" s="71"/>
      <c r="J87" s="69">
        <f t="shared" si="4"/>
        <v>0</v>
      </c>
    </row>
    <row r="88" ht="3" customHeight="1" spans="1:10">
      <c r="A88" s="68"/>
      <c r="B88" s="69"/>
      <c r="C88" s="70"/>
      <c r="D88" s="71">
        <f>'3-2-26'!I88</f>
        <v>0</v>
      </c>
      <c r="E88" s="69"/>
      <c r="F88" s="69"/>
      <c r="G88" s="69"/>
      <c r="H88" s="71">
        <f t="shared" si="3"/>
        <v>0</v>
      </c>
      <c r="I88" s="71"/>
      <c r="J88" s="69">
        <f t="shared" si="4"/>
        <v>0</v>
      </c>
    </row>
    <row r="89" ht="3" customHeight="1" spans="1:10">
      <c r="A89" s="68"/>
      <c r="B89" s="69"/>
      <c r="C89" s="70"/>
      <c r="D89" s="71">
        <f>'3-2-26'!I89</f>
        <v>0</v>
      </c>
      <c r="E89" s="69"/>
      <c r="F89" s="69"/>
      <c r="G89" s="69"/>
      <c r="H89" s="71">
        <f t="shared" ref="H89:H152" si="5">SUM(F89:G89)</f>
        <v>0</v>
      </c>
      <c r="I89" s="71"/>
      <c r="J89" s="69">
        <f t="shared" si="4"/>
        <v>0</v>
      </c>
    </row>
    <row r="90" ht="3" customHeight="1" spans="1:10">
      <c r="A90" s="68"/>
      <c r="B90" s="69"/>
      <c r="C90" s="70"/>
      <c r="D90" s="71">
        <f>'3-2-26'!I90</f>
        <v>0</v>
      </c>
      <c r="E90" s="69"/>
      <c r="F90" s="69"/>
      <c r="G90" s="69"/>
      <c r="H90" s="71">
        <f t="shared" si="5"/>
        <v>0</v>
      </c>
      <c r="I90" s="71"/>
      <c r="J90" s="69">
        <f t="shared" si="4"/>
        <v>0</v>
      </c>
    </row>
    <row r="91" ht="3" customHeight="1" spans="1:10">
      <c r="A91" s="68"/>
      <c r="B91" s="69"/>
      <c r="C91" s="70"/>
      <c r="D91" s="71">
        <f>'3-2-26'!I91</f>
        <v>0</v>
      </c>
      <c r="E91" s="69"/>
      <c r="F91" s="69"/>
      <c r="G91" s="69"/>
      <c r="H91" s="71">
        <f t="shared" si="5"/>
        <v>0</v>
      </c>
      <c r="I91" s="71"/>
      <c r="J91" s="69">
        <f t="shared" si="4"/>
        <v>0</v>
      </c>
    </row>
    <row r="92" ht="3" customHeight="1" spans="1:10">
      <c r="A92" s="68"/>
      <c r="B92" s="69"/>
      <c r="C92" s="70"/>
      <c r="D92" s="71">
        <f>'3-2-26'!I92</f>
        <v>0</v>
      </c>
      <c r="E92" s="69"/>
      <c r="F92" s="69"/>
      <c r="G92" s="69"/>
      <c r="H92" s="71">
        <f t="shared" si="5"/>
        <v>0</v>
      </c>
      <c r="I92" s="71"/>
      <c r="J92" s="69">
        <f t="shared" si="4"/>
        <v>0</v>
      </c>
    </row>
    <row r="93" ht="3" customHeight="1" spans="1:10">
      <c r="A93" s="68"/>
      <c r="B93" s="69"/>
      <c r="C93" s="70"/>
      <c r="D93" s="71">
        <f>'3-2-26'!I93</f>
        <v>0</v>
      </c>
      <c r="E93" s="69"/>
      <c r="F93" s="69"/>
      <c r="G93" s="69"/>
      <c r="H93" s="71">
        <f t="shared" si="5"/>
        <v>0</v>
      </c>
      <c r="I93" s="71"/>
      <c r="J93" s="69">
        <f t="shared" si="4"/>
        <v>0</v>
      </c>
    </row>
    <row r="94" ht="3" customHeight="1" spans="1:10">
      <c r="A94" s="68"/>
      <c r="B94" s="69"/>
      <c r="C94" s="70"/>
      <c r="D94" s="71">
        <f>'3-2-26'!I94</f>
        <v>0</v>
      </c>
      <c r="E94" s="69"/>
      <c r="F94" s="69"/>
      <c r="G94" s="69"/>
      <c r="H94" s="71">
        <f t="shared" si="5"/>
        <v>0</v>
      </c>
      <c r="I94" s="71"/>
      <c r="J94" s="69">
        <f t="shared" si="4"/>
        <v>0</v>
      </c>
    </row>
    <row r="95" ht="3" customHeight="1" spans="1:10">
      <c r="A95" s="68"/>
      <c r="B95" s="69"/>
      <c r="C95" s="70"/>
      <c r="D95" s="71">
        <f>'3-2-26'!I95</f>
        <v>0</v>
      </c>
      <c r="E95" s="69"/>
      <c r="F95" s="69"/>
      <c r="G95" s="69"/>
      <c r="H95" s="71">
        <f t="shared" si="5"/>
        <v>0</v>
      </c>
      <c r="I95" s="71"/>
      <c r="J95" s="69">
        <f t="shared" si="4"/>
        <v>0</v>
      </c>
    </row>
    <row r="96" ht="3" customHeight="1" spans="1:10">
      <c r="A96" s="68"/>
      <c r="B96" s="69"/>
      <c r="C96" s="70"/>
      <c r="D96" s="71">
        <f>'3-2-26'!I96</f>
        <v>0</v>
      </c>
      <c r="E96" s="69"/>
      <c r="F96" s="69"/>
      <c r="G96" s="69"/>
      <c r="H96" s="71">
        <f t="shared" si="5"/>
        <v>0</v>
      </c>
      <c r="I96" s="71"/>
      <c r="J96" s="69">
        <f t="shared" si="4"/>
        <v>0</v>
      </c>
    </row>
    <row r="97" ht="3" customHeight="1" spans="1:10">
      <c r="A97" s="68"/>
      <c r="B97" s="69"/>
      <c r="C97" s="70"/>
      <c r="D97" s="71">
        <f>'3-2-26'!I97</f>
        <v>0</v>
      </c>
      <c r="E97" s="69"/>
      <c r="F97" s="69"/>
      <c r="G97" s="69"/>
      <c r="H97" s="71">
        <f t="shared" si="5"/>
        <v>0</v>
      </c>
      <c r="I97" s="71"/>
      <c r="J97" s="69">
        <f t="shared" si="4"/>
        <v>0</v>
      </c>
    </row>
    <row r="98" ht="3" customHeight="1" spans="1:10">
      <c r="A98" s="68"/>
      <c r="B98" s="69"/>
      <c r="C98" s="70"/>
      <c r="D98" s="71">
        <f>'3-2-26'!I98</f>
        <v>0</v>
      </c>
      <c r="E98" s="69"/>
      <c r="F98" s="69"/>
      <c r="G98" s="69"/>
      <c r="H98" s="71">
        <f t="shared" si="5"/>
        <v>0</v>
      </c>
      <c r="I98" s="71"/>
      <c r="J98" s="69">
        <f t="shared" si="4"/>
        <v>0</v>
      </c>
    </row>
    <row r="99" ht="3" customHeight="1" spans="1:10">
      <c r="A99" s="68"/>
      <c r="B99" s="69"/>
      <c r="C99" s="70"/>
      <c r="D99" s="71">
        <f>'3-2-26'!I99</f>
        <v>0</v>
      </c>
      <c r="E99" s="69"/>
      <c r="F99" s="69"/>
      <c r="G99" s="69"/>
      <c r="H99" s="71">
        <f t="shared" si="5"/>
        <v>0</v>
      </c>
      <c r="I99" s="71"/>
      <c r="J99" s="69">
        <f t="shared" si="4"/>
        <v>0</v>
      </c>
    </row>
    <row r="100" ht="3" customHeight="1" spans="1:10">
      <c r="A100" s="68"/>
      <c r="B100" s="69"/>
      <c r="C100" s="70"/>
      <c r="D100" s="71">
        <f>'3-2-26'!I100</f>
        <v>0</v>
      </c>
      <c r="E100" s="69"/>
      <c r="F100" s="69"/>
      <c r="G100" s="69"/>
      <c r="H100" s="71">
        <f t="shared" si="5"/>
        <v>0</v>
      </c>
      <c r="I100" s="71"/>
      <c r="J100" s="69">
        <f t="shared" si="4"/>
        <v>0</v>
      </c>
    </row>
    <row r="101" ht="3" customHeight="1" spans="1:10">
      <c r="A101" s="68"/>
      <c r="B101" s="69"/>
      <c r="C101" s="70"/>
      <c r="D101" s="71">
        <f>'3-2-26'!I101</f>
        <v>0</v>
      </c>
      <c r="E101" s="69"/>
      <c r="F101" s="69"/>
      <c r="G101" s="69"/>
      <c r="H101" s="71">
        <f t="shared" si="5"/>
        <v>0</v>
      </c>
      <c r="I101" s="71"/>
      <c r="J101" s="69">
        <f t="shared" si="4"/>
        <v>0</v>
      </c>
    </row>
    <row r="102" ht="3" customHeight="1" spans="1:10">
      <c r="A102" s="68"/>
      <c r="B102" s="69"/>
      <c r="C102" s="70"/>
      <c r="D102" s="71">
        <f>'3-2-26'!I102</f>
        <v>0</v>
      </c>
      <c r="E102" s="69"/>
      <c r="F102" s="69"/>
      <c r="G102" s="69"/>
      <c r="H102" s="71">
        <f t="shared" si="5"/>
        <v>0</v>
      </c>
      <c r="I102" s="71"/>
      <c r="J102" s="69">
        <f t="shared" si="4"/>
        <v>0</v>
      </c>
    </row>
    <row r="103" ht="3" customHeight="1" spans="1:10">
      <c r="A103" s="68"/>
      <c r="B103" s="69"/>
      <c r="C103" s="70"/>
      <c r="D103" s="71">
        <f>'3-2-26'!I103</f>
        <v>0</v>
      </c>
      <c r="E103" s="69"/>
      <c r="F103" s="69"/>
      <c r="G103" s="69"/>
      <c r="H103" s="71">
        <f t="shared" si="5"/>
        <v>0</v>
      </c>
      <c r="I103" s="71"/>
      <c r="J103" s="69">
        <f t="shared" si="4"/>
        <v>0</v>
      </c>
    </row>
    <row r="104" ht="3" customHeight="1" spans="1:10">
      <c r="A104" s="68"/>
      <c r="B104" s="69"/>
      <c r="C104" s="70"/>
      <c r="D104" s="71">
        <f>'3-2-26'!I104</f>
        <v>0</v>
      </c>
      <c r="E104" s="69"/>
      <c r="F104" s="69"/>
      <c r="G104" s="69"/>
      <c r="H104" s="71">
        <f t="shared" si="5"/>
        <v>0</v>
      </c>
      <c r="I104" s="71"/>
      <c r="J104" s="69">
        <f t="shared" si="4"/>
        <v>0</v>
      </c>
    </row>
    <row r="105" ht="3" customHeight="1" spans="1:10">
      <c r="A105" s="68"/>
      <c r="B105" s="69"/>
      <c r="C105" s="70"/>
      <c r="D105" s="71">
        <f>'3-2-26'!I105</f>
        <v>0</v>
      </c>
      <c r="E105" s="69"/>
      <c r="F105" s="69"/>
      <c r="G105" s="69"/>
      <c r="H105" s="71">
        <f t="shared" si="5"/>
        <v>0</v>
      </c>
      <c r="I105" s="71"/>
      <c r="J105" s="69">
        <f t="shared" si="4"/>
        <v>0</v>
      </c>
    </row>
    <row r="106" ht="3" customHeight="1" spans="1:10">
      <c r="A106" s="68"/>
      <c r="B106" s="69"/>
      <c r="C106" s="70"/>
      <c r="D106" s="71">
        <f>'3-2-26'!I106</f>
        <v>0</v>
      </c>
      <c r="E106" s="69"/>
      <c r="F106" s="69"/>
      <c r="G106" s="69"/>
      <c r="H106" s="71">
        <f t="shared" si="5"/>
        <v>0</v>
      </c>
      <c r="I106" s="71"/>
      <c r="J106" s="69">
        <f t="shared" si="4"/>
        <v>0</v>
      </c>
    </row>
    <row r="107" ht="3" customHeight="1" spans="1:10">
      <c r="A107" s="68"/>
      <c r="B107" s="69"/>
      <c r="C107" s="70"/>
      <c r="D107" s="71">
        <f>'3-2-26'!I107</f>
        <v>0</v>
      </c>
      <c r="E107" s="69"/>
      <c r="F107" s="69"/>
      <c r="G107" s="69"/>
      <c r="H107" s="71">
        <f t="shared" si="5"/>
        <v>0</v>
      </c>
      <c r="I107" s="71"/>
      <c r="J107" s="69">
        <f t="shared" si="4"/>
        <v>0</v>
      </c>
    </row>
    <row r="108" ht="3" customHeight="1" spans="1:10">
      <c r="A108" s="68"/>
      <c r="B108" s="69"/>
      <c r="C108" s="70"/>
      <c r="D108" s="71">
        <f>'3-2-26'!I108</f>
        <v>0</v>
      </c>
      <c r="E108" s="69"/>
      <c r="F108" s="69"/>
      <c r="G108" s="69"/>
      <c r="H108" s="71">
        <f t="shared" si="5"/>
        <v>0</v>
      </c>
      <c r="I108" s="71"/>
      <c r="J108" s="69">
        <f t="shared" si="4"/>
        <v>0</v>
      </c>
    </row>
    <row r="109" ht="3" customHeight="1" spans="1:10">
      <c r="A109" s="68"/>
      <c r="B109" s="69"/>
      <c r="C109" s="70"/>
      <c r="D109" s="71">
        <f>'3-2-26'!I109</f>
        <v>0</v>
      </c>
      <c r="E109" s="69"/>
      <c r="F109" s="69"/>
      <c r="G109" s="69"/>
      <c r="H109" s="71">
        <f t="shared" si="5"/>
        <v>0</v>
      </c>
      <c r="I109" s="71"/>
      <c r="J109" s="69">
        <f t="shared" si="4"/>
        <v>0</v>
      </c>
    </row>
    <row r="110" ht="3" customHeight="1" spans="1:10">
      <c r="A110" s="68"/>
      <c r="B110" s="69"/>
      <c r="C110" s="70"/>
      <c r="D110" s="71">
        <f>'3-2-26'!I110</f>
        <v>0</v>
      </c>
      <c r="E110" s="69"/>
      <c r="F110" s="69"/>
      <c r="G110" s="69"/>
      <c r="H110" s="71">
        <f t="shared" si="5"/>
        <v>0</v>
      </c>
      <c r="I110" s="71"/>
      <c r="J110" s="69">
        <f t="shared" si="4"/>
        <v>0</v>
      </c>
    </row>
    <row r="111" ht="3" customHeight="1" spans="1:10">
      <c r="A111" s="68"/>
      <c r="B111" s="69"/>
      <c r="C111" s="70"/>
      <c r="D111" s="71">
        <f>'3-2-26'!I111</f>
        <v>0</v>
      </c>
      <c r="E111" s="69"/>
      <c r="F111" s="69"/>
      <c r="G111" s="69"/>
      <c r="H111" s="71">
        <f t="shared" si="5"/>
        <v>0</v>
      </c>
      <c r="I111" s="71"/>
      <c r="J111" s="69">
        <f t="shared" si="4"/>
        <v>0</v>
      </c>
    </row>
    <row r="112" ht="3" customHeight="1" spans="1:10">
      <c r="A112" s="68"/>
      <c r="B112" s="69"/>
      <c r="C112" s="70"/>
      <c r="D112" s="71">
        <f>'3-2-26'!I112</f>
        <v>0</v>
      </c>
      <c r="E112" s="69"/>
      <c r="F112" s="69"/>
      <c r="G112" s="69"/>
      <c r="H112" s="71">
        <f t="shared" si="5"/>
        <v>0</v>
      </c>
      <c r="I112" s="71"/>
      <c r="J112" s="69">
        <f t="shared" si="4"/>
        <v>0</v>
      </c>
    </row>
    <row r="113" ht="3" customHeight="1" spans="1:10">
      <c r="A113" s="68"/>
      <c r="B113" s="69"/>
      <c r="C113" s="70"/>
      <c r="D113" s="71">
        <f>'3-2-26'!I113</f>
        <v>0</v>
      </c>
      <c r="E113" s="69"/>
      <c r="F113" s="69"/>
      <c r="G113" s="69"/>
      <c r="H113" s="71">
        <f t="shared" si="5"/>
        <v>0</v>
      </c>
      <c r="I113" s="71"/>
      <c r="J113" s="69">
        <f t="shared" si="4"/>
        <v>0</v>
      </c>
    </row>
    <row r="114" ht="3" customHeight="1" spans="1:10">
      <c r="A114" s="68"/>
      <c r="B114" s="69"/>
      <c r="C114" s="70"/>
      <c r="D114" s="71">
        <f>'3-2-26'!I114</f>
        <v>0</v>
      </c>
      <c r="E114" s="69"/>
      <c r="F114" s="69"/>
      <c r="G114" s="69"/>
      <c r="H114" s="71">
        <f t="shared" si="5"/>
        <v>0</v>
      </c>
      <c r="I114" s="71"/>
      <c r="J114" s="69">
        <f t="shared" si="4"/>
        <v>0</v>
      </c>
    </row>
    <row r="115" ht="3" customHeight="1" spans="1:10">
      <c r="A115" s="68"/>
      <c r="B115" s="69"/>
      <c r="C115" s="70"/>
      <c r="D115" s="71">
        <f>'3-2-26'!I115</f>
        <v>0</v>
      </c>
      <c r="E115" s="69"/>
      <c r="F115" s="69"/>
      <c r="G115" s="69"/>
      <c r="H115" s="71">
        <f t="shared" si="5"/>
        <v>0</v>
      </c>
      <c r="I115" s="71"/>
      <c r="J115" s="69">
        <f t="shared" si="4"/>
        <v>0</v>
      </c>
    </row>
    <row r="116" ht="3" customHeight="1" spans="1:10">
      <c r="A116" s="68"/>
      <c r="B116" s="69"/>
      <c r="C116" s="70"/>
      <c r="D116" s="71">
        <f>'3-2-26'!I116</f>
        <v>0</v>
      </c>
      <c r="E116" s="69"/>
      <c r="F116" s="69"/>
      <c r="G116" s="69"/>
      <c r="H116" s="71">
        <f t="shared" si="5"/>
        <v>0</v>
      </c>
      <c r="I116" s="71"/>
      <c r="J116" s="69">
        <f t="shared" si="4"/>
        <v>0</v>
      </c>
    </row>
    <row r="117" ht="3" customHeight="1" spans="1:10">
      <c r="A117" s="68"/>
      <c r="B117" s="69"/>
      <c r="C117" s="70"/>
      <c r="D117" s="71">
        <f>'3-2-26'!I117</f>
        <v>0</v>
      </c>
      <c r="E117" s="69"/>
      <c r="F117" s="69"/>
      <c r="G117" s="69"/>
      <c r="H117" s="71">
        <f t="shared" si="5"/>
        <v>0</v>
      </c>
      <c r="I117" s="71"/>
      <c r="J117" s="69">
        <f t="shared" si="4"/>
        <v>0</v>
      </c>
    </row>
    <row r="118" ht="3" customHeight="1" spans="1:10">
      <c r="A118" s="68"/>
      <c r="B118" s="69"/>
      <c r="C118" s="70"/>
      <c r="D118" s="71">
        <f>'3-2-26'!I118</f>
        <v>0</v>
      </c>
      <c r="E118" s="69"/>
      <c r="F118" s="69"/>
      <c r="G118" s="69"/>
      <c r="H118" s="71">
        <f t="shared" si="5"/>
        <v>0</v>
      </c>
      <c r="I118" s="71"/>
      <c r="J118" s="69">
        <f t="shared" si="4"/>
        <v>0</v>
      </c>
    </row>
    <row r="119" ht="3" customHeight="1" spans="1:10">
      <c r="A119" s="68"/>
      <c r="B119" s="69"/>
      <c r="C119" s="70"/>
      <c r="D119" s="71">
        <f>'3-2-26'!I119</f>
        <v>0</v>
      </c>
      <c r="E119" s="69"/>
      <c r="F119" s="69"/>
      <c r="G119" s="69"/>
      <c r="H119" s="71">
        <f t="shared" si="5"/>
        <v>0</v>
      </c>
      <c r="I119" s="71"/>
      <c r="J119" s="69">
        <f t="shared" si="4"/>
        <v>0</v>
      </c>
    </row>
    <row r="120" ht="3" customHeight="1" spans="1:10">
      <c r="A120" s="68"/>
      <c r="B120" s="69"/>
      <c r="C120" s="70"/>
      <c r="D120" s="71">
        <f>'3-2-26'!I120</f>
        <v>0</v>
      </c>
      <c r="E120" s="69"/>
      <c r="F120" s="69"/>
      <c r="G120" s="69"/>
      <c r="H120" s="71">
        <f t="shared" si="5"/>
        <v>0</v>
      </c>
      <c r="I120" s="71"/>
      <c r="J120" s="69">
        <f t="shared" si="4"/>
        <v>0</v>
      </c>
    </row>
    <row r="121" ht="3" customHeight="1" spans="1:10">
      <c r="A121" s="68"/>
      <c r="B121" s="69"/>
      <c r="C121" s="70"/>
      <c r="D121" s="71">
        <f>'3-2-26'!I121</f>
        <v>0</v>
      </c>
      <c r="E121" s="69"/>
      <c r="F121" s="69"/>
      <c r="G121" s="69"/>
      <c r="H121" s="71">
        <f t="shared" si="5"/>
        <v>0</v>
      </c>
      <c r="I121" s="71"/>
      <c r="J121" s="69">
        <f t="shared" si="4"/>
        <v>0</v>
      </c>
    </row>
    <row r="122" ht="3" customHeight="1" spans="1:10">
      <c r="A122" s="68"/>
      <c r="B122" s="69"/>
      <c r="C122" s="70"/>
      <c r="D122" s="71">
        <f>'3-2-26'!I122</f>
        <v>0</v>
      </c>
      <c r="E122" s="69"/>
      <c r="F122" s="69"/>
      <c r="G122" s="69"/>
      <c r="H122" s="71">
        <f t="shared" si="5"/>
        <v>0</v>
      </c>
      <c r="I122" s="71"/>
      <c r="J122" s="69">
        <f t="shared" si="4"/>
        <v>0</v>
      </c>
    </row>
    <row r="123" ht="3" customHeight="1" spans="1:10">
      <c r="A123" s="68"/>
      <c r="B123" s="69"/>
      <c r="C123" s="70"/>
      <c r="D123" s="71">
        <f>'3-2-26'!I123</f>
        <v>0</v>
      </c>
      <c r="E123" s="69"/>
      <c r="F123" s="69"/>
      <c r="G123" s="69"/>
      <c r="H123" s="71">
        <f t="shared" si="5"/>
        <v>0</v>
      </c>
      <c r="I123" s="71"/>
      <c r="J123" s="69">
        <f t="shared" si="4"/>
        <v>0</v>
      </c>
    </row>
    <row r="124" ht="3" customHeight="1" spans="1:10">
      <c r="A124" s="68"/>
      <c r="B124" s="69"/>
      <c r="C124" s="70"/>
      <c r="D124" s="71">
        <f>'3-2-26'!I124</f>
        <v>0</v>
      </c>
      <c r="E124" s="69"/>
      <c r="F124" s="69"/>
      <c r="G124" s="69"/>
      <c r="H124" s="71">
        <f t="shared" si="5"/>
        <v>0</v>
      </c>
      <c r="I124" s="71"/>
      <c r="J124" s="69">
        <f t="shared" si="4"/>
        <v>0</v>
      </c>
    </row>
    <row r="125" ht="3" customHeight="1" spans="1:10">
      <c r="A125" s="68"/>
      <c r="B125" s="69"/>
      <c r="C125" s="70"/>
      <c r="D125" s="71">
        <f>'3-2-26'!I125</f>
        <v>0</v>
      </c>
      <c r="E125" s="69"/>
      <c r="F125" s="69"/>
      <c r="G125" s="69"/>
      <c r="H125" s="71">
        <f t="shared" si="5"/>
        <v>0</v>
      </c>
      <c r="I125" s="71"/>
      <c r="J125" s="69">
        <f t="shared" si="4"/>
        <v>0</v>
      </c>
    </row>
    <row r="126" ht="3" customHeight="1" spans="1:10">
      <c r="A126" s="68"/>
      <c r="B126" s="69"/>
      <c r="C126" s="70"/>
      <c r="D126" s="71">
        <f>'3-2-26'!I126</f>
        <v>0</v>
      </c>
      <c r="E126" s="69"/>
      <c r="F126" s="69"/>
      <c r="G126" s="69"/>
      <c r="H126" s="71">
        <f t="shared" si="5"/>
        <v>0</v>
      </c>
      <c r="I126" s="71"/>
      <c r="J126" s="69">
        <f t="shared" si="4"/>
        <v>0</v>
      </c>
    </row>
    <row r="127" ht="3" customHeight="1" spans="1:10">
      <c r="A127" s="68"/>
      <c r="B127" s="69"/>
      <c r="C127" s="70"/>
      <c r="D127" s="71">
        <f>'3-2-26'!I127</f>
        <v>0</v>
      </c>
      <c r="E127" s="69"/>
      <c r="F127" s="69"/>
      <c r="G127" s="69"/>
      <c r="H127" s="71">
        <f t="shared" si="5"/>
        <v>0</v>
      </c>
      <c r="I127" s="71"/>
      <c r="J127" s="69">
        <f t="shared" si="4"/>
        <v>0</v>
      </c>
    </row>
    <row r="128" ht="3" customHeight="1" spans="1:10">
      <c r="A128" s="68"/>
      <c r="B128" s="69"/>
      <c r="C128" s="70"/>
      <c r="D128" s="71">
        <f>'3-2-26'!I128</f>
        <v>0</v>
      </c>
      <c r="E128" s="69"/>
      <c r="F128" s="69"/>
      <c r="G128" s="69"/>
      <c r="H128" s="71">
        <f t="shared" si="5"/>
        <v>0</v>
      </c>
      <c r="I128" s="71"/>
      <c r="J128" s="69">
        <f t="shared" si="4"/>
        <v>0</v>
      </c>
    </row>
    <row r="129" ht="3" customHeight="1" spans="1:10">
      <c r="A129" s="68"/>
      <c r="B129" s="69"/>
      <c r="C129" s="70"/>
      <c r="D129" s="71">
        <f>'3-2-26'!I129</f>
        <v>0</v>
      </c>
      <c r="E129" s="69"/>
      <c r="F129" s="69"/>
      <c r="G129" s="69"/>
      <c r="H129" s="71">
        <f t="shared" si="5"/>
        <v>0</v>
      </c>
      <c r="I129" s="71"/>
      <c r="J129" s="69">
        <f t="shared" si="4"/>
        <v>0</v>
      </c>
    </row>
    <row r="130" ht="3" customHeight="1" spans="1:10">
      <c r="A130" s="68"/>
      <c r="B130" s="69"/>
      <c r="C130" s="70"/>
      <c r="D130" s="71">
        <f>'3-2-26'!I130</f>
        <v>0</v>
      </c>
      <c r="E130" s="69"/>
      <c r="F130" s="69"/>
      <c r="G130" s="69"/>
      <c r="H130" s="71">
        <f t="shared" si="5"/>
        <v>0</v>
      </c>
      <c r="I130" s="71"/>
      <c r="J130" s="69">
        <f t="shared" si="4"/>
        <v>0</v>
      </c>
    </row>
    <row r="131" ht="3" customHeight="1" spans="1:10">
      <c r="A131" s="68"/>
      <c r="B131" s="69"/>
      <c r="C131" s="70"/>
      <c r="D131" s="71">
        <f>'3-2-26'!I131</f>
        <v>0</v>
      </c>
      <c r="E131" s="69"/>
      <c r="F131" s="69"/>
      <c r="G131" s="69"/>
      <c r="H131" s="71">
        <f t="shared" si="5"/>
        <v>0</v>
      </c>
      <c r="I131" s="71"/>
      <c r="J131" s="69">
        <f t="shared" si="4"/>
        <v>0</v>
      </c>
    </row>
    <row r="132" ht="3" customHeight="1" spans="1:10">
      <c r="A132" s="68"/>
      <c r="B132" s="69"/>
      <c r="C132" s="70"/>
      <c r="D132" s="71">
        <f>'3-2-26'!I132</f>
        <v>0</v>
      </c>
      <c r="E132" s="69"/>
      <c r="F132" s="69"/>
      <c r="G132" s="69"/>
      <c r="H132" s="71">
        <f t="shared" si="5"/>
        <v>0</v>
      </c>
      <c r="I132" s="71"/>
      <c r="J132" s="69">
        <f t="shared" si="4"/>
        <v>0</v>
      </c>
    </row>
    <row r="133" ht="3" customHeight="1" spans="1:10">
      <c r="A133" s="68"/>
      <c r="B133" s="69"/>
      <c r="C133" s="70"/>
      <c r="D133" s="71">
        <f>'3-2-26'!I133</f>
        <v>0</v>
      </c>
      <c r="E133" s="69"/>
      <c r="F133" s="69"/>
      <c r="G133" s="69"/>
      <c r="H133" s="71">
        <f t="shared" si="5"/>
        <v>0</v>
      </c>
      <c r="I133" s="71"/>
      <c r="J133" s="69">
        <f t="shared" si="4"/>
        <v>0</v>
      </c>
    </row>
    <row r="134" ht="3" customHeight="1" spans="1:10">
      <c r="A134" s="68"/>
      <c r="B134" s="69"/>
      <c r="C134" s="70"/>
      <c r="D134" s="71">
        <f>'3-2-26'!I134</f>
        <v>0</v>
      </c>
      <c r="E134" s="69"/>
      <c r="F134" s="69"/>
      <c r="G134" s="69"/>
      <c r="H134" s="71">
        <f t="shared" si="5"/>
        <v>0</v>
      </c>
      <c r="I134" s="71"/>
      <c r="J134" s="69">
        <f t="shared" si="4"/>
        <v>0</v>
      </c>
    </row>
    <row r="135" ht="3" customHeight="1" spans="1:10">
      <c r="A135" s="68"/>
      <c r="B135" s="69"/>
      <c r="C135" s="70"/>
      <c r="D135" s="71">
        <f>'3-2-26'!I135</f>
        <v>0</v>
      </c>
      <c r="E135" s="69"/>
      <c r="F135" s="69"/>
      <c r="G135" s="69"/>
      <c r="H135" s="71">
        <f t="shared" si="5"/>
        <v>0</v>
      </c>
      <c r="I135" s="71"/>
      <c r="J135" s="69">
        <f t="shared" si="4"/>
        <v>0</v>
      </c>
    </row>
    <row r="136" ht="3" customHeight="1" spans="1:10">
      <c r="A136" s="68"/>
      <c r="B136" s="69"/>
      <c r="C136" s="70"/>
      <c r="D136" s="71">
        <f>'3-2-26'!I136</f>
        <v>0</v>
      </c>
      <c r="E136" s="69"/>
      <c r="F136" s="69"/>
      <c r="G136" s="69"/>
      <c r="H136" s="71">
        <f t="shared" si="5"/>
        <v>0</v>
      </c>
      <c r="I136" s="71"/>
      <c r="J136" s="69">
        <f t="shared" si="4"/>
        <v>0</v>
      </c>
    </row>
    <row r="137" ht="3" customHeight="1" spans="1:10">
      <c r="A137" s="68"/>
      <c r="B137" s="69"/>
      <c r="C137" s="70"/>
      <c r="D137" s="71">
        <f>'3-2-26'!I137</f>
        <v>0</v>
      </c>
      <c r="E137" s="69"/>
      <c r="F137" s="69"/>
      <c r="G137" s="69"/>
      <c r="H137" s="71">
        <f t="shared" si="5"/>
        <v>0</v>
      </c>
      <c r="I137" s="71"/>
      <c r="J137" s="69">
        <f t="shared" ref="J137:J186" si="6">1/10*G137</f>
        <v>0</v>
      </c>
    </row>
    <row r="138" ht="3" customHeight="1" spans="1:10">
      <c r="A138" s="68"/>
      <c r="B138" s="69"/>
      <c r="C138" s="70"/>
      <c r="D138" s="71">
        <f>'3-2-26'!I138</f>
        <v>0</v>
      </c>
      <c r="E138" s="69"/>
      <c r="F138" s="69"/>
      <c r="G138" s="69"/>
      <c r="H138" s="71">
        <f t="shared" si="5"/>
        <v>0</v>
      </c>
      <c r="I138" s="71"/>
      <c r="J138" s="69">
        <f t="shared" si="6"/>
        <v>0</v>
      </c>
    </row>
    <row r="139" ht="3" customHeight="1" spans="1:10">
      <c r="A139" s="68"/>
      <c r="B139" s="69"/>
      <c r="C139" s="70"/>
      <c r="D139" s="71">
        <f>'3-2-26'!I139</f>
        <v>0</v>
      </c>
      <c r="E139" s="69"/>
      <c r="F139" s="69"/>
      <c r="G139" s="69"/>
      <c r="H139" s="71">
        <f t="shared" si="5"/>
        <v>0</v>
      </c>
      <c r="I139" s="71"/>
      <c r="J139" s="69">
        <f t="shared" si="6"/>
        <v>0</v>
      </c>
    </row>
    <row r="140" ht="3" customHeight="1" spans="1:10">
      <c r="A140" s="68"/>
      <c r="B140" s="69"/>
      <c r="C140" s="70"/>
      <c r="D140" s="71">
        <f>'3-2-26'!I140</f>
        <v>0</v>
      </c>
      <c r="E140" s="69"/>
      <c r="F140" s="69"/>
      <c r="G140" s="69"/>
      <c r="H140" s="71">
        <f t="shared" si="5"/>
        <v>0</v>
      </c>
      <c r="I140" s="71"/>
      <c r="J140" s="69">
        <f t="shared" si="6"/>
        <v>0</v>
      </c>
    </row>
    <row r="141" ht="3" customHeight="1" spans="1:10">
      <c r="A141" s="68"/>
      <c r="B141" s="69"/>
      <c r="C141" s="70"/>
      <c r="D141" s="71">
        <f>'3-2-26'!I141</f>
        <v>0</v>
      </c>
      <c r="E141" s="69"/>
      <c r="F141" s="69"/>
      <c r="G141" s="69"/>
      <c r="H141" s="71">
        <f t="shared" si="5"/>
        <v>0</v>
      </c>
      <c r="I141" s="71"/>
      <c r="J141" s="69">
        <f t="shared" si="6"/>
        <v>0</v>
      </c>
    </row>
    <row r="142" ht="3" customHeight="1" spans="1:10">
      <c r="A142" s="68"/>
      <c r="B142" s="69"/>
      <c r="C142" s="70"/>
      <c r="D142" s="71">
        <f>'3-2-26'!I142</f>
        <v>0</v>
      </c>
      <c r="E142" s="69"/>
      <c r="F142" s="69"/>
      <c r="G142" s="69"/>
      <c r="H142" s="71">
        <f t="shared" si="5"/>
        <v>0</v>
      </c>
      <c r="I142" s="71"/>
      <c r="J142" s="69">
        <f t="shared" si="6"/>
        <v>0</v>
      </c>
    </row>
    <row r="143" ht="3" customHeight="1" spans="1:10">
      <c r="A143" s="68"/>
      <c r="B143" s="69"/>
      <c r="C143" s="70"/>
      <c r="D143" s="71">
        <f>'3-2-26'!I143</f>
        <v>0</v>
      </c>
      <c r="E143" s="69"/>
      <c r="F143" s="69"/>
      <c r="G143" s="69"/>
      <c r="H143" s="71">
        <f t="shared" si="5"/>
        <v>0</v>
      </c>
      <c r="I143" s="71"/>
      <c r="J143" s="69">
        <f t="shared" si="6"/>
        <v>0</v>
      </c>
    </row>
    <row r="144" ht="3" customHeight="1" spans="1:10">
      <c r="A144" s="68"/>
      <c r="B144" s="69"/>
      <c r="C144" s="70"/>
      <c r="D144" s="71">
        <f>'3-2-26'!I144</f>
        <v>0</v>
      </c>
      <c r="E144" s="69"/>
      <c r="F144" s="69"/>
      <c r="G144" s="69"/>
      <c r="H144" s="71">
        <f t="shared" si="5"/>
        <v>0</v>
      </c>
      <c r="I144" s="71"/>
      <c r="J144" s="69">
        <f t="shared" si="6"/>
        <v>0</v>
      </c>
    </row>
    <row r="145" ht="3" customHeight="1" spans="1:10">
      <c r="A145" s="68"/>
      <c r="B145" s="69"/>
      <c r="C145" s="70"/>
      <c r="D145" s="71">
        <f>'3-2-26'!I145</f>
        <v>0</v>
      </c>
      <c r="E145" s="69"/>
      <c r="F145" s="69"/>
      <c r="G145" s="69"/>
      <c r="H145" s="71">
        <f t="shared" si="5"/>
        <v>0</v>
      </c>
      <c r="I145" s="71"/>
      <c r="J145" s="69">
        <f t="shared" si="6"/>
        <v>0</v>
      </c>
    </row>
    <row r="146" ht="3" customHeight="1" spans="1:10">
      <c r="A146" s="68"/>
      <c r="B146" s="69"/>
      <c r="C146" s="70"/>
      <c r="D146" s="71">
        <f>'3-2-26'!I146</f>
        <v>0</v>
      </c>
      <c r="E146" s="69"/>
      <c r="F146" s="69"/>
      <c r="G146" s="69"/>
      <c r="H146" s="71">
        <f t="shared" si="5"/>
        <v>0</v>
      </c>
      <c r="I146" s="71"/>
      <c r="J146" s="69">
        <f t="shared" si="6"/>
        <v>0</v>
      </c>
    </row>
    <row r="147" ht="3" customHeight="1" spans="1:10">
      <c r="A147" s="68"/>
      <c r="B147" s="69"/>
      <c r="C147" s="70"/>
      <c r="D147" s="71">
        <f>'3-2-26'!I147</f>
        <v>0</v>
      </c>
      <c r="E147" s="69"/>
      <c r="F147" s="69"/>
      <c r="G147" s="69"/>
      <c r="H147" s="71">
        <f t="shared" si="5"/>
        <v>0</v>
      </c>
      <c r="I147" s="71"/>
      <c r="J147" s="69">
        <f t="shared" si="6"/>
        <v>0</v>
      </c>
    </row>
    <row r="148" ht="3" customHeight="1" spans="1:10">
      <c r="A148" s="68"/>
      <c r="B148" s="69"/>
      <c r="C148" s="70"/>
      <c r="D148" s="71">
        <f>'3-2-26'!I148</f>
        <v>0</v>
      </c>
      <c r="E148" s="69"/>
      <c r="F148" s="69"/>
      <c r="G148" s="69"/>
      <c r="H148" s="71">
        <f t="shared" si="5"/>
        <v>0</v>
      </c>
      <c r="I148" s="71"/>
      <c r="J148" s="69">
        <f t="shared" si="6"/>
        <v>0</v>
      </c>
    </row>
    <row r="149" ht="3" customHeight="1" spans="1:10">
      <c r="A149" s="68"/>
      <c r="B149" s="69"/>
      <c r="C149" s="70"/>
      <c r="D149" s="71">
        <f>'3-2-26'!I149</f>
        <v>0</v>
      </c>
      <c r="E149" s="69"/>
      <c r="F149" s="69"/>
      <c r="G149" s="69"/>
      <c r="H149" s="71">
        <f t="shared" si="5"/>
        <v>0</v>
      </c>
      <c r="I149" s="71"/>
      <c r="J149" s="69">
        <f t="shared" si="6"/>
        <v>0</v>
      </c>
    </row>
    <row r="150" ht="3" customHeight="1" spans="1:10">
      <c r="A150" s="68"/>
      <c r="B150" s="69"/>
      <c r="C150" s="70"/>
      <c r="D150" s="71">
        <f>'3-2-26'!I150</f>
        <v>0</v>
      </c>
      <c r="E150" s="69"/>
      <c r="F150" s="69"/>
      <c r="G150" s="69"/>
      <c r="H150" s="71">
        <f t="shared" si="5"/>
        <v>0</v>
      </c>
      <c r="I150" s="71"/>
      <c r="J150" s="69">
        <f t="shared" si="6"/>
        <v>0</v>
      </c>
    </row>
    <row r="151" ht="3" customHeight="1" spans="1:10">
      <c r="A151" s="68"/>
      <c r="B151" s="69"/>
      <c r="C151" s="70"/>
      <c r="D151" s="71">
        <f>'3-2-26'!I151</f>
        <v>0</v>
      </c>
      <c r="E151" s="69"/>
      <c r="F151" s="69"/>
      <c r="G151" s="69"/>
      <c r="H151" s="71">
        <f t="shared" si="5"/>
        <v>0</v>
      </c>
      <c r="I151" s="71"/>
      <c r="J151" s="69">
        <f t="shared" si="6"/>
        <v>0</v>
      </c>
    </row>
    <row r="152" ht="3" customHeight="1" spans="1:10">
      <c r="A152" s="68"/>
      <c r="B152" s="69"/>
      <c r="C152" s="70"/>
      <c r="D152" s="71">
        <f>'3-2-26'!I152</f>
        <v>0</v>
      </c>
      <c r="E152" s="69"/>
      <c r="F152" s="69"/>
      <c r="G152" s="69"/>
      <c r="H152" s="71">
        <f t="shared" si="5"/>
        <v>0</v>
      </c>
      <c r="I152" s="71"/>
      <c r="J152" s="69">
        <f t="shared" si="6"/>
        <v>0</v>
      </c>
    </row>
    <row r="153" ht="3" customHeight="1" spans="1:10">
      <c r="A153" s="68"/>
      <c r="B153" s="69"/>
      <c r="C153" s="70"/>
      <c r="D153" s="71">
        <f>'3-2-26'!I153</f>
        <v>0</v>
      </c>
      <c r="E153" s="69"/>
      <c r="F153" s="69"/>
      <c r="G153" s="69"/>
      <c r="H153" s="71">
        <f t="shared" ref="H153:H186" si="7">SUM(F153:G153)</f>
        <v>0</v>
      </c>
      <c r="I153" s="71"/>
      <c r="J153" s="69">
        <f t="shared" si="6"/>
        <v>0</v>
      </c>
    </row>
    <row r="154" ht="3" customHeight="1" spans="1:10">
      <c r="A154" s="68"/>
      <c r="B154" s="69"/>
      <c r="C154" s="70"/>
      <c r="D154" s="71">
        <f>'3-2-26'!I154</f>
        <v>0</v>
      </c>
      <c r="E154" s="69"/>
      <c r="F154" s="69"/>
      <c r="G154" s="69"/>
      <c r="H154" s="71">
        <f t="shared" si="7"/>
        <v>0</v>
      </c>
      <c r="I154" s="71"/>
      <c r="J154" s="69">
        <f t="shared" si="6"/>
        <v>0</v>
      </c>
    </row>
    <row r="155" ht="3" customHeight="1" spans="1:10">
      <c r="A155" s="68"/>
      <c r="B155" s="69"/>
      <c r="C155" s="70"/>
      <c r="D155" s="71">
        <f>'3-2-26'!I155</f>
        <v>0</v>
      </c>
      <c r="E155" s="69"/>
      <c r="F155" s="69"/>
      <c r="G155" s="69"/>
      <c r="H155" s="71">
        <f t="shared" si="7"/>
        <v>0</v>
      </c>
      <c r="I155" s="71"/>
      <c r="J155" s="69">
        <f t="shared" si="6"/>
        <v>0</v>
      </c>
    </row>
    <row r="156" ht="3" customHeight="1" spans="1:10">
      <c r="A156" s="68"/>
      <c r="B156" s="69"/>
      <c r="C156" s="70"/>
      <c r="D156" s="71">
        <f>'3-2-26'!I156</f>
        <v>0</v>
      </c>
      <c r="E156" s="69"/>
      <c r="F156" s="69"/>
      <c r="G156" s="69"/>
      <c r="H156" s="71">
        <f t="shared" si="7"/>
        <v>0</v>
      </c>
      <c r="I156" s="71"/>
      <c r="J156" s="69">
        <f t="shared" si="6"/>
        <v>0</v>
      </c>
    </row>
    <row r="157" ht="3" customHeight="1" spans="1:10">
      <c r="A157" s="68"/>
      <c r="B157" s="69"/>
      <c r="C157" s="70"/>
      <c r="D157" s="71">
        <f>'3-2-26'!I157</f>
        <v>0</v>
      </c>
      <c r="E157" s="69"/>
      <c r="F157" s="69"/>
      <c r="G157" s="69"/>
      <c r="H157" s="71">
        <f t="shared" si="7"/>
        <v>0</v>
      </c>
      <c r="I157" s="71"/>
      <c r="J157" s="69">
        <f t="shared" si="6"/>
        <v>0</v>
      </c>
    </row>
    <row r="158" ht="3" customHeight="1" spans="1:10">
      <c r="A158" s="68"/>
      <c r="B158" s="69"/>
      <c r="C158" s="70"/>
      <c r="D158" s="71">
        <f>'3-2-26'!I158</f>
        <v>0</v>
      </c>
      <c r="E158" s="69"/>
      <c r="F158" s="69"/>
      <c r="G158" s="69"/>
      <c r="H158" s="71">
        <f t="shared" si="7"/>
        <v>0</v>
      </c>
      <c r="I158" s="71"/>
      <c r="J158" s="69">
        <f t="shared" si="6"/>
        <v>0</v>
      </c>
    </row>
    <row r="159" ht="3" customHeight="1" spans="1:10">
      <c r="A159" s="68"/>
      <c r="B159" s="69"/>
      <c r="C159" s="70"/>
      <c r="D159" s="71">
        <f>'3-2-26'!I159</f>
        <v>0</v>
      </c>
      <c r="E159" s="69"/>
      <c r="F159" s="69"/>
      <c r="G159" s="69"/>
      <c r="H159" s="71">
        <f t="shared" si="7"/>
        <v>0</v>
      </c>
      <c r="I159" s="71"/>
      <c r="J159" s="69">
        <f t="shared" si="6"/>
        <v>0</v>
      </c>
    </row>
    <row r="160" ht="3" customHeight="1" spans="1:10">
      <c r="A160" s="68"/>
      <c r="B160" s="69"/>
      <c r="C160" s="70"/>
      <c r="D160" s="71">
        <f>'3-2-26'!I160</f>
        <v>0</v>
      </c>
      <c r="E160" s="69"/>
      <c r="F160" s="69"/>
      <c r="G160" s="69"/>
      <c r="H160" s="71">
        <f t="shared" si="7"/>
        <v>0</v>
      </c>
      <c r="I160" s="71"/>
      <c r="J160" s="69">
        <f t="shared" si="6"/>
        <v>0</v>
      </c>
    </row>
    <row r="161" ht="3" customHeight="1" spans="1:10">
      <c r="A161" s="68"/>
      <c r="B161" s="69"/>
      <c r="C161" s="70"/>
      <c r="D161" s="71">
        <f>'3-2-26'!I161</f>
        <v>0</v>
      </c>
      <c r="E161" s="69"/>
      <c r="F161" s="69"/>
      <c r="G161" s="69"/>
      <c r="H161" s="71">
        <f t="shared" si="7"/>
        <v>0</v>
      </c>
      <c r="I161" s="71"/>
      <c r="J161" s="69">
        <f t="shared" si="6"/>
        <v>0</v>
      </c>
    </row>
    <row r="162" ht="3" customHeight="1" spans="1:10">
      <c r="A162" s="68"/>
      <c r="B162" s="69"/>
      <c r="C162" s="70"/>
      <c r="D162" s="71">
        <f>'3-2-26'!I162</f>
        <v>0</v>
      </c>
      <c r="E162" s="69"/>
      <c r="F162" s="69"/>
      <c r="G162" s="69"/>
      <c r="H162" s="71">
        <f t="shared" si="7"/>
        <v>0</v>
      </c>
      <c r="I162" s="71"/>
      <c r="J162" s="69">
        <f t="shared" si="6"/>
        <v>0</v>
      </c>
    </row>
    <row r="163" ht="3" customHeight="1" spans="1:10">
      <c r="A163" s="68"/>
      <c r="B163" s="69"/>
      <c r="C163" s="70"/>
      <c r="D163" s="71">
        <f>'3-2-26'!I163</f>
        <v>0</v>
      </c>
      <c r="E163" s="69"/>
      <c r="F163" s="69"/>
      <c r="G163" s="69"/>
      <c r="H163" s="71">
        <f t="shared" si="7"/>
        <v>0</v>
      </c>
      <c r="I163" s="71"/>
      <c r="J163" s="69">
        <f t="shared" si="6"/>
        <v>0</v>
      </c>
    </row>
    <row r="164" ht="3" customHeight="1" spans="1:10">
      <c r="A164" s="68"/>
      <c r="B164" s="69"/>
      <c r="C164" s="70"/>
      <c r="D164" s="71">
        <f>'3-2-26'!I164</f>
        <v>0</v>
      </c>
      <c r="E164" s="69"/>
      <c r="F164" s="69"/>
      <c r="G164" s="69"/>
      <c r="H164" s="71">
        <f t="shared" si="7"/>
        <v>0</v>
      </c>
      <c r="I164" s="71"/>
      <c r="J164" s="69">
        <f t="shared" si="6"/>
        <v>0</v>
      </c>
    </row>
    <row r="165" ht="3" customHeight="1" spans="1:10">
      <c r="A165" s="68"/>
      <c r="B165" s="69"/>
      <c r="C165" s="70"/>
      <c r="D165" s="71">
        <f>'3-2-26'!I165</f>
        <v>0</v>
      </c>
      <c r="E165" s="69"/>
      <c r="F165" s="69"/>
      <c r="G165" s="69"/>
      <c r="H165" s="71">
        <f t="shared" si="7"/>
        <v>0</v>
      </c>
      <c r="I165" s="71"/>
      <c r="J165" s="69">
        <f t="shared" si="6"/>
        <v>0</v>
      </c>
    </row>
    <row r="166" ht="3" customHeight="1" spans="1:10">
      <c r="A166" s="68"/>
      <c r="B166" s="69"/>
      <c r="C166" s="70"/>
      <c r="D166" s="71">
        <f>'3-2-26'!I166</f>
        <v>0</v>
      </c>
      <c r="E166" s="69"/>
      <c r="F166" s="69"/>
      <c r="G166" s="69"/>
      <c r="H166" s="71">
        <f t="shared" si="7"/>
        <v>0</v>
      </c>
      <c r="I166" s="71"/>
      <c r="J166" s="69">
        <f t="shared" si="6"/>
        <v>0</v>
      </c>
    </row>
    <row r="167" ht="3" customHeight="1" spans="1:10">
      <c r="A167" s="68"/>
      <c r="B167" s="69"/>
      <c r="C167" s="70"/>
      <c r="D167" s="71">
        <f>'3-2-26'!I167</f>
        <v>0</v>
      </c>
      <c r="E167" s="69"/>
      <c r="F167" s="69"/>
      <c r="G167" s="69"/>
      <c r="H167" s="71">
        <f t="shared" si="7"/>
        <v>0</v>
      </c>
      <c r="I167" s="71"/>
      <c r="J167" s="69">
        <f t="shared" si="6"/>
        <v>0</v>
      </c>
    </row>
    <row r="168" ht="3" customHeight="1" spans="1:10">
      <c r="A168" s="68"/>
      <c r="B168" s="69"/>
      <c r="C168" s="70"/>
      <c r="D168" s="71">
        <f>'3-2-26'!I168</f>
        <v>0</v>
      </c>
      <c r="E168" s="69"/>
      <c r="F168" s="69"/>
      <c r="G168" s="69"/>
      <c r="H168" s="71">
        <f t="shared" si="7"/>
        <v>0</v>
      </c>
      <c r="I168" s="71"/>
      <c r="J168" s="69">
        <f t="shared" si="6"/>
        <v>0</v>
      </c>
    </row>
    <row r="169" ht="3" customHeight="1" spans="1:10">
      <c r="A169" s="68"/>
      <c r="B169" s="69"/>
      <c r="C169" s="70"/>
      <c r="D169" s="71">
        <f>'3-2-26'!I169</f>
        <v>0</v>
      </c>
      <c r="E169" s="69"/>
      <c r="F169" s="69"/>
      <c r="G169" s="69"/>
      <c r="H169" s="71">
        <f t="shared" si="7"/>
        <v>0</v>
      </c>
      <c r="I169" s="71"/>
      <c r="J169" s="69">
        <f t="shared" si="6"/>
        <v>0</v>
      </c>
    </row>
    <row r="170" ht="3" customHeight="1" spans="1:10">
      <c r="A170" s="68"/>
      <c r="B170" s="69"/>
      <c r="C170" s="70"/>
      <c r="D170" s="71">
        <f>'3-2-26'!I170</f>
        <v>0</v>
      </c>
      <c r="E170" s="69"/>
      <c r="F170" s="69"/>
      <c r="G170" s="69"/>
      <c r="H170" s="71">
        <f t="shared" si="7"/>
        <v>0</v>
      </c>
      <c r="I170" s="71"/>
      <c r="J170" s="69">
        <f t="shared" si="6"/>
        <v>0</v>
      </c>
    </row>
    <row r="171" ht="3" customHeight="1" spans="1:10">
      <c r="A171" s="68"/>
      <c r="B171" s="69"/>
      <c r="C171" s="70"/>
      <c r="D171" s="71">
        <f>'3-2-26'!I171</f>
        <v>0</v>
      </c>
      <c r="E171" s="69"/>
      <c r="F171" s="69"/>
      <c r="G171" s="69"/>
      <c r="H171" s="71">
        <f t="shared" si="7"/>
        <v>0</v>
      </c>
      <c r="I171" s="71"/>
      <c r="J171" s="69">
        <f t="shared" si="6"/>
        <v>0</v>
      </c>
    </row>
    <row r="172" ht="3" customHeight="1" spans="1:10">
      <c r="A172" s="68"/>
      <c r="B172" s="69"/>
      <c r="C172" s="70"/>
      <c r="D172" s="71">
        <f>'3-2-26'!I172</f>
        <v>0</v>
      </c>
      <c r="E172" s="69"/>
      <c r="F172" s="69"/>
      <c r="G172" s="69"/>
      <c r="H172" s="71">
        <f t="shared" si="7"/>
        <v>0</v>
      </c>
      <c r="I172" s="71"/>
      <c r="J172" s="69">
        <f t="shared" si="6"/>
        <v>0</v>
      </c>
    </row>
    <row r="173" ht="3" customHeight="1" spans="1:10">
      <c r="A173" s="68"/>
      <c r="B173" s="69"/>
      <c r="C173" s="70"/>
      <c r="D173" s="71">
        <f>'3-2-26'!I173</f>
        <v>0</v>
      </c>
      <c r="E173" s="69"/>
      <c r="F173" s="69"/>
      <c r="G173" s="69"/>
      <c r="H173" s="71">
        <f t="shared" si="7"/>
        <v>0</v>
      </c>
      <c r="I173" s="71"/>
      <c r="J173" s="69">
        <f t="shared" si="6"/>
        <v>0</v>
      </c>
    </row>
    <row r="174" ht="3" customHeight="1" spans="1:10">
      <c r="A174" s="68"/>
      <c r="B174" s="69"/>
      <c r="C174" s="70"/>
      <c r="D174" s="71">
        <f>'3-2-26'!I174</f>
        <v>0</v>
      </c>
      <c r="E174" s="69"/>
      <c r="F174" s="69"/>
      <c r="G174" s="69"/>
      <c r="H174" s="71">
        <f t="shared" si="7"/>
        <v>0</v>
      </c>
      <c r="I174" s="71"/>
      <c r="J174" s="69">
        <f t="shared" si="6"/>
        <v>0</v>
      </c>
    </row>
    <row r="175" ht="3" customHeight="1" spans="1:10">
      <c r="A175" s="68"/>
      <c r="B175" s="69"/>
      <c r="C175" s="70"/>
      <c r="D175" s="71">
        <f>'3-2-26'!I175</f>
        <v>0</v>
      </c>
      <c r="E175" s="69"/>
      <c r="F175" s="69"/>
      <c r="G175" s="69"/>
      <c r="H175" s="71">
        <f t="shared" si="7"/>
        <v>0</v>
      </c>
      <c r="I175" s="71"/>
      <c r="J175" s="69">
        <f t="shared" si="6"/>
        <v>0</v>
      </c>
    </row>
    <row r="176" ht="3" customHeight="1" spans="1:10">
      <c r="A176" s="68"/>
      <c r="B176" s="69"/>
      <c r="C176" s="70"/>
      <c r="D176" s="71">
        <f>'3-2-26'!I176</f>
        <v>0</v>
      </c>
      <c r="E176" s="69"/>
      <c r="F176" s="69"/>
      <c r="G176" s="69"/>
      <c r="H176" s="71">
        <f t="shared" si="7"/>
        <v>0</v>
      </c>
      <c r="I176" s="71"/>
      <c r="J176" s="69">
        <f t="shared" si="6"/>
        <v>0</v>
      </c>
    </row>
    <row r="177" ht="3" customHeight="1" spans="1:11">
      <c r="A177" s="68"/>
      <c r="B177" s="69"/>
      <c r="C177" s="70"/>
      <c r="D177" s="71">
        <f>'3-2-26'!I177</f>
        <v>0</v>
      </c>
      <c r="E177" s="69"/>
      <c r="F177" s="69"/>
      <c r="G177" s="69"/>
      <c r="H177" s="71">
        <f t="shared" si="7"/>
        <v>0</v>
      </c>
      <c r="I177" s="71"/>
      <c r="J177" s="69">
        <f t="shared" si="6"/>
        <v>0</v>
      </c>
    </row>
    <row r="178" ht="3" customHeight="1" spans="1:11">
      <c r="A178" s="68"/>
      <c r="B178" s="69"/>
      <c r="C178" s="70"/>
      <c r="D178" s="71">
        <f>'3-2-26'!I178</f>
        <v>0</v>
      </c>
      <c r="E178" s="69"/>
      <c r="F178" s="69"/>
      <c r="G178" s="69"/>
      <c r="H178" s="71">
        <f t="shared" si="7"/>
        <v>0</v>
      </c>
      <c r="I178" s="71"/>
      <c r="J178" s="69">
        <f t="shared" si="6"/>
        <v>0</v>
      </c>
    </row>
    <row r="179" ht="3" customHeight="1" spans="1:11">
      <c r="A179" s="68"/>
      <c r="B179" s="69"/>
      <c r="C179" s="70"/>
      <c r="D179" s="71">
        <f>'3-2-26'!I179</f>
        <v>0</v>
      </c>
      <c r="E179" s="69"/>
      <c r="F179" s="69"/>
      <c r="G179" s="69"/>
      <c r="H179" s="71">
        <f t="shared" si="7"/>
        <v>0</v>
      </c>
      <c r="I179" s="71"/>
      <c r="J179" s="69">
        <f t="shared" si="6"/>
        <v>0</v>
      </c>
    </row>
    <row r="180" ht="3" customHeight="1" spans="1:11">
      <c r="A180" s="68"/>
      <c r="B180" s="69"/>
      <c r="C180" s="70"/>
      <c r="D180" s="71">
        <f>'3-2-26'!I180</f>
        <v>0</v>
      </c>
      <c r="E180" s="69"/>
      <c r="F180" s="69"/>
      <c r="G180" s="69"/>
      <c r="H180" s="71">
        <f t="shared" si="7"/>
        <v>0</v>
      </c>
      <c r="I180" s="71"/>
      <c r="J180" s="69">
        <f t="shared" si="6"/>
        <v>0</v>
      </c>
    </row>
    <row r="181" ht="12.75" customHeight="1" spans="1:11">
      <c r="A181" s="68"/>
      <c r="B181" s="69"/>
      <c r="C181" s="70"/>
      <c r="D181" s="71">
        <f>'3-2-26'!I181</f>
        <v>0</v>
      </c>
      <c r="E181" s="69"/>
      <c r="F181" s="69"/>
      <c r="G181" s="69"/>
      <c r="H181" s="71">
        <f t="shared" si="7"/>
        <v>0</v>
      </c>
      <c r="I181" s="71"/>
      <c r="J181" s="69">
        <f t="shared" si="6"/>
        <v>0</v>
      </c>
    </row>
    <row r="182" ht="12.75" customHeight="1" spans="1:11">
      <c r="A182" s="68"/>
      <c r="B182" s="69"/>
      <c r="C182" s="70"/>
      <c r="D182" s="71">
        <f>'3-2-26'!I182</f>
        <v>0</v>
      </c>
      <c r="E182" s="69"/>
      <c r="F182" s="69"/>
      <c r="G182" s="69"/>
      <c r="H182" s="71">
        <f t="shared" si="7"/>
        <v>0</v>
      </c>
      <c r="I182" s="71"/>
      <c r="J182" s="69">
        <f t="shared" si="6"/>
        <v>0</v>
      </c>
    </row>
    <row r="183" ht="12.75" customHeight="1" spans="1:11">
      <c r="A183" s="68"/>
      <c r="B183" s="69"/>
      <c r="C183" s="70"/>
      <c r="D183" s="71">
        <f>'3-2-26'!I183</f>
        <v>0</v>
      </c>
      <c r="E183" s="69"/>
      <c r="F183" s="69"/>
      <c r="G183" s="69"/>
      <c r="H183" s="71">
        <f t="shared" si="7"/>
        <v>0</v>
      </c>
      <c r="I183" s="71"/>
      <c r="J183" s="69">
        <f t="shared" si="6"/>
        <v>0</v>
      </c>
    </row>
    <row r="184" ht="12.75" customHeight="1" spans="1:11">
      <c r="A184" s="68"/>
      <c r="B184" s="69"/>
      <c r="C184" s="70"/>
      <c r="D184" s="71">
        <f>'3-2-26'!I184</f>
        <v>0</v>
      </c>
      <c r="E184" s="69"/>
      <c r="F184" s="69"/>
      <c r="G184" s="69"/>
      <c r="H184" s="71">
        <f t="shared" si="7"/>
        <v>0</v>
      </c>
      <c r="I184" s="71"/>
      <c r="J184" s="69">
        <f t="shared" si="6"/>
        <v>0</v>
      </c>
    </row>
    <row r="185" ht="12.75" customHeight="1" spans="1:11">
      <c r="A185" s="68"/>
      <c r="B185" s="69"/>
      <c r="C185" s="70"/>
      <c r="D185" s="71">
        <f>'3-2-26'!I185</f>
        <v>0</v>
      </c>
      <c r="E185" s="69"/>
      <c r="F185" s="69"/>
      <c r="G185" s="69"/>
      <c r="H185" s="71">
        <f t="shared" si="7"/>
        <v>0</v>
      </c>
      <c r="I185" s="71"/>
      <c r="J185" s="69">
        <f t="shared" si="6"/>
        <v>0</v>
      </c>
    </row>
    <row r="186" ht="12.75" spans="1:11">
      <c r="A186" s="68"/>
      <c r="B186" s="69"/>
      <c r="C186" s="74"/>
      <c r="D186" s="71">
        <f>'3-2-26'!I186</f>
        <v>0</v>
      </c>
      <c r="E186" s="69"/>
      <c r="F186" s="69"/>
      <c r="G186" s="69"/>
      <c r="H186" s="71">
        <f t="shared" si="7"/>
        <v>0</v>
      </c>
      <c r="I186" s="71">
        <f t="shared" si="2"/>
        <v>0</v>
      </c>
      <c r="J186" s="69">
        <f t="shared" si="6"/>
        <v>0</v>
      </c>
    </row>
    <row r="187" ht="11.25" spans="1:11">
      <c r="A187" s="75"/>
      <c r="B187" s="76" t="s">
        <v>124</v>
      </c>
      <c r="C187" s="77"/>
      <c r="D187" s="78">
        <f>SUM(D9:D186)</f>
        <v>369542000</v>
      </c>
      <c r="E187" s="78">
        <f t="shared" ref="E187:J187" si="8">SUM(E9:E186)</f>
        <v>63</v>
      </c>
      <c r="F187" s="78">
        <f t="shared" si="8"/>
        <v>1100000</v>
      </c>
      <c r="G187" s="78">
        <f t="shared" si="8"/>
        <v>480000</v>
      </c>
      <c r="H187" s="78">
        <f t="shared" si="8"/>
        <v>1580000</v>
      </c>
      <c r="I187" s="78">
        <f t="shared" si="8"/>
        <v>368442000</v>
      </c>
      <c r="J187" s="78">
        <f t="shared" si="8"/>
        <v>48000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480000</v>
      </c>
      <c r="F190" s="129" t="s">
        <v>153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24000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264000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12000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12000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12000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12000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48000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120000</v>
      </c>
    </row>
    <row r="200" customHeight="1" spans="1:11">
      <c r="B200" s="87" t="s">
        <v>124</v>
      </c>
      <c r="C200" s="88" t="s">
        <v>128</v>
      </c>
      <c r="D200" s="87">
        <f>SUM(D193:D199)</f>
        <v>480000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95" right="0.2" top="0.75" bottom="2.25" header="0.3" footer="0.3"/>
  <pageSetup paperSize="5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opLeftCell="A52" workbookViewId="0">
      <selection activeCell="J231" sqref="J231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6.85714285714286" style="46" customWidth="1"/>
    <col min="4" max="4" width="12.5714285714286" style="45" customWidth="1"/>
    <col min="5" max="5" width="5.71428571428571" style="45" customWidth="1"/>
    <col min="6" max="6" width="10.7142857142857" style="45" customWidth="1"/>
    <col min="7" max="7" width="11.2857142857143" style="45" customWidth="1"/>
    <col min="8" max="8" width="10.8571428571429" style="45" customWidth="1"/>
    <col min="9" max="9" width="12" style="45" customWidth="1"/>
    <col min="10" max="10" width="8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154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'10-2-26'!I9</f>
        <v>5500000</v>
      </c>
      <c r="E9" s="69"/>
      <c r="F9" s="69"/>
      <c r="G9" s="69"/>
      <c r="H9" s="71"/>
      <c r="I9" s="71">
        <f>D9-F9</f>
        <v>5500000</v>
      </c>
      <c r="J9" s="69">
        <f t="shared" ref="J9:J72" si="0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'10-2-26'!I10</f>
        <v>1910000</v>
      </c>
      <c r="E10" s="69"/>
      <c r="F10" s="69"/>
      <c r="G10" s="69"/>
      <c r="H10" s="71"/>
      <c r="I10" s="71">
        <f t="shared" ref="I10:I186" si="1">D10-F10</f>
        <v>1910000</v>
      </c>
      <c r="J10" s="69">
        <f t="shared" si="0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'10-2-26'!I11</f>
        <v>1750000</v>
      </c>
      <c r="E11" s="72">
        <v>10</v>
      </c>
      <c r="F11" s="71">
        <v>1750000</v>
      </c>
      <c r="G11" s="71">
        <v>2900000</v>
      </c>
      <c r="H11" s="69">
        <f t="shared" ref="H11" si="2">SUM(F11:G11)</f>
        <v>4650000</v>
      </c>
      <c r="I11" s="71">
        <f t="shared" si="1"/>
        <v>0</v>
      </c>
      <c r="J11" s="69">
        <f t="shared" si="0"/>
        <v>290000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'10-2-26'!I12</f>
        <v>13750000</v>
      </c>
      <c r="E12" s="69"/>
      <c r="F12" s="69"/>
      <c r="G12" s="69"/>
      <c r="H12" s="71"/>
      <c r="I12" s="71">
        <f t="shared" si="1"/>
        <v>13750000</v>
      </c>
      <c r="J12" s="69">
        <f t="shared" si="0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'10-2-26'!I13</f>
        <v>19950000</v>
      </c>
      <c r="E13" s="69"/>
      <c r="F13" s="69"/>
      <c r="G13" s="69"/>
      <c r="H13" s="71"/>
      <c r="I13" s="71">
        <f t="shared" si="1"/>
        <v>19950000</v>
      </c>
      <c r="J13" s="69">
        <f t="shared" si="0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'10-2-26'!I14</f>
        <v>100000</v>
      </c>
      <c r="E14" s="69"/>
      <c r="F14" s="69"/>
      <c r="G14" s="69"/>
      <c r="H14" s="71"/>
      <c r="I14" s="71">
        <f t="shared" si="1"/>
        <v>100000</v>
      </c>
      <c r="J14" s="69">
        <f t="shared" si="0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'10-2-26'!I15</f>
        <v>10500000</v>
      </c>
      <c r="E15" s="69"/>
      <c r="F15" s="69"/>
      <c r="G15" s="69"/>
      <c r="H15" s="71"/>
      <c r="I15" s="71">
        <f t="shared" si="1"/>
        <v>10500000</v>
      </c>
      <c r="J15" s="69">
        <f t="shared" si="0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'10-2-26'!I16</f>
        <v>15310000</v>
      </c>
      <c r="E16" s="69"/>
      <c r="F16" s="69"/>
      <c r="G16" s="69"/>
      <c r="H16" s="71"/>
      <c r="I16" s="71">
        <f t="shared" si="1"/>
        <v>15310000</v>
      </c>
      <c r="J16" s="69">
        <f t="shared" si="0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'10-2-26'!I17</f>
        <v>6150000</v>
      </c>
      <c r="E17" s="69"/>
      <c r="F17" s="69"/>
      <c r="G17" s="69"/>
      <c r="H17" s="71"/>
      <c r="I17" s="71">
        <f t="shared" si="1"/>
        <v>6150000</v>
      </c>
      <c r="J17" s="69">
        <f t="shared" si="0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'10-2-26'!I18</f>
        <v>12595000</v>
      </c>
      <c r="E18" s="69"/>
      <c r="F18" s="69"/>
      <c r="G18" s="69"/>
      <c r="H18" s="71"/>
      <c r="I18" s="71">
        <f t="shared" si="1"/>
        <v>12595000</v>
      </c>
      <c r="J18" s="69">
        <f t="shared" si="0"/>
        <v>0</v>
      </c>
    </row>
    <row r="19" ht="12.75" spans="1:10">
      <c r="A19" s="68">
        <v>14</v>
      </c>
      <c r="B19" s="69" t="s">
        <v>35</v>
      </c>
      <c r="C19" s="128" t="s">
        <v>36</v>
      </c>
      <c r="D19" s="71">
        <f>'10-2-26'!I19</f>
        <v>3750000</v>
      </c>
      <c r="E19" s="69"/>
      <c r="F19" s="69"/>
      <c r="G19" s="69"/>
      <c r="H19" s="71"/>
      <c r="I19" s="71">
        <f t="shared" si="1"/>
        <v>3750000</v>
      </c>
      <c r="J19" s="69">
        <f t="shared" si="0"/>
        <v>0</v>
      </c>
    </row>
    <row r="20" ht="12.75" spans="1:10">
      <c r="A20" s="68">
        <v>18</v>
      </c>
      <c r="B20" s="69" t="s">
        <v>37</v>
      </c>
      <c r="C20" s="128" t="s">
        <v>38</v>
      </c>
      <c r="D20" s="71">
        <f>'10-2-26'!I20</f>
        <v>42000000</v>
      </c>
      <c r="E20" s="69"/>
      <c r="F20" s="69"/>
      <c r="G20" s="69"/>
      <c r="H20" s="71"/>
      <c r="I20" s="71">
        <f t="shared" si="1"/>
        <v>42000000</v>
      </c>
      <c r="J20" s="69">
        <f t="shared" si="0"/>
        <v>0</v>
      </c>
    </row>
    <row r="21" ht="12.75" spans="1:10">
      <c r="A21" s="68">
        <v>19</v>
      </c>
      <c r="B21" s="69" t="s">
        <v>39</v>
      </c>
      <c r="C21" s="128" t="s">
        <v>40</v>
      </c>
      <c r="D21" s="71">
        <f>'10-2-26'!I21</f>
        <v>12680000</v>
      </c>
      <c r="E21" s="69"/>
      <c r="F21" s="69"/>
      <c r="G21" s="69"/>
      <c r="H21" s="71"/>
      <c r="I21" s="71">
        <f t="shared" si="1"/>
        <v>12680000</v>
      </c>
      <c r="J21" s="69">
        <f t="shared" si="0"/>
        <v>0</v>
      </c>
    </row>
    <row r="22" ht="12.75" spans="1:10">
      <c r="A22" s="68">
        <v>22</v>
      </c>
      <c r="B22" s="69" t="s">
        <v>41</v>
      </c>
      <c r="C22" s="128" t="s">
        <v>42</v>
      </c>
      <c r="D22" s="71">
        <f>'10-2-26'!I22</f>
        <v>0</v>
      </c>
      <c r="E22" s="69"/>
      <c r="F22" s="69"/>
      <c r="G22" s="69"/>
      <c r="H22" s="71"/>
      <c r="I22" s="71">
        <f t="shared" si="1"/>
        <v>0</v>
      </c>
      <c r="J22" s="69">
        <f t="shared" si="0"/>
        <v>0</v>
      </c>
    </row>
    <row r="23" ht="12.75" spans="1:10">
      <c r="A23" s="68">
        <v>23</v>
      </c>
      <c r="B23" s="69" t="s">
        <v>43</v>
      </c>
      <c r="C23" s="128" t="s">
        <v>42</v>
      </c>
      <c r="D23" s="71">
        <f>'10-2-26'!I23</f>
        <v>1500000</v>
      </c>
      <c r="E23" s="69"/>
      <c r="F23" s="69"/>
      <c r="G23" s="69"/>
      <c r="H23" s="71"/>
      <c r="I23" s="71">
        <f t="shared" si="1"/>
        <v>1500000</v>
      </c>
      <c r="J23" s="69">
        <f t="shared" si="0"/>
        <v>0</v>
      </c>
    </row>
    <row r="24" ht="12.75" spans="1:10">
      <c r="A24" s="68">
        <v>24</v>
      </c>
      <c r="B24" s="69" t="s">
        <v>44</v>
      </c>
      <c r="C24" s="128" t="s">
        <v>42</v>
      </c>
      <c r="D24" s="71">
        <f>'10-2-26'!I24</f>
        <v>600000</v>
      </c>
      <c r="E24" s="69"/>
      <c r="F24" s="69"/>
      <c r="G24" s="69"/>
      <c r="H24" s="71"/>
      <c r="I24" s="71">
        <f t="shared" si="1"/>
        <v>600000</v>
      </c>
      <c r="J24" s="69">
        <f t="shared" si="0"/>
        <v>0</v>
      </c>
    </row>
    <row r="25" ht="12.75" spans="1:10">
      <c r="A25" s="68">
        <v>25</v>
      </c>
      <c r="B25" s="69" t="s">
        <v>45</v>
      </c>
      <c r="C25" s="128" t="s">
        <v>46</v>
      </c>
      <c r="D25" s="71">
        <f>'10-2-26'!I25</f>
        <v>22200000</v>
      </c>
      <c r="E25" s="69"/>
      <c r="F25" s="69"/>
      <c r="G25" s="69"/>
      <c r="H25" s="71"/>
      <c r="I25" s="71">
        <f t="shared" si="1"/>
        <v>22200000</v>
      </c>
      <c r="J25" s="69">
        <f t="shared" si="0"/>
        <v>0</v>
      </c>
    </row>
    <row r="26" ht="12.75" spans="1:10">
      <c r="A26" s="68">
        <v>26</v>
      </c>
      <c r="B26" s="69" t="s">
        <v>47</v>
      </c>
      <c r="C26" s="128" t="s">
        <v>48</v>
      </c>
      <c r="D26" s="71">
        <f>'10-2-26'!I26</f>
        <v>3800000</v>
      </c>
      <c r="E26" s="69"/>
      <c r="F26" s="69"/>
      <c r="G26" s="69"/>
      <c r="H26" s="71"/>
      <c r="I26" s="71">
        <f t="shared" si="1"/>
        <v>3800000</v>
      </c>
      <c r="J26" s="69">
        <f t="shared" si="0"/>
        <v>0</v>
      </c>
    </row>
    <row r="27" ht="12.75" spans="1:10">
      <c r="A27" s="68">
        <v>29</v>
      </c>
      <c r="B27" s="69" t="s">
        <v>49</v>
      </c>
      <c r="C27" s="128" t="s">
        <v>50</v>
      </c>
      <c r="D27" s="71">
        <f>'10-2-26'!I27</f>
        <v>1030000</v>
      </c>
      <c r="E27" s="69"/>
      <c r="F27" s="69"/>
      <c r="G27" s="69"/>
      <c r="H27" s="71"/>
      <c r="I27" s="71">
        <f t="shared" si="1"/>
        <v>1030000</v>
      </c>
      <c r="J27" s="69">
        <f t="shared" si="0"/>
        <v>0</v>
      </c>
    </row>
    <row r="28" ht="12.75" spans="1:10">
      <c r="A28" s="68">
        <v>30</v>
      </c>
      <c r="B28" s="69" t="s">
        <v>51</v>
      </c>
      <c r="C28" s="128" t="s">
        <v>52</v>
      </c>
      <c r="D28" s="71">
        <f>'10-2-26'!I28</f>
        <v>0</v>
      </c>
      <c r="E28" s="69"/>
      <c r="F28" s="69"/>
      <c r="G28" s="69"/>
      <c r="H28" s="71"/>
      <c r="I28" s="71">
        <f t="shared" si="1"/>
        <v>0</v>
      </c>
      <c r="J28" s="69">
        <f t="shared" si="0"/>
        <v>0</v>
      </c>
    </row>
    <row r="29" ht="12.75" spans="1:10">
      <c r="A29" s="68">
        <v>31</v>
      </c>
      <c r="B29" s="69" t="s">
        <v>53</v>
      </c>
      <c r="C29" s="128" t="s">
        <v>54</v>
      </c>
      <c r="D29" s="71">
        <f>'10-2-26'!I29</f>
        <v>0</v>
      </c>
      <c r="E29" s="69"/>
      <c r="F29" s="69"/>
      <c r="G29" s="69"/>
      <c r="H29" s="71"/>
      <c r="I29" s="71">
        <f t="shared" si="1"/>
        <v>0</v>
      </c>
      <c r="J29" s="69">
        <f t="shared" si="0"/>
        <v>0</v>
      </c>
    </row>
    <row r="30" ht="12.75" spans="1:10">
      <c r="A30" s="68">
        <v>33</v>
      </c>
      <c r="B30" s="69" t="s">
        <v>55</v>
      </c>
      <c r="C30" s="128" t="s">
        <v>56</v>
      </c>
      <c r="D30" s="71">
        <f>'10-2-26'!I30</f>
        <v>2750000</v>
      </c>
      <c r="E30" s="69"/>
      <c r="F30" s="69"/>
      <c r="G30" s="69"/>
      <c r="H30" s="71"/>
      <c r="I30" s="71">
        <f t="shared" si="1"/>
        <v>2750000</v>
      </c>
      <c r="J30" s="69">
        <f t="shared" si="0"/>
        <v>0</v>
      </c>
    </row>
    <row r="31" ht="12.75" spans="1:10">
      <c r="A31" s="68">
        <v>34</v>
      </c>
      <c r="B31" s="69" t="s">
        <v>57</v>
      </c>
      <c r="C31" s="128" t="s">
        <v>58</v>
      </c>
      <c r="D31" s="71">
        <f>'10-2-26'!I31</f>
        <v>1250000</v>
      </c>
      <c r="E31" s="69"/>
      <c r="F31" s="69"/>
      <c r="G31" s="69"/>
      <c r="H31" s="71"/>
      <c r="I31" s="71">
        <f t="shared" si="1"/>
        <v>1250000</v>
      </c>
      <c r="J31" s="69">
        <f t="shared" si="0"/>
        <v>0</v>
      </c>
    </row>
    <row r="32" ht="12.75" spans="1:10">
      <c r="A32" s="68">
        <v>35</v>
      </c>
      <c r="B32" s="69" t="s">
        <v>59</v>
      </c>
      <c r="C32" s="128" t="s">
        <v>58</v>
      </c>
      <c r="D32" s="71">
        <f>'10-2-26'!I32</f>
        <v>12000000</v>
      </c>
      <c r="E32" s="69"/>
      <c r="F32" s="69"/>
      <c r="G32" s="69"/>
      <c r="H32" s="71"/>
      <c r="I32" s="71">
        <f t="shared" si="1"/>
        <v>12000000</v>
      </c>
      <c r="J32" s="69">
        <f t="shared" si="0"/>
        <v>0</v>
      </c>
    </row>
    <row r="33" ht="12.75" spans="1:10">
      <c r="A33" s="68">
        <v>41</v>
      </c>
      <c r="B33" s="69" t="s">
        <v>60</v>
      </c>
      <c r="C33" s="127" t="s">
        <v>61</v>
      </c>
      <c r="D33" s="71">
        <f>'10-2-26'!I33</f>
        <v>600000</v>
      </c>
      <c r="E33" s="69"/>
      <c r="F33" s="69"/>
      <c r="G33" s="69"/>
      <c r="H33" s="71"/>
      <c r="I33" s="71">
        <f t="shared" si="1"/>
        <v>600000</v>
      </c>
      <c r="J33" s="69">
        <f t="shared" si="0"/>
        <v>0</v>
      </c>
    </row>
    <row r="34" ht="12.75" spans="1:10">
      <c r="A34" s="68">
        <v>43</v>
      </c>
      <c r="B34" s="69" t="s">
        <v>62</v>
      </c>
      <c r="C34" s="127" t="s">
        <v>63</v>
      </c>
      <c r="D34" s="71">
        <f>'10-2-26'!I34</f>
        <v>2800000</v>
      </c>
      <c r="E34" s="69"/>
      <c r="F34" s="69"/>
      <c r="G34" s="69"/>
      <c r="H34" s="71"/>
      <c r="I34" s="71">
        <f t="shared" si="1"/>
        <v>2800000</v>
      </c>
      <c r="J34" s="69">
        <f t="shared" si="0"/>
        <v>0</v>
      </c>
    </row>
    <row r="35" ht="12.75" spans="1:10">
      <c r="A35" s="68">
        <v>44</v>
      </c>
      <c r="B35" s="69" t="s">
        <v>64</v>
      </c>
      <c r="C35" s="127" t="s">
        <v>63</v>
      </c>
      <c r="D35" s="71">
        <f>'10-2-26'!I35</f>
        <v>3500000</v>
      </c>
      <c r="E35" s="69"/>
      <c r="F35" s="69"/>
      <c r="G35" s="69"/>
      <c r="H35" s="71"/>
      <c r="I35" s="71">
        <f t="shared" si="1"/>
        <v>3500000</v>
      </c>
      <c r="J35" s="69">
        <f t="shared" si="0"/>
        <v>0</v>
      </c>
    </row>
    <row r="36" ht="12.75" spans="1:10">
      <c r="A36" s="68">
        <v>47</v>
      </c>
      <c r="B36" s="69" t="s">
        <v>65</v>
      </c>
      <c r="C36" s="127" t="s">
        <v>66</v>
      </c>
      <c r="D36" s="71">
        <f>'10-2-26'!I36</f>
        <v>10600000</v>
      </c>
      <c r="E36" s="69"/>
      <c r="F36" s="69"/>
      <c r="G36" s="69"/>
      <c r="H36" s="71"/>
      <c r="I36" s="71">
        <f t="shared" si="1"/>
        <v>10600000</v>
      </c>
      <c r="J36" s="69">
        <f t="shared" si="0"/>
        <v>0</v>
      </c>
    </row>
    <row r="37" ht="12.75" spans="1:10">
      <c r="A37" s="68">
        <v>49</v>
      </c>
      <c r="B37" s="69" t="s">
        <v>67</v>
      </c>
      <c r="C37" s="127" t="s">
        <v>68</v>
      </c>
      <c r="D37" s="71">
        <f>'10-2-26'!I37</f>
        <v>1250000</v>
      </c>
      <c r="E37" s="69"/>
      <c r="F37" s="69"/>
      <c r="G37" s="69"/>
      <c r="H37" s="71"/>
      <c r="I37" s="71">
        <f t="shared" si="1"/>
        <v>1250000</v>
      </c>
      <c r="J37" s="69">
        <f t="shared" si="0"/>
        <v>0</v>
      </c>
    </row>
    <row r="38" ht="12.75" spans="1:10">
      <c r="A38" s="68">
        <v>52</v>
      </c>
      <c r="B38" s="69" t="s">
        <v>69</v>
      </c>
      <c r="C38" s="127" t="s">
        <v>70</v>
      </c>
      <c r="D38" s="71">
        <f>'10-2-26'!I38</f>
        <v>5800000</v>
      </c>
      <c r="E38" s="69"/>
      <c r="F38" s="69"/>
      <c r="G38" s="69"/>
      <c r="H38" s="71"/>
      <c r="I38" s="71">
        <f t="shared" si="1"/>
        <v>5800000</v>
      </c>
      <c r="J38" s="69">
        <f t="shared" si="0"/>
        <v>0</v>
      </c>
    </row>
    <row r="39" ht="12.75" spans="1:10">
      <c r="A39" s="68">
        <v>60</v>
      </c>
      <c r="B39" s="69" t="s">
        <v>71</v>
      </c>
      <c r="C39" s="127" t="s">
        <v>72</v>
      </c>
      <c r="D39" s="71">
        <f>'10-2-26'!I39</f>
        <v>14320000</v>
      </c>
      <c r="E39" s="69"/>
      <c r="F39" s="69"/>
      <c r="G39" s="69"/>
      <c r="H39" s="71"/>
      <c r="I39" s="71">
        <f t="shared" si="1"/>
        <v>14320000</v>
      </c>
      <c r="J39" s="69">
        <f t="shared" si="0"/>
        <v>0</v>
      </c>
    </row>
    <row r="40" ht="12.75" spans="1:10">
      <c r="A40" s="68">
        <v>62</v>
      </c>
      <c r="B40" s="69" t="s">
        <v>73</v>
      </c>
      <c r="C40" s="127" t="s">
        <v>74</v>
      </c>
      <c r="D40" s="71">
        <f>'10-2-26'!I40</f>
        <v>200000</v>
      </c>
      <c r="E40" s="69"/>
      <c r="F40" s="69"/>
      <c r="G40" s="69"/>
      <c r="H40" s="71"/>
      <c r="I40" s="71">
        <f t="shared" si="1"/>
        <v>200000</v>
      </c>
      <c r="J40" s="69">
        <f t="shared" si="0"/>
        <v>0</v>
      </c>
    </row>
    <row r="41" ht="12.75" spans="1:10">
      <c r="A41" s="68">
        <v>64</v>
      </c>
      <c r="B41" s="69" t="s">
        <v>75</v>
      </c>
      <c r="C41" s="127" t="s">
        <v>76</v>
      </c>
      <c r="D41" s="71">
        <f>'10-2-26'!I41</f>
        <v>1800000</v>
      </c>
      <c r="E41" s="69"/>
      <c r="F41" s="69"/>
      <c r="G41" s="69"/>
      <c r="H41" s="71"/>
      <c r="I41" s="71">
        <f t="shared" si="1"/>
        <v>1800000</v>
      </c>
      <c r="J41" s="69">
        <f t="shared" si="0"/>
        <v>0</v>
      </c>
    </row>
    <row r="42" ht="12.75" spans="1:10">
      <c r="A42" s="68">
        <v>65</v>
      </c>
      <c r="B42" s="69" t="s">
        <v>77</v>
      </c>
      <c r="C42" s="127" t="s">
        <v>78</v>
      </c>
      <c r="D42" s="71">
        <f>'10-2-26'!I42</f>
        <v>1200000</v>
      </c>
      <c r="E42" s="69"/>
      <c r="F42" s="69"/>
      <c r="G42" s="69"/>
      <c r="H42" s="71"/>
      <c r="I42" s="71">
        <f t="shared" si="1"/>
        <v>1200000</v>
      </c>
      <c r="J42" s="69">
        <f t="shared" si="0"/>
        <v>0</v>
      </c>
    </row>
    <row r="43" ht="12.75" spans="1:10">
      <c r="A43" s="68">
        <v>69</v>
      </c>
      <c r="B43" s="69" t="s">
        <v>79</v>
      </c>
      <c r="C43" s="127" t="s">
        <v>80</v>
      </c>
      <c r="D43" s="71">
        <f>'10-2-26'!I43</f>
        <v>5250000</v>
      </c>
      <c r="E43" s="69"/>
      <c r="F43" s="69"/>
      <c r="G43" s="69"/>
      <c r="H43" s="71"/>
      <c r="I43" s="71">
        <f t="shared" si="1"/>
        <v>5250000</v>
      </c>
      <c r="J43" s="69">
        <f t="shared" si="0"/>
        <v>0</v>
      </c>
    </row>
    <row r="44" ht="12.75" spans="1:10">
      <c r="A44" s="68">
        <v>70</v>
      </c>
      <c r="B44" s="69" t="s">
        <v>81</v>
      </c>
      <c r="C44" s="127" t="s">
        <v>82</v>
      </c>
      <c r="D44" s="71">
        <f>'10-2-26'!I44</f>
        <v>10320000</v>
      </c>
      <c r="E44" s="69"/>
      <c r="F44" s="69"/>
      <c r="G44" s="69"/>
      <c r="H44" s="71"/>
      <c r="I44" s="71">
        <f t="shared" si="1"/>
        <v>10320000</v>
      </c>
      <c r="J44" s="69">
        <f t="shared" si="0"/>
        <v>0</v>
      </c>
    </row>
    <row r="45" ht="12.75" spans="1:10">
      <c r="A45" s="68">
        <v>71</v>
      </c>
      <c r="B45" s="69" t="s">
        <v>83</v>
      </c>
      <c r="C45" s="70" t="s">
        <v>84</v>
      </c>
      <c r="D45" s="71">
        <f>'10-2-26'!I45</f>
        <v>10875000</v>
      </c>
      <c r="E45" s="69"/>
      <c r="F45" s="69"/>
      <c r="G45" s="69"/>
      <c r="H45" s="71"/>
      <c r="I45" s="71">
        <f t="shared" si="1"/>
        <v>10875000</v>
      </c>
      <c r="J45" s="69">
        <f t="shared" si="0"/>
        <v>0</v>
      </c>
    </row>
    <row r="46" ht="12.75" spans="1:10">
      <c r="A46" s="68">
        <v>73</v>
      </c>
      <c r="B46" s="69" t="s">
        <v>85</v>
      </c>
      <c r="C46" s="127" t="s">
        <v>86</v>
      </c>
      <c r="D46" s="71">
        <f>'10-2-26'!I46</f>
        <v>450000</v>
      </c>
      <c r="E46" s="69"/>
      <c r="F46" s="69"/>
      <c r="G46" s="69"/>
      <c r="H46" s="71"/>
      <c r="I46" s="71">
        <f t="shared" si="1"/>
        <v>450000</v>
      </c>
      <c r="J46" s="69">
        <f t="shared" si="0"/>
        <v>0</v>
      </c>
    </row>
    <row r="47" ht="12.75" spans="1:10">
      <c r="A47" s="68">
        <v>76</v>
      </c>
      <c r="B47" s="69" t="s">
        <v>87</v>
      </c>
      <c r="C47" s="127" t="s">
        <v>88</v>
      </c>
      <c r="D47" s="71">
        <f>'10-2-26'!I47</f>
        <v>9600000</v>
      </c>
      <c r="E47" s="69"/>
      <c r="F47" s="69"/>
      <c r="G47" s="69"/>
      <c r="H47" s="71">
        <f t="shared" ref="H47:H88" si="3">SUM(F47:G47)</f>
        <v>0</v>
      </c>
      <c r="I47" s="71">
        <f t="shared" si="1"/>
        <v>9600000</v>
      </c>
      <c r="J47" s="69">
        <f t="shared" si="0"/>
        <v>0</v>
      </c>
    </row>
    <row r="48" ht="12.75" spans="1:10">
      <c r="A48" s="68">
        <v>77</v>
      </c>
      <c r="B48" s="69" t="s">
        <v>89</v>
      </c>
      <c r="C48" s="127" t="s">
        <v>88</v>
      </c>
      <c r="D48" s="71">
        <f>'10-2-26'!I48</f>
        <v>1200000</v>
      </c>
      <c r="E48" s="69"/>
      <c r="F48" s="69"/>
      <c r="G48" s="69"/>
      <c r="H48" s="71">
        <f t="shared" si="3"/>
        <v>0</v>
      </c>
      <c r="I48" s="71">
        <f t="shared" si="1"/>
        <v>1200000</v>
      </c>
      <c r="J48" s="69">
        <f t="shared" si="0"/>
        <v>0</v>
      </c>
    </row>
    <row r="49" ht="12.75" spans="1:10">
      <c r="A49" s="68">
        <v>80</v>
      </c>
      <c r="B49" s="69" t="s">
        <v>90</v>
      </c>
      <c r="C49" s="127" t="s">
        <v>91</v>
      </c>
      <c r="D49" s="71">
        <f>'10-2-26'!I49</f>
        <v>9900000</v>
      </c>
      <c r="E49" s="69"/>
      <c r="F49" s="69"/>
      <c r="G49" s="69"/>
      <c r="H49" s="71">
        <f t="shared" si="3"/>
        <v>0</v>
      </c>
      <c r="I49" s="71">
        <f t="shared" si="1"/>
        <v>9900000</v>
      </c>
      <c r="J49" s="69">
        <f t="shared" si="0"/>
        <v>0</v>
      </c>
    </row>
    <row r="50" ht="12.75" spans="1:10">
      <c r="A50" s="68">
        <v>82</v>
      </c>
      <c r="B50" s="69" t="s">
        <v>92</v>
      </c>
      <c r="C50" s="127" t="s">
        <v>93</v>
      </c>
      <c r="D50" s="71">
        <f>'10-2-26'!I50</f>
        <v>0</v>
      </c>
      <c r="E50" s="69"/>
      <c r="F50" s="69"/>
      <c r="G50" s="69"/>
      <c r="H50" s="71">
        <f t="shared" si="3"/>
        <v>0</v>
      </c>
      <c r="I50" s="71">
        <f t="shared" si="1"/>
        <v>0</v>
      </c>
      <c r="J50" s="69">
        <f t="shared" si="0"/>
        <v>0</v>
      </c>
    </row>
    <row r="51" ht="12.75" spans="1:10">
      <c r="A51" s="68">
        <v>86</v>
      </c>
      <c r="B51" s="69" t="s">
        <v>94</v>
      </c>
      <c r="C51" s="70" t="s">
        <v>95</v>
      </c>
      <c r="D51" s="71">
        <f>'10-2-26'!I51</f>
        <v>16400000</v>
      </c>
      <c r="E51" s="69"/>
      <c r="F51" s="69"/>
      <c r="G51" s="69"/>
      <c r="H51" s="71">
        <f t="shared" si="3"/>
        <v>0</v>
      </c>
      <c r="I51" s="71">
        <f t="shared" si="1"/>
        <v>16400000</v>
      </c>
      <c r="J51" s="69">
        <f t="shared" si="0"/>
        <v>0</v>
      </c>
    </row>
    <row r="52" ht="12.75" spans="1:10">
      <c r="A52" s="68">
        <v>87</v>
      </c>
      <c r="B52" s="69" t="s">
        <v>96</v>
      </c>
      <c r="C52" s="70" t="s">
        <v>97</v>
      </c>
      <c r="D52" s="71">
        <f>'10-2-26'!I52</f>
        <v>25000000</v>
      </c>
      <c r="E52" s="69"/>
      <c r="F52" s="69"/>
      <c r="G52" s="69"/>
      <c r="H52" s="71">
        <f t="shared" si="3"/>
        <v>0</v>
      </c>
      <c r="I52" s="71">
        <f t="shared" si="1"/>
        <v>25000000</v>
      </c>
      <c r="J52" s="69">
        <f t="shared" si="0"/>
        <v>0</v>
      </c>
    </row>
    <row r="53" ht="12.75" spans="1:10">
      <c r="A53" s="68">
        <v>89</v>
      </c>
      <c r="B53" s="69" t="s">
        <v>98</v>
      </c>
      <c r="C53" s="127" t="s">
        <v>99</v>
      </c>
      <c r="D53" s="71">
        <f>'10-2-26'!I53</f>
        <v>100000</v>
      </c>
      <c r="E53" s="69"/>
      <c r="F53" s="69"/>
      <c r="G53" s="69"/>
      <c r="H53" s="71">
        <f t="shared" si="3"/>
        <v>0</v>
      </c>
      <c r="I53" s="71">
        <f t="shared" si="1"/>
        <v>100000</v>
      </c>
      <c r="J53" s="69">
        <f t="shared" si="0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71">
        <f>'10-2-26'!I54</f>
        <v>4800000</v>
      </c>
      <c r="E54" s="69"/>
      <c r="F54" s="69"/>
      <c r="G54" s="69"/>
      <c r="H54" s="71">
        <f t="shared" si="3"/>
        <v>0</v>
      </c>
      <c r="I54" s="71">
        <f t="shared" si="1"/>
        <v>4800000</v>
      </c>
      <c r="J54" s="69">
        <f t="shared" si="0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71">
        <f>'10-2-26'!I55</f>
        <v>7460000</v>
      </c>
      <c r="E55" s="69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0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71">
        <f>'10-2-26'!I56</f>
        <v>600000</v>
      </c>
      <c r="E56" s="69"/>
      <c r="F56" s="69"/>
      <c r="G56" s="69"/>
      <c r="H56" s="71">
        <f t="shared" si="3"/>
        <v>0</v>
      </c>
      <c r="I56" s="71">
        <f t="shared" si="1"/>
        <v>600000</v>
      </c>
      <c r="J56" s="69">
        <f t="shared" si="0"/>
        <v>0</v>
      </c>
    </row>
    <row r="57" ht="12.75" spans="1:10">
      <c r="A57" s="68">
        <v>94</v>
      </c>
      <c r="B57" s="69" t="s">
        <v>104</v>
      </c>
      <c r="C57" s="127" t="s">
        <v>102</v>
      </c>
      <c r="D57" s="71">
        <f>'10-2-26'!I57</f>
        <v>20000000</v>
      </c>
      <c r="E57" s="69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0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71">
        <f>'10-2-26'!I58</f>
        <v>1650000</v>
      </c>
      <c r="E58" s="69"/>
      <c r="F58" s="69"/>
      <c r="G58" s="69"/>
      <c r="H58" s="71">
        <f t="shared" si="3"/>
        <v>0</v>
      </c>
      <c r="I58" s="71">
        <f t="shared" si="1"/>
        <v>1650000</v>
      </c>
      <c r="J58" s="69">
        <f t="shared" si="0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71">
        <f>'10-2-26'!I59</f>
        <v>0</v>
      </c>
      <c r="E59" s="69"/>
      <c r="F59" s="69"/>
      <c r="G59" s="69"/>
      <c r="H59" s="71">
        <f t="shared" si="3"/>
        <v>0</v>
      </c>
      <c r="I59" s="71">
        <f t="shared" si="1"/>
        <v>0</v>
      </c>
      <c r="J59" s="69">
        <f t="shared" si="0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71">
        <f>'10-2-26'!I60</f>
        <v>3250000</v>
      </c>
      <c r="E60" s="69"/>
      <c r="F60" s="69"/>
      <c r="G60" s="69"/>
      <c r="H60" s="71">
        <f t="shared" si="3"/>
        <v>0</v>
      </c>
      <c r="I60" s="71">
        <f t="shared" si="1"/>
        <v>3250000</v>
      </c>
      <c r="J60" s="69">
        <f t="shared" si="0"/>
        <v>0</v>
      </c>
    </row>
    <row r="61" ht="12.75" spans="1:10">
      <c r="A61" s="68">
        <v>106</v>
      </c>
      <c r="B61" s="69" t="s">
        <v>111</v>
      </c>
      <c r="C61" s="70" t="s">
        <v>112</v>
      </c>
      <c r="D61" s="71">
        <f>'10-2-26'!I61</f>
        <v>230000</v>
      </c>
      <c r="E61" s="69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0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71">
        <f>'10-2-26'!I62</f>
        <v>0</v>
      </c>
      <c r="E62" s="69"/>
      <c r="F62" s="69"/>
      <c r="G62" s="69"/>
      <c r="H62" s="71">
        <f t="shared" si="3"/>
        <v>0</v>
      </c>
      <c r="I62" s="71">
        <f t="shared" si="1"/>
        <v>0</v>
      </c>
      <c r="J62" s="69">
        <f t="shared" si="0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71">
        <f>'10-2-26'!I63</f>
        <v>600000</v>
      </c>
      <c r="E63" s="69"/>
      <c r="F63" s="69"/>
      <c r="G63" s="69"/>
      <c r="H63" s="71">
        <f t="shared" si="3"/>
        <v>0</v>
      </c>
      <c r="I63" s="71">
        <f t="shared" si="1"/>
        <v>600000</v>
      </c>
      <c r="J63" s="69">
        <f t="shared" si="0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71">
        <f>'10-2-26'!I64</f>
        <v>1500000</v>
      </c>
      <c r="E64" s="69"/>
      <c r="F64" s="69"/>
      <c r="G64" s="69"/>
      <c r="H64" s="71">
        <f t="shared" si="3"/>
        <v>0</v>
      </c>
      <c r="I64" s="71">
        <f t="shared" si="1"/>
        <v>1500000</v>
      </c>
      <c r="J64" s="69">
        <f t="shared" si="0"/>
        <v>0</v>
      </c>
    </row>
    <row r="65" ht="12.75" spans="1:10">
      <c r="A65" s="68">
        <v>112</v>
      </c>
      <c r="B65" s="69" t="s">
        <v>119</v>
      </c>
      <c r="C65" s="127" t="s">
        <v>120</v>
      </c>
      <c r="D65" s="71">
        <f>'10-2-26'!I65</f>
        <v>5862000</v>
      </c>
      <c r="E65" s="69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0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71">
        <f>'10-2-26'!I66</f>
        <v>250000</v>
      </c>
      <c r="E66" s="69"/>
      <c r="F66" s="69"/>
      <c r="G66" s="69"/>
      <c r="H66" s="71">
        <f t="shared" si="3"/>
        <v>0</v>
      </c>
      <c r="I66" s="71">
        <f t="shared" si="1"/>
        <v>250000</v>
      </c>
      <c r="J66" s="69">
        <f t="shared" si="0"/>
        <v>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71">
        <f>'10-2-26'!I67</f>
        <v>0</v>
      </c>
      <c r="E67" s="69"/>
      <c r="F67" s="69"/>
      <c r="G67" s="69"/>
      <c r="H67" s="71">
        <f t="shared" si="3"/>
        <v>0</v>
      </c>
      <c r="I67" s="71">
        <f t="shared" si="1"/>
        <v>0</v>
      </c>
      <c r="J67" s="69">
        <f t="shared" si="0"/>
        <v>0</v>
      </c>
    </row>
    <row r="68" ht="12.75" customHeight="1" spans="1:10">
      <c r="A68" s="68"/>
      <c r="B68" s="69"/>
      <c r="C68" s="70"/>
      <c r="D68" s="71">
        <f>'10-2-26'!I68</f>
        <v>0</v>
      </c>
      <c r="E68" s="69"/>
      <c r="F68" s="69"/>
      <c r="G68" s="69"/>
      <c r="H68" s="71">
        <f t="shared" si="3"/>
        <v>0</v>
      </c>
      <c r="I68" s="71"/>
      <c r="J68" s="69">
        <f t="shared" si="0"/>
        <v>0</v>
      </c>
    </row>
    <row r="69" ht="12.75" customHeight="1" spans="1:10">
      <c r="A69" s="68"/>
      <c r="B69" s="69"/>
      <c r="C69" s="70"/>
      <c r="D69" s="71">
        <f>'10-2-26'!I69</f>
        <v>0</v>
      </c>
      <c r="E69" s="69"/>
      <c r="F69" s="69"/>
      <c r="G69" s="69"/>
      <c r="H69" s="71">
        <f t="shared" si="3"/>
        <v>0</v>
      </c>
      <c r="I69" s="71"/>
      <c r="J69" s="69">
        <f t="shared" si="0"/>
        <v>0</v>
      </c>
    </row>
    <row r="70" ht="12.75" customHeight="1" spans="1:10">
      <c r="A70" s="68"/>
      <c r="B70" s="69"/>
      <c r="C70" s="70"/>
      <c r="D70" s="71">
        <f>'10-2-26'!I70</f>
        <v>0</v>
      </c>
      <c r="E70" s="69"/>
      <c r="F70" s="69"/>
      <c r="G70" s="69"/>
      <c r="H70" s="71">
        <f t="shared" si="3"/>
        <v>0</v>
      </c>
      <c r="I70" s="71"/>
      <c r="J70" s="69">
        <f t="shared" si="0"/>
        <v>0</v>
      </c>
    </row>
    <row r="71" ht="12.75" customHeight="1" spans="1:10">
      <c r="A71" s="68"/>
      <c r="B71" s="69"/>
      <c r="C71" s="70"/>
      <c r="D71" s="71">
        <f>'3-2-26'!I71</f>
        <v>0</v>
      </c>
      <c r="E71" s="69"/>
      <c r="F71" s="69"/>
      <c r="G71" s="69"/>
      <c r="H71" s="71">
        <f t="shared" si="3"/>
        <v>0</v>
      </c>
      <c r="I71" s="71"/>
      <c r="J71" s="69">
        <f t="shared" si="0"/>
        <v>0</v>
      </c>
    </row>
    <row r="72" ht="12.75" customHeight="1" spans="1:10">
      <c r="A72" s="68"/>
      <c r="B72" s="69"/>
      <c r="C72" s="70"/>
      <c r="D72" s="71">
        <f>'3-2-26'!I72</f>
        <v>0</v>
      </c>
      <c r="E72" s="69"/>
      <c r="F72" s="69"/>
      <c r="G72" s="69"/>
      <c r="H72" s="71">
        <f t="shared" si="3"/>
        <v>0</v>
      </c>
      <c r="I72" s="71"/>
      <c r="J72" s="69">
        <f t="shared" si="0"/>
        <v>0</v>
      </c>
    </row>
    <row r="73" ht="3" customHeight="1" spans="1:10">
      <c r="A73" s="68"/>
      <c r="B73" s="69"/>
      <c r="C73" s="70"/>
      <c r="D73" s="71">
        <f>'3-2-26'!I73</f>
        <v>0</v>
      </c>
      <c r="E73" s="69"/>
      <c r="F73" s="69"/>
      <c r="G73" s="69"/>
      <c r="H73" s="71">
        <f t="shared" si="3"/>
        <v>0</v>
      </c>
      <c r="I73" s="71"/>
      <c r="J73" s="69">
        <f t="shared" ref="J73:J136" si="4">1/10*G73</f>
        <v>0</v>
      </c>
    </row>
    <row r="74" ht="3" customHeight="1" spans="1:10">
      <c r="A74" s="68"/>
      <c r="B74" s="69"/>
      <c r="C74" s="70"/>
      <c r="D74" s="71">
        <f>'3-2-26'!I74</f>
        <v>0</v>
      </c>
      <c r="E74" s="69"/>
      <c r="F74" s="69"/>
      <c r="G74" s="69"/>
      <c r="H74" s="71">
        <f t="shared" si="3"/>
        <v>0</v>
      </c>
      <c r="I74" s="71"/>
      <c r="J74" s="69">
        <f t="shared" si="4"/>
        <v>0</v>
      </c>
    </row>
    <row r="75" ht="3" customHeight="1" spans="1:10">
      <c r="A75" s="68"/>
      <c r="B75" s="69"/>
      <c r="C75" s="70"/>
      <c r="D75" s="71">
        <f>'3-2-26'!I75</f>
        <v>0</v>
      </c>
      <c r="E75" s="69"/>
      <c r="F75" s="69"/>
      <c r="G75" s="69"/>
      <c r="H75" s="71">
        <f t="shared" si="3"/>
        <v>0</v>
      </c>
      <c r="I75" s="71"/>
      <c r="J75" s="69">
        <f t="shared" si="4"/>
        <v>0</v>
      </c>
    </row>
    <row r="76" ht="3" customHeight="1" spans="1:10">
      <c r="A76" s="68"/>
      <c r="B76" s="69"/>
      <c r="C76" s="70"/>
      <c r="D76" s="71">
        <f>'3-2-26'!I76</f>
        <v>0</v>
      </c>
      <c r="E76" s="69"/>
      <c r="F76" s="69"/>
      <c r="G76" s="69"/>
      <c r="H76" s="71">
        <f t="shared" si="3"/>
        <v>0</v>
      </c>
      <c r="I76" s="71"/>
      <c r="J76" s="69">
        <f t="shared" si="4"/>
        <v>0</v>
      </c>
    </row>
    <row r="77" ht="3" customHeight="1" spans="1:10">
      <c r="A77" s="68"/>
      <c r="B77" s="69"/>
      <c r="C77" s="70"/>
      <c r="D77" s="71">
        <f>'3-2-26'!I77</f>
        <v>0</v>
      </c>
      <c r="E77" s="69"/>
      <c r="F77" s="69"/>
      <c r="G77" s="69"/>
      <c r="H77" s="71">
        <f t="shared" si="3"/>
        <v>0</v>
      </c>
      <c r="I77" s="71"/>
      <c r="J77" s="69">
        <f t="shared" si="4"/>
        <v>0</v>
      </c>
    </row>
    <row r="78" ht="3" customHeight="1" spans="1:10">
      <c r="A78" s="68"/>
      <c r="B78" s="69"/>
      <c r="C78" s="70"/>
      <c r="D78" s="71">
        <f>'3-2-26'!I78</f>
        <v>0</v>
      </c>
      <c r="E78" s="69"/>
      <c r="F78" s="69"/>
      <c r="G78" s="69"/>
      <c r="H78" s="71">
        <f t="shared" si="3"/>
        <v>0</v>
      </c>
      <c r="I78" s="71"/>
      <c r="J78" s="69">
        <f t="shared" si="4"/>
        <v>0</v>
      </c>
    </row>
    <row r="79" ht="3" customHeight="1" spans="1:10">
      <c r="A79" s="68"/>
      <c r="B79" s="69"/>
      <c r="C79" s="70"/>
      <c r="D79" s="71">
        <f>'3-2-26'!I79</f>
        <v>0</v>
      </c>
      <c r="E79" s="69"/>
      <c r="F79" s="69"/>
      <c r="G79" s="69"/>
      <c r="H79" s="71">
        <f t="shared" si="3"/>
        <v>0</v>
      </c>
      <c r="I79" s="71"/>
      <c r="J79" s="69">
        <f t="shared" si="4"/>
        <v>0</v>
      </c>
    </row>
    <row r="80" ht="3" customHeight="1" spans="1:10">
      <c r="A80" s="68"/>
      <c r="B80" s="69"/>
      <c r="C80" s="70"/>
      <c r="D80" s="71">
        <f>'3-2-26'!I80</f>
        <v>0</v>
      </c>
      <c r="E80" s="69"/>
      <c r="F80" s="69"/>
      <c r="G80" s="69"/>
      <c r="H80" s="71">
        <f t="shared" si="3"/>
        <v>0</v>
      </c>
      <c r="I80" s="71"/>
      <c r="J80" s="69">
        <f t="shared" si="4"/>
        <v>0</v>
      </c>
    </row>
    <row r="81" ht="3" customHeight="1" spans="1:10">
      <c r="A81" s="68"/>
      <c r="B81" s="69"/>
      <c r="C81" s="70"/>
      <c r="D81" s="71">
        <f>'3-2-26'!I81</f>
        <v>0</v>
      </c>
      <c r="E81" s="69"/>
      <c r="F81" s="69"/>
      <c r="G81" s="69"/>
      <c r="H81" s="71">
        <f t="shared" si="3"/>
        <v>0</v>
      </c>
      <c r="I81" s="71"/>
      <c r="J81" s="69">
        <f t="shared" si="4"/>
        <v>0</v>
      </c>
    </row>
    <row r="82" ht="3" customHeight="1" spans="1:10">
      <c r="A82" s="68"/>
      <c r="B82" s="69"/>
      <c r="C82" s="70"/>
      <c r="D82" s="71">
        <f>'3-2-26'!I82</f>
        <v>0</v>
      </c>
      <c r="E82" s="69"/>
      <c r="F82" s="69"/>
      <c r="G82" s="69"/>
      <c r="H82" s="71">
        <f t="shared" si="3"/>
        <v>0</v>
      </c>
      <c r="I82" s="71"/>
      <c r="J82" s="69">
        <f t="shared" si="4"/>
        <v>0</v>
      </c>
    </row>
    <row r="83" ht="3" customHeight="1" spans="1:10">
      <c r="A83" s="68"/>
      <c r="B83" s="69"/>
      <c r="C83" s="70"/>
      <c r="D83" s="71">
        <f>'3-2-26'!I83</f>
        <v>0</v>
      </c>
      <c r="E83" s="69"/>
      <c r="F83" s="69"/>
      <c r="G83" s="69"/>
      <c r="H83" s="71">
        <f t="shared" si="3"/>
        <v>0</v>
      </c>
      <c r="I83" s="71"/>
      <c r="J83" s="69">
        <f t="shared" si="4"/>
        <v>0</v>
      </c>
    </row>
    <row r="84" ht="3" customHeight="1" spans="1:10">
      <c r="A84" s="68"/>
      <c r="B84" s="69"/>
      <c r="C84" s="70"/>
      <c r="D84" s="71">
        <f>'3-2-26'!I84</f>
        <v>0</v>
      </c>
      <c r="E84" s="69"/>
      <c r="F84" s="69"/>
      <c r="G84" s="69"/>
      <c r="H84" s="71">
        <f t="shared" si="3"/>
        <v>0</v>
      </c>
      <c r="I84" s="71"/>
      <c r="J84" s="69">
        <f t="shared" si="4"/>
        <v>0</v>
      </c>
    </row>
    <row r="85" ht="3" customHeight="1" spans="1:10">
      <c r="A85" s="68"/>
      <c r="B85" s="69"/>
      <c r="C85" s="70"/>
      <c r="D85" s="71">
        <f>'3-2-26'!I85</f>
        <v>0</v>
      </c>
      <c r="E85" s="69"/>
      <c r="F85" s="69"/>
      <c r="G85" s="69"/>
      <c r="H85" s="71">
        <f t="shared" si="3"/>
        <v>0</v>
      </c>
      <c r="I85" s="71"/>
      <c r="J85" s="69">
        <f t="shared" si="4"/>
        <v>0</v>
      </c>
    </row>
    <row r="86" ht="3" customHeight="1" spans="1:10">
      <c r="A86" s="68"/>
      <c r="B86" s="69"/>
      <c r="C86" s="70"/>
      <c r="D86" s="71">
        <f>'3-2-26'!I86</f>
        <v>0</v>
      </c>
      <c r="E86" s="69"/>
      <c r="F86" s="69"/>
      <c r="G86" s="69"/>
      <c r="H86" s="71">
        <f t="shared" si="3"/>
        <v>0</v>
      </c>
      <c r="I86" s="71"/>
      <c r="J86" s="69">
        <f t="shared" si="4"/>
        <v>0</v>
      </c>
    </row>
    <row r="87" ht="3" customHeight="1" spans="1:10">
      <c r="A87" s="68"/>
      <c r="B87" s="69"/>
      <c r="C87" s="70"/>
      <c r="D87" s="71">
        <f>'3-2-26'!I87</f>
        <v>0</v>
      </c>
      <c r="E87" s="69"/>
      <c r="F87" s="69"/>
      <c r="G87" s="69"/>
      <c r="H87" s="71">
        <f t="shared" si="3"/>
        <v>0</v>
      </c>
      <c r="I87" s="71"/>
      <c r="J87" s="69">
        <f t="shared" si="4"/>
        <v>0</v>
      </c>
    </row>
    <row r="88" ht="3" customHeight="1" spans="1:10">
      <c r="A88" s="68"/>
      <c r="B88" s="69"/>
      <c r="C88" s="70"/>
      <c r="D88" s="71">
        <f>'3-2-26'!I88</f>
        <v>0</v>
      </c>
      <c r="E88" s="69"/>
      <c r="F88" s="69"/>
      <c r="G88" s="69"/>
      <c r="H88" s="71">
        <f t="shared" si="3"/>
        <v>0</v>
      </c>
      <c r="I88" s="71"/>
      <c r="J88" s="69">
        <f t="shared" si="4"/>
        <v>0</v>
      </c>
    </row>
    <row r="89" ht="3" customHeight="1" spans="1:10">
      <c r="A89" s="68"/>
      <c r="B89" s="69"/>
      <c r="C89" s="70"/>
      <c r="D89" s="71">
        <f>'3-2-26'!I89</f>
        <v>0</v>
      </c>
      <c r="E89" s="69"/>
      <c r="F89" s="69"/>
      <c r="G89" s="69"/>
      <c r="H89" s="71">
        <f t="shared" ref="H89:H152" si="5">SUM(F89:G89)</f>
        <v>0</v>
      </c>
      <c r="I89" s="71"/>
      <c r="J89" s="69">
        <f t="shared" si="4"/>
        <v>0</v>
      </c>
    </row>
    <row r="90" ht="3" customHeight="1" spans="1:10">
      <c r="A90" s="68"/>
      <c r="B90" s="69"/>
      <c r="C90" s="70"/>
      <c r="D90" s="71">
        <f>'3-2-26'!I90</f>
        <v>0</v>
      </c>
      <c r="E90" s="69"/>
      <c r="F90" s="69"/>
      <c r="G90" s="69"/>
      <c r="H90" s="71">
        <f t="shared" si="5"/>
        <v>0</v>
      </c>
      <c r="I90" s="71"/>
      <c r="J90" s="69">
        <f t="shared" si="4"/>
        <v>0</v>
      </c>
    </row>
    <row r="91" ht="3" customHeight="1" spans="1:10">
      <c r="A91" s="68"/>
      <c r="B91" s="69"/>
      <c r="C91" s="70"/>
      <c r="D91" s="71">
        <f>'3-2-26'!I91</f>
        <v>0</v>
      </c>
      <c r="E91" s="69"/>
      <c r="F91" s="69"/>
      <c r="G91" s="69"/>
      <c r="H91" s="71">
        <f t="shared" si="5"/>
        <v>0</v>
      </c>
      <c r="I91" s="71"/>
      <c r="J91" s="69">
        <f t="shared" si="4"/>
        <v>0</v>
      </c>
    </row>
    <row r="92" ht="3" customHeight="1" spans="1:10">
      <c r="A92" s="68"/>
      <c r="B92" s="69"/>
      <c r="C92" s="70"/>
      <c r="D92" s="71">
        <f>'3-2-26'!I92</f>
        <v>0</v>
      </c>
      <c r="E92" s="69"/>
      <c r="F92" s="69"/>
      <c r="G92" s="69"/>
      <c r="H92" s="71">
        <f t="shared" si="5"/>
        <v>0</v>
      </c>
      <c r="I92" s="71"/>
      <c r="J92" s="69">
        <f t="shared" si="4"/>
        <v>0</v>
      </c>
    </row>
    <row r="93" ht="3" customHeight="1" spans="1:10">
      <c r="A93" s="68"/>
      <c r="B93" s="69"/>
      <c r="C93" s="70"/>
      <c r="D93" s="71">
        <f>'3-2-26'!I93</f>
        <v>0</v>
      </c>
      <c r="E93" s="69"/>
      <c r="F93" s="69"/>
      <c r="G93" s="69"/>
      <c r="H93" s="71">
        <f t="shared" si="5"/>
        <v>0</v>
      </c>
      <c r="I93" s="71"/>
      <c r="J93" s="69">
        <f t="shared" si="4"/>
        <v>0</v>
      </c>
    </row>
    <row r="94" ht="3" customHeight="1" spans="1:10">
      <c r="A94" s="68"/>
      <c r="B94" s="69"/>
      <c r="C94" s="70"/>
      <c r="D94" s="71">
        <f>'3-2-26'!I94</f>
        <v>0</v>
      </c>
      <c r="E94" s="69"/>
      <c r="F94" s="69"/>
      <c r="G94" s="69"/>
      <c r="H94" s="71">
        <f t="shared" si="5"/>
        <v>0</v>
      </c>
      <c r="I94" s="71"/>
      <c r="J94" s="69">
        <f t="shared" si="4"/>
        <v>0</v>
      </c>
    </row>
    <row r="95" ht="3" customHeight="1" spans="1:10">
      <c r="A95" s="68"/>
      <c r="B95" s="69"/>
      <c r="C95" s="70"/>
      <c r="D95" s="71">
        <f>'3-2-26'!I95</f>
        <v>0</v>
      </c>
      <c r="E95" s="69"/>
      <c r="F95" s="69"/>
      <c r="G95" s="69"/>
      <c r="H95" s="71">
        <f t="shared" si="5"/>
        <v>0</v>
      </c>
      <c r="I95" s="71"/>
      <c r="J95" s="69">
        <f t="shared" si="4"/>
        <v>0</v>
      </c>
    </row>
    <row r="96" ht="3" customHeight="1" spans="1:10">
      <c r="A96" s="68"/>
      <c r="B96" s="69"/>
      <c r="C96" s="70"/>
      <c r="D96" s="71">
        <f>'3-2-26'!I96</f>
        <v>0</v>
      </c>
      <c r="E96" s="69"/>
      <c r="F96" s="69"/>
      <c r="G96" s="69"/>
      <c r="H96" s="71">
        <f t="shared" si="5"/>
        <v>0</v>
      </c>
      <c r="I96" s="71"/>
      <c r="J96" s="69">
        <f t="shared" si="4"/>
        <v>0</v>
      </c>
    </row>
    <row r="97" ht="3" customHeight="1" spans="1:10">
      <c r="A97" s="68"/>
      <c r="B97" s="69"/>
      <c r="C97" s="70"/>
      <c r="D97" s="71">
        <f>'3-2-26'!I97</f>
        <v>0</v>
      </c>
      <c r="E97" s="69"/>
      <c r="F97" s="69"/>
      <c r="G97" s="69"/>
      <c r="H97" s="71">
        <f t="shared" si="5"/>
        <v>0</v>
      </c>
      <c r="I97" s="71"/>
      <c r="J97" s="69">
        <f t="shared" si="4"/>
        <v>0</v>
      </c>
    </row>
    <row r="98" ht="3" customHeight="1" spans="1:10">
      <c r="A98" s="68"/>
      <c r="B98" s="69"/>
      <c r="C98" s="70"/>
      <c r="D98" s="71">
        <f>'3-2-26'!I98</f>
        <v>0</v>
      </c>
      <c r="E98" s="69"/>
      <c r="F98" s="69"/>
      <c r="G98" s="69"/>
      <c r="H98" s="71">
        <f t="shared" si="5"/>
        <v>0</v>
      </c>
      <c r="I98" s="71"/>
      <c r="J98" s="69">
        <f t="shared" si="4"/>
        <v>0</v>
      </c>
    </row>
    <row r="99" ht="3" customHeight="1" spans="1:10">
      <c r="A99" s="68"/>
      <c r="B99" s="69"/>
      <c r="C99" s="70"/>
      <c r="D99" s="71">
        <f>'3-2-26'!I99</f>
        <v>0</v>
      </c>
      <c r="E99" s="69"/>
      <c r="F99" s="69"/>
      <c r="G99" s="69"/>
      <c r="H99" s="71">
        <f t="shared" si="5"/>
        <v>0</v>
      </c>
      <c r="I99" s="71"/>
      <c r="J99" s="69">
        <f t="shared" si="4"/>
        <v>0</v>
      </c>
    </row>
    <row r="100" ht="3" customHeight="1" spans="1:10">
      <c r="A100" s="68"/>
      <c r="B100" s="69"/>
      <c r="C100" s="70"/>
      <c r="D100" s="71">
        <f>'3-2-26'!I100</f>
        <v>0</v>
      </c>
      <c r="E100" s="69"/>
      <c r="F100" s="69"/>
      <c r="G100" s="69"/>
      <c r="H100" s="71">
        <f t="shared" si="5"/>
        <v>0</v>
      </c>
      <c r="I100" s="71"/>
      <c r="J100" s="69">
        <f t="shared" si="4"/>
        <v>0</v>
      </c>
    </row>
    <row r="101" ht="3" customHeight="1" spans="1:10">
      <c r="A101" s="68"/>
      <c r="B101" s="69"/>
      <c r="C101" s="70"/>
      <c r="D101" s="71">
        <f>'3-2-26'!I101</f>
        <v>0</v>
      </c>
      <c r="E101" s="69"/>
      <c r="F101" s="69"/>
      <c r="G101" s="69"/>
      <c r="H101" s="71">
        <f t="shared" si="5"/>
        <v>0</v>
      </c>
      <c r="I101" s="71"/>
      <c r="J101" s="69">
        <f t="shared" si="4"/>
        <v>0</v>
      </c>
    </row>
    <row r="102" ht="3" customHeight="1" spans="1:10">
      <c r="A102" s="68"/>
      <c r="B102" s="69"/>
      <c r="C102" s="70"/>
      <c r="D102" s="71">
        <f>'3-2-26'!I102</f>
        <v>0</v>
      </c>
      <c r="E102" s="69"/>
      <c r="F102" s="69"/>
      <c r="G102" s="69"/>
      <c r="H102" s="71">
        <f t="shared" si="5"/>
        <v>0</v>
      </c>
      <c r="I102" s="71"/>
      <c r="J102" s="69">
        <f t="shared" si="4"/>
        <v>0</v>
      </c>
    </row>
    <row r="103" ht="3" customHeight="1" spans="1:10">
      <c r="A103" s="68"/>
      <c r="B103" s="69"/>
      <c r="C103" s="70"/>
      <c r="D103" s="71">
        <f>'3-2-26'!I103</f>
        <v>0</v>
      </c>
      <c r="E103" s="69"/>
      <c r="F103" s="69"/>
      <c r="G103" s="69"/>
      <c r="H103" s="71">
        <f t="shared" si="5"/>
        <v>0</v>
      </c>
      <c r="I103" s="71"/>
      <c r="J103" s="69">
        <f t="shared" si="4"/>
        <v>0</v>
      </c>
    </row>
    <row r="104" ht="3" customHeight="1" spans="1:10">
      <c r="A104" s="68"/>
      <c r="B104" s="69"/>
      <c r="C104" s="70"/>
      <c r="D104" s="71">
        <f>'3-2-26'!I104</f>
        <v>0</v>
      </c>
      <c r="E104" s="69"/>
      <c r="F104" s="69"/>
      <c r="G104" s="69"/>
      <c r="H104" s="71">
        <f t="shared" si="5"/>
        <v>0</v>
      </c>
      <c r="I104" s="71"/>
      <c r="J104" s="69">
        <f t="shared" si="4"/>
        <v>0</v>
      </c>
    </row>
    <row r="105" ht="3" customHeight="1" spans="1:10">
      <c r="A105" s="68"/>
      <c r="B105" s="69"/>
      <c r="C105" s="70"/>
      <c r="D105" s="71">
        <f>'3-2-26'!I105</f>
        <v>0</v>
      </c>
      <c r="E105" s="69"/>
      <c r="F105" s="69"/>
      <c r="G105" s="69"/>
      <c r="H105" s="71">
        <f t="shared" si="5"/>
        <v>0</v>
      </c>
      <c r="I105" s="71"/>
      <c r="J105" s="69">
        <f t="shared" si="4"/>
        <v>0</v>
      </c>
    </row>
    <row r="106" ht="3" customHeight="1" spans="1:10">
      <c r="A106" s="68"/>
      <c r="B106" s="69"/>
      <c r="C106" s="70"/>
      <c r="D106" s="71">
        <f>'3-2-26'!I106</f>
        <v>0</v>
      </c>
      <c r="E106" s="69"/>
      <c r="F106" s="69"/>
      <c r="G106" s="69"/>
      <c r="H106" s="71">
        <f t="shared" si="5"/>
        <v>0</v>
      </c>
      <c r="I106" s="71"/>
      <c r="J106" s="69">
        <f t="shared" si="4"/>
        <v>0</v>
      </c>
    </row>
    <row r="107" ht="3" customHeight="1" spans="1:10">
      <c r="A107" s="68"/>
      <c r="B107" s="69"/>
      <c r="C107" s="70"/>
      <c r="D107" s="71">
        <f>'3-2-26'!I107</f>
        <v>0</v>
      </c>
      <c r="E107" s="69"/>
      <c r="F107" s="69"/>
      <c r="G107" s="69"/>
      <c r="H107" s="71">
        <f t="shared" si="5"/>
        <v>0</v>
      </c>
      <c r="I107" s="71"/>
      <c r="J107" s="69">
        <f t="shared" si="4"/>
        <v>0</v>
      </c>
    </row>
    <row r="108" ht="3" customHeight="1" spans="1:10">
      <c r="A108" s="68"/>
      <c r="B108" s="69"/>
      <c r="C108" s="70"/>
      <c r="D108" s="71">
        <f>'3-2-26'!I108</f>
        <v>0</v>
      </c>
      <c r="E108" s="69"/>
      <c r="F108" s="69"/>
      <c r="G108" s="69"/>
      <c r="H108" s="71">
        <f t="shared" si="5"/>
        <v>0</v>
      </c>
      <c r="I108" s="71"/>
      <c r="J108" s="69">
        <f t="shared" si="4"/>
        <v>0</v>
      </c>
    </row>
    <row r="109" ht="3" customHeight="1" spans="1:10">
      <c r="A109" s="68"/>
      <c r="B109" s="69"/>
      <c r="C109" s="70"/>
      <c r="D109" s="71">
        <f>'3-2-26'!I109</f>
        <v>0</v>
      </c>
      <c r="E109" s="69"/>
      <c r="F109" s="69"/>
      <c r="G109" s="69"/>
      <c r="H109" s="71">
        <f t="shared" si="5"/>
        <v>0</v>
      </c>
      <c r="I109" s="71"/>
      <c r="J109" s="69">
        <f t="shared" si="4"/>
        <v>0</v>
      </c>
    </row>
    <row r="110" ht="3" customHeight="1" spans="1:10">
      <c r="A110" s="68"/>
      <c r="B110" s="69"/>
      <c r="C110" s="70"/>
      <c r="D110" s="71">
        <f>'3-2-26'!I110</f>
        <v>0</v>
      </c>
      <c r="E110" s="69"/>
      <c r="F110" s="69"/>
      <c r="G110" s="69"/>
      <c r="H110" s="71">
        <f t="shared" si="5"/>
        <v>0</v>
      </c>
      <c r="I110" s="71"/>
      <c r="J110" s="69">
        <f t="shared" si="4"/>
        <v>0</v>
      </c>
    </row>
    <row r="111" ht="3" customHeight="1" spans="1:10">
      <c r="A111" s="68"/>
      <c r="B111" s="69"/>
      <c r="C111" s="70"/>
      <c r="D111" s="71">
        <f>'3-2-26'!I111</f>
        <v>0</v>
      </c>
      <c r="E111" s="69"/>
      <c r="F111" s="69"/>
      <c r="G111" s="69"/>
      <c r="H111" s="71">
        <f t="shared" si="5"/>
        <v>0</v>
      </c>
      <c r="I111" s="71"/>
      <c r="J111" s="69">
        <f t="shared" si="4"/>
        <v>0</v>
      </c>
    </row>
    <row r="112" ht="3" customHeight="1" spans="1:10">
      <c r="A112" s="68"/>
      <c r="B112" s="69"/>
      <c r="C112" s="70"/>
      <c r="D112" s="71">
        <f>'3-2-26'!I112</f>
        <v>0</v>
      </c>
      <c r="E112" s="69"/>
      <c r="F112" s="69"/>
      <c r="G112" s="69"/>
      <c r="H112" s="71">
        <f t="shared" si="5"/>
        <v>0</v>
      </c>
      <c r="I112" s="71"/>
      <c r="J112" s="69">
        <f t="shared" si="4"/>
        <v>0</v>
      </c>
    </row>
    <row r="113" ht="3" customHeight="1" spans="1:10">
      <c r="A113" s="68"/>
      <c r="B113" s="69"/>
      <c r="C113" s="70"/>
      <c r="D113" s="71">
        <f>'3-2-26'!I113</f>
        <v>0</v>
      </c>
      <c r="E113" s="69"/>
      <c r="F113" s="69"/>
      <c r="G113" s="69"/>
      <c r="H113" s="71">
        <f t="shared" si="5"/>
        <v>0</v>
      </c>
      <c r="I113" s="71"/>
      <c r="J113" s="69">
        <f t="shared" si="4"/>
        <v>0</v>
      </c>
    </row>
    <row r="114" ht="3" customHeight="1" spans="1:10">
      <c r="A114" s="68"/>
      <c r="B114" s="69"/>
      <c r="C114" s="70"/>
      <c r="D114" s="71">
        <f>'3-2-26'!I114</f>
        <v>0</v>
      </c>
      <c r="E114" s="69"/>
      <c r="F114" s="69"/>
      <c r="G114" s="69"/>
      <c r="H114" s="71">
        <f t="shared" si="5"/>
        <v>0</v>
      </c>
      <c r="I114" s="71"/>
      <c r="J114" s="69">
        <f t="shared" si="4"/>
        <v>0</v>
      </c>
    </row>
    <row r="115" ht="3" customHeight="1" spans="1:10">
      <c r="A115" s="68"/>
      <c r="B115" s="69"/>
      <c r="C115" s="70"/>
      <c r="D115" s="71">
        <f>'3-2-26'!I115</f>
        <v>0</v>
      </c>
      <c r="E115" s="69"/>
      <c r="F115" s="69"/>
      <c r="G115" s="69"/>
      <c r="H115" s="71">
        <f t="shared" si="5"/>
        <v>0</v>
      </c>
      <c r="I115" s="71"/>
      <c r="J115" s="69">
        <f t="shared" si="4"/>
        <v>0</v>
      </c>
    </row>
    <row r="116" ht="3" customHeight="1" spans="1:10">
      <c r="A116" s="68"/>
      <c r="B116" s="69"/>
      <c r="C116" s="70"/>
      <c r="D116" s="71">
        <f>'3-2-26'!I116</f>
        <v>0</v>
      </c>
      <c r="E116" s="69"/>
      <c r="F116" s="69"/>
      <c r="G116" s="69"/>
      <c r="H116" s="71">
        <f t="shared" si="5"/>
        <v>0</v>
      </c>
      <c r="I116" s="71"/>
      <c r="J116" s="69">
        <f t="shared" si="4"/>
        <v>0</v>
      </c>
    </row>
    <row r="117" ht="3" customHeight="1" spans="1:10">
      <c r="A117" s="68"/>
      <c r="B117" s="69"/>
      <c r="C117" s="70"/>
      <c r="D117" s="71">
        <f>'3-2-26'!I117</f>
        <v>0</v>
      </c>
      <c r="E117" s="69"/>
      <c r="F117" s="69"/>
      <c r="G117" s="69"/>
      <c r="H117" s="71">
        <f t="shared" si="5"/>
        <v>0</v>
      </c>
      <c r="I117" s="71"/>
      <c r="J117" s="69">
        <f t="shared" si="4"/>
        <v>0</v>
      </c>
    </row>
    <row r="118" ht="3" customHeight="1" spans="1:10">
      <c r="A118" s="68"/>
      <c r="B118" s="69"/>
      <c r="C118" s="70"/>
      <c r="D118" s="71">
        <f>'3-2-26'!I118</f>
        <v>0</v>
      </c>
      <c r="E118" s="69"/>
      <c r="F118" s="69"/>
      <c r="G118" s="69"/>
      <c r="H118" s="71">
        <f t="shared" si="5"/>
        <v>0</v>
      </c>
      <c r="I118" s="71"/>
      <c r="J118" s="69">
        <f t="shared" si="4"/>
        <v>0</v>
      </c>
    </row>
    <row r="119" ht="3" customHeight="1" spans="1:10">
      <c r="A119" s="68"/>
      <c r="B119" s="69"/>
      <c r="C119" s="70"/>
      <c r="D119" s="71">
        <f>'3-2-26'!I119</f>
        <v>0</v>
      </c>
      <c r="E119" s="69"/>
      <c r="F119" s="69"/>
      <c r="G119" s="69"/>
      <c r="H119" s="71">
        <f t="shared" si="5"/>
        <v>0</v>
      </c>
      <c r="I119" s="71"/>
      <c r="J119" s="69">
        <f t="shared" si="4"/>
        <v>0</v>
      </c>
    </row>
    <row r="120" ht="3" customHeight="1" spans="1:10">
      <c r="A120" s="68"/>
      <c r="B120" s="69"/>
      <c r="C120" s="70"/>
      <c r="D120" s="71">
        <f>'3-2-26'!I120</f>
        <v>0</v>
      </c>
      <c r="E120" s="69"/>
      <c r="F120" s="69"/>
      <c r="G120" s="69"/>
      <c r="H120" s="71">
        <f t="shared" si="5"/>
        <v>0</v>
      </c>
      <c r="I120" s="71"/>
      <c r="J120" s="69">
        <f t="shared" si="4"/>
        <v>0</v>
      </c>
    </row>
    <row r="121" ht="3" customHeight="1" spans="1:10">
      <c r="A121" s="68"/>
      <c r="B121" s="69"/>
      <c r="C121" s="70"/>
      <c r="D121" s="71">
        <f>'3-2-26'!I121</f>
        <v>0</v>
      </c>
      <c r="E121" s="69"/>
      <c r="F121" s="69"/>
      <c r="G121" s="69"/>
      <c r="H121" s="71">
        <f t="shared" si="5"/>
        <v>0</v>
      </c>
      <c r="I121" s="71"/>
      <c r="J121" s="69">
        <f t="shared" si="4"/>
        <v>0</v>
      </c>
    </row>
    <row r="122" ht="3" customHeight="1" spans="1:10">
      <c r="A122" s="68"/>
      <c r="B122" s="69"/>
      <c r="C122" s="70"/>
      <c r="D122" s="71">
        <f>'3-2-26'!I122</f>
        <v>0</v>
      </c>
      <c r="E122" s="69"/>
      <c r="F122" s="69"/>
      <c r="G122" s="69"/>
      <c r="H122" s="71">
        <f t="shared" si="5"/>
        <v>0</v>
      </c>
      <c r="I122" s="71"/>
      <c r="J122" s="69">
        <f t="shared" si="4"/>
        <v>0</v>
      </c>
    </row>
    <row r="123" ht="3" customHeight="1" spans="1:10">
      <c r="A123" s="68"/>
      <c r="B123" s="69"/>
      <c r="C123" s="70"/>
      <c r="D123" s="71">
        <f>'3-2-26'!I123</f>
        <v>0</v>
      </c>
      <c r="E123" s="69"/>
      <c r="F123" s="69"/>
      <c r="G123" s="69"/>
      <c r="H123" s="71">
        <f t="shared" si="5"/>
        <v>0</v>
      </c>
      <c r="I123" s="71"/>
      <c r="J123" s="69">
        <f t="shared" si="4"/>
        <v>0</v>
      </c>
    </row>
    <row r="124" ht="3" customHeight="1" spans="1:10">
      <c r="A124" s="68"/>
      <c r="B124" s="69"/>
      <c r="C124" s="70"/>
      <c r="D124" s="71">
        <f>'3-2-26'!I124</f>
        <v>0</v>
      </c>
      <c r="E124" s="69"/>
      <c r="F124" s="69"/>
      <c r="G124" s="69"/>
      <c r="H124" s="71">
        <f t="shared" si="5"/>
        <v>0</v>
      </c>
      <c r="I124" s="71"/>
      <c r="J124" s="69">
        <f t="shared" si="4"/>
        <v>0</v>
      </c>
    </row>
    <row r="125" ht="3" customHeight="1" spans="1:10">
      <c r="A125" s="68"/>
      <c r="B125" s="69"/>
      <c r="C125" s="70"/>
      <c r="D125" s="71">
        <f>'3-2-26'!I125</f>
        <v>0</v>
      </c>
      <c r="E125" s="69"/>
      <c r="F125" s="69"/>
      <c r="G125" s="69"/>
      <c r="H125" s="71">
        <f t="shared" si="5"/>
        <v>0</v>
      </c>
      <c r="I125" s="71"/>
      <c r="J125" s="69">
        <f t="shared" si="4"/>
        <v>0</v>
      </c>
    </row>
    <row r="126" ht="3" customHeight="1" spans="1:10">
      <c r="A126" s="68"/>
      <c r="B126" s="69"/>
      <c r="C126" s="70"/>
      <c r="D126" s="71">
        <f>'3-2-26'!I126</f>
        <v>0</v>
      </c>
      <c r="E126" s="69"/>
      <c r="F126" s="69"/>
      <c r="G126" s="69"/>
      <c r="H126" s="71">
        <f t="shared" si="5"/>
        <v>0</v>
      </c>
      <c r="I126" s="71"/>
      <c r="J126" s="69">
        <f t="shared" si="4"/>
        <v>0</v>
      </c>
    </row>
    <row r="127" ht="3" customHeight="1" spans="1:10">
      <c r="A127" s="68"/>
      <c r="B127" s="69"/>
      <c r="C127" s="70"/>
      <c r="D127" s="71">
        <f>'3-2-26'!I127</f>
        <v>0</v>
      </c>
      <c r="E127" s="69"/>
      <c r="F127" s="69"/>
      <c r="G127" s="69"/>
      <c r="H127" s="71">
        <f t="shared" si="5"/>
        <v>0</v>
      </c>
      <c r="I127" s="71"/>
      <c r="J127" s="69">
        <f t="shared" si="4"/>
        <v>0</v>
      </c>
    </row>
    <row r="128" ht="3" customHeight="1" spans="1:10">
      <c r="A128" s="68"/>
      <c r="B128" s="69"/>
      <c r="C128" s="70"/>
      <c r="D128" s="71">
        <f>'3-2-26'!I128</f>
        <v>0</v>
      </c>
      <c r="E128" s="69"/>
      <c r="F128" s="69"/>
      <c r="G128" s="69"/>
      <c r="H128" s="71">
        <f t="shared" si="5"/>
        <v>0</v>
      </c>
      <c r="I128" s="71"/>
      <c r="J128" s="69">
        <f t="shared" si="4"/>
        <v>0</v>
      </c>
    </row>
    <row r="129" ht="3" customHeight="1" spans="1:10">
      <c r="A129" s="68"/>
      <c r="B129" s="69"/>
      <c r="C129" s="70"/>
      <c r="D129" s="71">
        <f>'3-2-26'!I129</f>
        <v>0</v>
      </c>
      <c r="E129" s="69"/>
      <c r="F129" s="69"/>
      <c r="G129" s="69"/>
      <c r="H129" s="71">
        <f t="shared" si="5"/>
        <v>0</v>
      </c>
      <c r="I129" s="71"/>
      <c r="J129" s="69">
        <f t="shared" si="4"/>
        <v>0</v>
      </c>
    </row>
    <row r="130" ht="3" customHeight="1" spans="1:10">
      <c r="A130" s="68"/>
      <c r="B130" s="69"/>
      <c r="C130" s="70"/>
      <c r="D130" s="71">
        <f>'3-2-26'!I130</f>
        <v>0</v>
      </c>
      <c r="E130" s="69"/>
      <c r="F130" s="69"/>
      <c r="G130" s="69"/>
      <c r="H130" s="71">
        <f t="shared" si="5"/>
        <v>0</v>
      </c>
      <c r="I130" s="71"/>
      <c r="J130" s="69">
        <f t="shared" si="4"/>
        <v>0</v>
      </c>
    </row>
    <row r="131" ht="3" customHeight="1" spans="1:10">
      <c r="A131" s="68"/>
      <c r="B131" s="69"/>
      <c r="C131" s="70"/>
      <c r="D131" s="71">
        <f>'3-2-26'!I131</f>
        <v>0</v>
      </c>
      <c r="E131" s="69"/>
      <c r="F131" s="69"/>
      <c r="G131" s="69"/>
      <c r="H131" s="71">
        <f t="shared" si="5"/>
        <v>0</v>
      </c>
      <c r="I131" s="71"/>
      <c r="J131" s="69">
        <f t="shared" si="4"/>
        <v>0</v>
      </c>
    </row>
    <row r="132" ht="3" customHeight="1" spans="1:10">
      <c r="A132" s="68"/>
      <c r="B132" s="69"/>
      <c r="C132" s="70"/>
      <c r="D132" s="71">
        <f>'3-2-26'!I132</f>
        <v>0</v>
      </c>
      <c r="E132" s="69"/>
      <c r="F132" s="69"/>
      <c r="G132" s="69"/>
      <c r="H132" s="71">
        <f t="shared" si="5"/>
        <v>0</v>
      </c>
      <c r="I132" s="71"/>
      <c r="J132" s="69">
        <f t="shared" si="4"/>
        <v>0</v>
      </c>
    </row>
    <row r="133" ht="3" customHeight="1" spans="1:10">
      <c r="A133" s="68"/>
      <c r="B133" s="69"/>
      <c r="C133" s="70"/>
      <c r="D133" s="71">
        <f>'3-2-26'!I133</f>
        <v>0</v>
      </c>
      <c r="E133" s="69"/>
      <c r="F133" s="69"/>
      <c r="G133" s="69"/>
      <c r="H133" s="71">
        <f t="shared" si="5"/>
        <v>0</v>
      </c>
      <c r="I133" s="71"/>
      <c r="J133" s="69">
        <f t="shared" si="4"/>
        <v>0</v>
      </c>
    </row>
    <row r="134" ht="3" customHeight="1" spans="1:10">
      <c r="A134" s="68"/>
      <c r="B134" s="69"/>
      <c r="C134" s="70"/>
      <c r="D134" s="71">
        <f>'3-2-26'!I134</f>
        <v>0</v>
      </c>
      <c r="E134" s="69"/>
      <c r="F134" s="69"/>
      <c r="G134" s="69"/>
      <c r="H134" s="71">
        <f t="shared" si="5"/>
        <v>0</v>
      </c>
      <c r="I134" s="71"/>
      <c r="J134" s="69">
        <f t="shared" si="4"/>
        <v>0</v>
      </c>
    </row>
    <row r="135" ht="3" customHeight="1" spans="1:10">
      <c r="A135" s="68"/>
      <c r="B135" s="69"/>
      <c r="C135" s="70"/>
      <c r="D135" s="71">
        <f>'3-2-26'!I135</f>
        <v>0</v>
      </c>
      <c r="E135" s="69"/>
      <c r="F135" s="69"/>
      <c r="G135" s="69"/>
      <c r="H135" s="71">
        <f t="shared" si="5"/>
        <v>0</v>
      </c>
      <c r="I135" s="71"/>
      <c r="J135" s="69">
        <f t="shared" si="4"/>
        <v>0</v>
      </c>
    </row>
    <row r="136" ht="3" customHeight="1" spans="1:10">
      <c r="A136" s="68"/>
      <c r="B136" s="69"/>
      <c r="C136" s="70"/>
      <c r="D136" s="71">
        <f>'3-2-26'!I136</f>
        <v>0</v>
      </c>
      <c r="E136" s="69"/>
      <c r="F136" s="69"/>
      <c r="G136" s="69"/>
      <c r="H136" s="71">
        <f t="shared" si="5"/>
        <v>0</v>
      </c>
      <c r="I136" s="71"/>
      <c r="J136" s="69">
        <f t="shared" si="4"/>
        <v>0</v>
      </c>
    </row>
    <row r="137" ht="3" customHeight="1" spans="1:10">
      <c r="A137" s="68"/>
      <c r="B137" s="69"/>
      <c r="C137" s="70"/>
      <c r="D137" s="71">
        <f>'3-2-26'!I137</f>
        <v>0</v>
      </c>
      <c r="E137" s="69"/>
      <c r="F137" s="69"/>
      <c r="G137" s="69"/>
      <c r="H137" s="71">
        <f t="shared" si="5"/>
        <v>0</v>
      </c>
      <c r="I137" s="71"/>
      <c r="J137" s="69">
        <f t="shared" ref="J137:J186" si="6">1/10*G137</f>
        <v>0</v>
      </c>
    </row>
    <row r="138" ht="3" customHeight="1" spans="1:10">
      <c r="A138" s="68"/>
      <c r="B138" s="69"/>
      <c r="C138" s="70"/>
      <c r="D138" s="71">
        <f>'3-2-26'!I138</f>
        <v>0</v>
      </c>
      <c r="E138" s="69"/>
      <c r="F138" s="69"/>
      <c r="G138" s="69"/>
      <c r="H138" s="71">
        <f t="shared" si="5"/>
        <v>0</v>
      </c>
      <c r="I138" s="71"/>
      <c r="J138" s="69">
        <f t="shared" si="6"/>
        <v>0</v>
      </c>
    </row>
    <row r="139" ht="3" customHeight="1" spans="1:10">
      <c r="A139" s="68"/>
      <c r="B139" s="69"/>
      <c r="C139" s="70"/>
      <c r="D139" s="71">
        <f>'3-2-26'!I139</f>
        <v>0</v>
      </c>
      <c r="E139" s="69"/>
      <c r="F139" s="69"/>
      <c r="G139" s="69"/>
      <c r="H139" s="71">
        <f t="shared" si="5"/>
        <v>0</v>
      </c>
      <c r="I139" s="71"/>
      <c r="J139" s="69">
        <f t="shared" si="6"/>
        <v>0</v>
      </c>
    </row>
    <row r="140" ht="3" customHeight="1" spans="1:10">
      <c r="A140" s="68"/>
      <c r="B140" s="69"/>
      <c r="C140" s="70"/>
      <c r="D140" s="71">
        <f>'3-2-26'!I140</f>
        <v>0</v>
      </c>
      <c r="E140" s="69"/>
      <c r="F140" s="69"/>
      <c r="G140" s="69"/>
      <c r="H140" s="71">
        <f t="shared" si="5"/>
        <v>0</v>
      </c>
      <c r="I140" s="71"/>
      <c r="J140" s="69">
        <f t="shared" si="6"/>
        <v>0</v>
      </c>
    </row>
    <row r="141" ht="3" customHeight="1" spans="1:10">
      <c r="A141" s="68"/>
      <c r="B141" s="69"/>
      <c r="C141" s="70"/>
      <c r="D141" s="71">
        <f>'3-2-26'!I141</f>
        <v>0</v>
      </c>
      <c r="E141" s="69"/>
      <c r="F141" s="69"/>
      <c r="G141" s="69"/>
      <c r="H141" s="71">
        <f t="shared" si="5"/>
        <v>0</v>
      </c>
      <c r="I141" s="71"/>
      <c r="J141" s="69">
        <f t="shared" si="6"/>
        <v>0</v>
      </c>
    </row>
    <row r="142" ht="3" customHeight="1" spans="1:10">
      <c r="A142" s="68"/>
      <c r="B142" s="69"/>
      <c r="C142" s="70"/>
      <c r="D142" s="71">
        <f>'3-2-26'!I142</f>
        <v>0</v>
      </c>
      <c r="E142" s="69"/>
      <c r="F142" s="69"/>
      <c r="G142" s="69"/>
      <c r="H142" s="71">
        <f t="shared" si="5"/>
        <v>0</v>
      </c>
      <c r="I142" s="71"/>
      <c r="J142" s="69">
        <f t="shared" si="6"/>
        <v>0</v>
      </c>
    </row>
    <row r="143" ht="3" customHeight="1" spans="1:10">
      <c r="A143" s="68"/>
      <c r="B143" s="69"/>
      <c r="C143" s="70"/>
      <c r="D143" s="71">
        <f>'3-2-26'!I143</f>
        <v>0</v>
      </c>
      <c r="E143" s="69"/>
      <c r="F143" s="69"/>
      <c r="G143" s="69"/>
      <c r="H143" s="71">
        <f t="shared" si="5"/>
        <v>0</v>
      </c>
      <c r="I143" s="71"/>
      <c r="J143" s="69">
        <f t="shared" si="6"/>
        <v>0</v>
      </c>
    </row>
    <row r="144" ht="3" customHeight="1" spans="1:10">
      <c r="A144" s="68"/>
      <c r="B144" s="69"/>
      <c r="C144" s="70"/>
      <c r="D144" s="71">
        <f>'3-2-26'!I144</f>
        <v>0</v>
      </c>
      <c r="E144" s="69"/>
      <c r="F144" s="69"/>
      <c r="G144" s="69"/>
      <c r="H144" s="71">
        <f t="shared" si="5"/>
        <v>0</v>
      </c>
      <c r="I144" s="71"/>
      <c r="J144" s="69">
        <f t="shared" si="6"/>
        <v>0</v>
      </c>
    </row>
    <row r="145" ht="3" customHeight="1" spans="1:10">
      <c r="A145" s="68"/>
      <c r="B145" s="69"/>
      <c r="C145" s="70"/>
      <c r="D145" s="71">
        <f>'3-2-26'!I145</f>
        <v>0</v>
      </c>
      <c r="E145" s="69"/>
      <c r="F145" s="69"/>
      <c r="G145" s="69"/>
      <c r="H145" s="71">
        <f t="shared" si="5"/>
        <v>0</v>
      </c>
      <c r="I145" s="71"/>
      <c r="J145" s="69">
        <f t="shared" si="6"/>
        <v>0</v>
      </c>
    </row>
    <row r="146" ht="3" customHeight="1" spans="1:10">
      <c r="A146" s="68"/>
      <c r="B146" s="69"/>
      <c r="C146" s="70"/>
      <c r="D146" s="71">
        <f>'3-2-26'!I146</f>
        <v>0</v>
      </c>
      <c r="E146" s="69"/>
      <c r="F146" s="69"/>
      <c r="G146" s="69"/>
      <c r="H146" s="71">
        <f t="shared" si="5"/>
        <v>0</v>
      </c>
      <c r="I146" s="71"/>
      <c r="J146" s="69">
        <f t="shared" si="6"/>
        <v>0</v>
      </c>
    </row>
    <row r="147" ht="3" customHeight="1" spans="1:10">
      <c r="A147" s="68"/>
      <c r="B147" s="69"/>
      <c r="C147" s="70"/>
      <c r="D147" s="71">
        <f>'3-2-26'!I147</f>
        <v>0</v>
      </c>
      <c r="E147" s="69"/>
      <c r="F147" s="69"/>
      <c r="G147" s="69"/>
      <c r="H147" s="71">
        <f t="shared" si="5"/>
        <v>0</v>
      </c>
      <c r="I147" s="71"/>
      <c r="J147" s="69">
        <f t="shared" si="6"/>
        <v>0</v>
      </c>
    </row>
    <row r="148" ht="3" customHeight="1" spans="1:10">
      <c r="A148" s="68"/>
      <c r="B148" s="69"/>
      <c r="C148" s="70"/>
      <c r="D148" s="71">
        <f>'3-2-26'!I148</f>
        <v>0</v>
      </c>
      <c r="E148" s="69"/>
      <c r="F148" s="69"/>
      <c r="G148" s="69"/>
      <c r="H148" s="71">
        <f t="shared" si="5"/>
        <v>0</v>
      </c>
      <c r="I148" s="71"/>
      <c r="J148" s="69">
        <f t="shared" si="6"/>
        <v>0</v>
      </c>
    </row>
    <row r="149" ht="3" customHeight="1" spans="1:10">
      <c r="A149" s="68"/>
      <c r="B149" s="69"/>
      <c r="C149" s="70"/>
      <c r="D149" s="71">
        <f>'3-2-26'!I149</f>
        <v>0</v>
      </c>
      <c r="E149" s="69"/>
      <c r="F149" s="69"/>
      <c r="G149" s="69"/>
      <c r="H149" s="71">
        <f t="shared" si="5"/>
        <v>0</v>
      </c>
      <c r="I149" s="71"/>
      <c r="J149" s="69">
        <f t="shared" si="6"/>
        <v>0</v>
      </c>
    </row>
    <row r="150" ht="3" customHeight="1" spans="1:10">
      <c r="A150" s="68"/>
      <c r="B150" s="69"/>
      <c r="C150" s="70"/>
      <c r="D150" s="71">
        <f>'3-2-26'!I150</f>
        <v>0</v>
      </c>
      <c r="E150" s="69"/>
      <c r="F150" s="69"/>
      <c r="G150" s="69"/>
      <c r="H150" s="71">
        <f t="shared" si="5"/>
        <v>0</v>
      </c>
      <c r="I150" s="71"/>
      <c r="J150" s="69">
        <f t="shared" si="6"/>
        <v>0</v>
      </c>
    </row>
    <row r="151" ht="3" customHeight="1" spans="1:10">
      <c r="A151" s="68"/>
      <c r="B151" s="69"/>
      <c r="C151" s="70"/>
      <c r="D151" s="71">
        <f>'3-2-26'!I151</f>
        <v>0</v>
      </c>
      <c r="E151" s="69"/>
      <c r="F151" s="69"/>
      <c r="G151" s="69"/>
      <c r="H151" s="71">
        <f t="shared" si="5"/>
        <v>0</v>
      </c>
      <c r="I151" s="71"/>
      <c r="J151" s="69">
        <f t="shared" si="6"/>
        <v>0</v>
      </c>
    </row>
    <row r="152" ht="3" customHeight="1" spans="1:10">
      <c r="A152" s="68"/>
      <c r="B152" s="69"/>
      <c r="C152" s="70"/>
      <c r="D152" s="71">
        <f>'3-2-26'!I152</f>
        <v>0</v>
      </c>
      <c r="E152" s="69"/>
      <c r="F152" s="69"/>
      <c r="G152" s="69"/>
      <c r="H152" s="71">
        <f t="shared" si="5"/>
        <v>0</v>
      </c>
      <c r="I152" s="71"/>
      <c r="J152" s="69">
        <f t="shared" si="6"/>
        <v>0</v>
      </c>
    </row>
    <row r="153" ht="3" customHeight="1" spans="1:10">
      <c r="A153" s="68"/>
      <c r="B153" s="69"/>
      <c r="C153" s="70"/>
      <c r="D153" s="71">
        <f>'3-2-26'!I153</f>
        <v>0</v>
      </c>
      <c r="E153" s="69"/>
      <c r="F153" s="69"/>
      <c r="G153" s="69"/>
      <c r="H153" s="71">
        <f t="shared" ref="H153:H186" si="7">SUM(F153:G153)</f>
        <v>0</v>
      </c>
      <c r="I153" s="71"/>
      <c r="J153" s="69">
        <f t="shared" si="6"/>
        <v>0</v>
      </c>
    </row>
    <row r="154" ht="3" customHeight="1" spans="1:10">
      <c r="A154" s="68"/>
      <c r="B154" s="69"/>
      <c r="C154" s="70"/>
      <c r="D154" s="71">
        <f>'3-2-26'!I154</f>
        <v>0</v>
      </c>
      <c r="E154" s="69"/>
      <c r="F154" s="69"/>
      <c r="G154" s="69"/>
      <c r="H154" s="71">
        <f t="shared" si="7"/>
        <v>0</v>
      </c>
      <c r="I154" s="71"/>
      <c r="J154" s="69">
        <f t="shared" si="6"/>
        <v>0</v>
      </c>
    </row>
    <row r="155" ht="3" customHeight="1" spans="1:10">
      <c r="A155" s="68"/>
      <c r="B155" s="69"/>
      <c r="C155" s="70"/>
      <c r="D155" s="71">
        <f>'3-2-26'!I155</f>
        <v>0</v>
      </c>
      <c r="E155" s="69"/>
      <c r="F155" s="69"/>
      <c r="G155" s="69"/>
      <c r="H155" s="71">
        <f t="shared" si="7"/>
        <v>0</v>
      </c>
      <c r="I155" s="71"/>
      <c r="J155" s="69">
        <f t="shared" si="6"/>
        <v>0</v>
      </c>
    </row>
    <row r="156" ht="3" customHeight="1" spans="1:10">
      <c r="A156" s="68"/>
      <c r="B156" s="69"/>
      <c r="C156" s="70"/>
      <c r="D156" s="71">
        <f>'3-2-26'!I156</f>
        <v>0</v>
      </c>
      <c r="E156" s="69"/>
      <c r="F156" s="69"/>
      <c r="G156" s="69"/>
      <c r="H156" s="71">
        <f t="shared" si="7"/>
        <v>0</v>
      </c>
      <c r="I156" s="71"/>
      <c r="J156" s="69">
        <f t="shared" si="6"/>
        <v>0</v>
      </c>
    </row>
    <row r="157" ht="3" customHeight="1" spans="1:10">
      <c r="A157" s="68"/>
      <c r="B157" s="69"/>
      <c r="C157" s="70"/>
      <c r="D157" s="71">
        <f>'3-2-26'!I157</f>
        <v>0</v>
      </c>
      <c r="E157" s="69"/>
      <c r="F157" s="69"/>
      <c r="G157" s="69"/>
      <c r="H157" s="71">
        <f t="shared" si="7"/>
        <v>0</v>
      </c>
      <c r="I157" s="71"/>
      <c r="J157" s="69">
        <f t="shared" si="6"/>
        <v>0</v>
      </c>
    </row>
    <row r="158" ht="3" customHeight="1" spans="1:10">
      <c r="A158" s="68"/>
      <c r="B158" s="69"/>
      <c r="C158" s="70"/>
      <c r="D158" s="71">
        <f>'3-2-26'!I158</f>
        <v>0</v>
      </c>
      <c r="E158" s="69"/>
      <c r="F158" s="69"/>
      <c r="G158" s="69"/>
      <c r="H158" s="71">
        <f t="shared" si="7"/>
        <v>0</v>
      </c>
      <c r="I158" s="71"/>
      <c r="J158" s="69">
        <f t="shared" si="6"/>
        <v>0</v>
      </c>
    </row>
    <row r="159" ht="3" customHeight="1" spans="1:10">
      <c r="A159" s="68"/>
      <c r="B159" s="69"/>
      <c r="C159" s="70"/>
      <c r="D159" s="71">
        <f>'3-2-26'!I159</f>
        <v>0</v>
      </c>
      <c r="E159" s="69"/>
      <c r="F159" s="69"/>
      <c r="G159" s="69"/>
      <c r="H159" s="71">
        <f t="shared" si="7"/>
        <v>0</v>
      </c>
      <c r="I159" s="71"/>
      <c r="J159" s="69">
        <f t="shared" si="6"/>
        <v>0</v>
      </c>
    </row>
    <row r="160" ht="3" customHeight="1" spans="1:10">
      <c r="A160" s="68"/>
      <c r="B160" s="69"/>
      <c r="C160" s="70"/>
      <c r="D160" s="71">
        <f>'3-2-26'!I160</f>
        <v>0</v>
      </c>
      <c r="E160" s="69"/>
      <c r="F160" s="69"/>
      <c r="G160" s="69"/>
      <c r="H160" s="71">
        <f t="shared" si="7"/>
        <v>0</v>
      </c>
      <c r="I160" s="71"/>
      <c r="J160" s="69">
        <f t="shared" si="6"/>
        <v>0</v>
      </c>
    </row>
    <row r="161" ht="3" customHeight="1" spans="1:10">
      <c r="A161" s="68"/>
      <c r="B161" s="69"/>
      <c r="C161" s="70"/>
      <c r="D161" s="71">
        <f>'3-2-26'!I161</f>
        <v>0</v>
      </c>
      <c r="E161" s="69"/>
      <c r="F161" s="69"/>
      <c r="G161" s="69"/>
      <c r="H161" s="71">
        <f t="shared" si="7"/>
        <v>0</v>
      </c>
      <c r="I161" s="71"/>
      <c r="J161" s="69">
        <f t="shared" si="6"/>
        <v>0</v>
      </c>
    </row>
    <row r="162" ht="3" customHeight="1" spans="1:10">
      <c r="A162" s="68"/>
      <c r="B162" s="69"/>
      <c r="C162" s="70"/>
      <c r="D162" s="71">
        <f>'3-2-26'!I162</f>
        <v>0</v>
      </c>
      <c r="E162" s="69"/>
      <c r="F162" s="69"/>
      <c r="G162" s="69"/>
      <c r="H162" s="71">
        <f t="shared" si="7"/>
        <v>0</v>
      </c>
      <c r="I162" s="71"/>
      <c r="J162" s="69">
        <f t="shared" si="6"/>
        <v>0</v>
      </c>
    </row>
    <row r="163" ht="3" customHeight="1" spans="1:10">
      <c r="A163" s="68"/>
      <c r="B163" s="69"/>
      <c r="C163" s="70"/>
      <c r="D163" s="71">
        <f>'3-2-26'!I163</f>
        <v>0</v>
      </c>
      <c r="E163" s="69"/>
      <c r="F163" s="69"/>
      <c r="G163" s="69"/>
      <c r="H163" s="71">
        <f t="shared" si="7"/>
        <v>0</v>
      </c>
      <c r="I163" s="71"/>
      <c r="J163" s="69">
        <f t="shared" si="6"/>
        <v>0</v>
      </c>
    </row>
    <row r="164" ht="3" customHeight="1" spans="1:10">
      <c r="A164" s="68"/>
      <c r="B164" s="69"/>
      <c r="C164" s="70"/>
      <c r="D164" s="71">
        <f>'3-2-26'!I164</f>
        <v>0</v>
      </c>
      <c r="E164" s="69"/>
      <c r="F164" s="69"/>
      <c r="G164" s="69"/>
      <c r="H164" s="71">
        <f t="shared" si="7"/>
        <v>0</v>
      </c>
      <c r="I164" s="71"/>
      <c r="J164" s="69">
        <f t="shared" si="6"/>
        <v>0</v>
      </c>
    </row>
    <row r="165" ht="3" customHeight="1" spans="1:10">
      <c r="A165" s="68"/>
      <c r="B165" s="69"/>
      <c r="C165" s="70"/>
      <c r="D165" s="71">
        <f>'3-2-26'!I165</f>
        <v>0</v>
      </c>
      <c r="E165" s="69"/>
      <c r="F165" s="69"/>
      <c r="G165" s="69"/>
      <c r="H165" s="71">
        <f t="shared" si="7"/>
        <v>0</v>
      </c>
      <c r="I165" s="71"/>
      <c r="J165" s="69">
        <f t="shared" si="6"/>
        <v>0</v>
      </c>
    </row>
    <row r="166" ht="3" customHeight="1" spans="1:10">
      <c r="A166" s="68"/>
      <c r="B166" s="69"/>
      <c r="C166" s="70"/>
      <c r="D166" s="71">
        <f>'3-2-26'!I166</f>
        <v>0</v>
      </c>
      <c r="E166" s="69"/>
      <c r="F166" s="69"/>
      <c r="G166" s="69"/>
      <c r="H166" s="71">
        <f t="shared" si="7"/>
        <v>0</v>
      </c>
      <c r="I166" s="71"/>
      <c r="J166" s="69">
        <f t="shared" si="6"/>
        <v>0</v>
      </c>
    </row>
    <row r="167" ht="3" customHeight="1" spans="1:10">
      <c r="A167" s="68"/>
      <c r="B167" s="69"/>
      <c r="C167" s="70"/>
      <c r="D167" s="71">
        <f>'3-2-26'!I167</f>
        <v>0</v>
      </c>
      <c r="E167" s="69"/>
      <c r="F167" s="69"/>
      <c r="G167" s="69"/>
      <c r="H167" s="71">
        <f t="shared" si="7"/>
        <v>0</v>
      </c>
      <c r="I167" s="71"/>
      <c r="J167" s="69">
        <f t="shared" si="6"/>
        <v>0</v>
      </c>
    </row>
    <row r="168" ht="3" customHeight="1" spans="1:10">
      <c r="A168" s="68"/>
      <c r="B168" s="69"/>
      <c r="C168" s="70"/>
      <c r="D168" s="71">
        <f>'3-2-26'!I168</f>
        <v>0</v>
      </c>
      <c r="E168" s="69"/>
      <c r="F168" s="69"/>
      <c r="G168" s="69"/>
      <c r="H168" s="71">
        <f t="shared" si="7"/>
        <v>0</v>
      </c>
      <c r="I168" s="71"/>
      <c r="J168" s="69">
        <f t="shared" si="6"/>
        <v>0</v>
      </c>
    </row>
    <row r="169" ht="3" customHeight="1" spans="1:10">
      <c r="A169" s="68"/>
      <c r="B169" s="69"/>
      <c r="C169" s="70"/>
      <c r="D169" s="71">
        <f>'3-2-26'!I169</f>
        <v>0</v>
      </c>
      <c r="E169" s="69"/>
      <c r="F169" s="69"/>
      <c r="G169" s="69"/>
      <c r="H169" s="71">
        <f t="shared" si="7"/>
        <v>0</v>
      </c>
      <c r="I169" s="71"/>
      <c r="J169" s="69">
        <f t="shared" si="6"/>
        <v>0</v>
      </c>
    </row>
    <row r="170" ht="3" customHeight="1" spans="1:10">
      <c r="A170" s="68"/>
      <c r="B170" s="69"/>
      <c r="C170" s="70"/>
      <c r="D170" s="71">
        <f>'3-2-26'!I170</f>
        <v>0</v>
      </c>
      <c r="E170" s="69"/>
      <c r="F170" s="69"/>
      <c r="G170" s="69"/>
      <c r="H170" s="71">
        <f t="shared" si="7"/>
        <v>0</v>
      </c>
      <c r="I170" s="71"/>
      <c r="J170" s="69">
        <f t="shared" si="6"/>
        <v>0</v>
      </c>
    </row>
    <row r="171" ht="3" customHeight="1" spans="1:10">
      <c r="A171" s="68"/>
      <c r="B171" s="69"/>
      <c r="C171" s="70"/>
      <c r="D171" s="71">
        <f>'3-2-26'!I171</f>
        <v>0</v>
      </c>
      <c r="E171" s="69"/>
      <c r="F171" s="69"/>
      <c r="G171" s="69"/>
      <c r="H171" s="71">
        <f t="shared" si="7"/>
        <v>0</v>
      </c>
      <c r="I171" s="71"/>
      <c r="J171" s="69">
        <f t="shared" si="6"/>
        <v>0</v>
      </c>
    </row>
    <row r="172" ht="3" customHeight="1" spans="1:10">
      <c r="A172" s="68"/>
      <c r="B172" s="69"/>
      <c r="C172" s="70"/>
      <c r="D172" s="71">
        <f>'3-2-26'!I172</f>
        <v>0</v>
      </c>
      <c r="E172" s="69"/>
      <c r="F172" s="69"/>
      <c r="G172" s="69"/>
      <c r="H172" s="71">
        <f t="shared" si="7"/>
        <v>0</v>
      </c>
      <c r="I172" s="71"/>
      <c r="J172" s="69">
        <f t="shared" si="6"/>
        <v>0</v>
      </c>
    </row>
    <row r="173" ht="3" customHeight="1" spans="1:10">
      <c r="A173" s="68"/>
      <c r="B173" s="69"/>
      <c r="C173" s="70"/>
      <c r="D173" s="71">
        <f>'3-2-26'!I173</f>
        <v>0</v>
      </c>
      <c r="E173" s="69"/>
      <c r="F173" s="69"/>
      <c r="G173" s="69"/>
      <c r="H173" s="71">
        <f t="shared" si="7"/>
        <v>0</v>
      </c>
      <c r="I173" s="71"/>
      <c r="J173" s="69">
        <f t="shared" si="6"/>
        <v>0</v>
      </c>
    </row>
    <row r="174" ht="3" customHeight="1" spans="1:10">
      <c r="A174" s="68"/>
      <c r="B174" s="69"/>
      <c r="C174" s="70"/>
      <c r="D174" s="71">
        <f>'3-2-26'!I174</f>
        <v>0</v>
      </c>
      <c r="E174" s="69"/>
      <c r="F174" s="69"/>
      <c r="G174" s="69"/>
      <c r="H174" s="71">
        <f t="shared" si="7"/>
        <v>0</v>
      </c>
      <c r="I174" s="71"/>
      <c r="J174" s="69">
        <f t="shared" si="6"/>
        <v>0</v>
      </c>
    </row>
    <row r="175" ht="3" customHeight="1" spans="1:10">
      <c r="A175" s="68"/>
      <c r="B175" s="69"/>
      <c r="C175" s="70"/>
      <c r="D175" s="71">
        <f>'3-2-26'!I175</f>
        <v>0</v>
      </c>
      <c r="E175" s="69"/>
      <c r="F175" s="69"/>
      <c r="G175" s="69"/>
      <c r="H175" s="71">
        <f t="shared" si="7"/>
        <v>0</v>
      </c>
      <c r="I175" s="71"/>
      <c r="J175" s="69">
        <f t="shared" si="6"/>
        <v>0</v>
      </c>
    </row>
    <row r="176" ht="3" customHeight="1" spans="1:10">
      <c r="A176" s="68"/>
      <c r="B176" s="69"/>
      <c r="C176" s="70"/>
      <c r="D176" s="71">
        <f>'3-2-26'!I176</f>
        <v>0</v>
      </c>
      <c r="E176" s="69"/>
      <c r="F176" s="69"/>
      <c r="G176" s="69"/>
      <c r="H176" s="71">
        <f t="shared" si="7"/>
        <v>0</v>
      </c>
      <c r="I176" s="71"/>
      <c r="J176" s="69">
        <f t="shared" si="6"/>
        <v>0</v>
      </c>
    </row>
    <row r="177" ht="3" customHeight="1" spans="1:11">
      <c r="A177" s="68"/>
      <c r="B177" s="69"/>
      <c r="C177" s="70"/>
      <c r="D177" s="71">
        <f>'3-2-26'!I177</f>
        <v>0</v>
      </c>
      <c r="E177" s="69"/>
      <c r="F177" s="69"/>
      <c r="G177" s="69"/>
      <c r="H177" s="71">
        <f t="shared" si="7"/>
        <v>0</v>
      </c>
      <c r="I177" s="71"/>
      <c r="J177" s="69">
        <f t="shared" si="6"/>
        <v>0</v>
      </c>
    </row>
    <row r="178" ht="3" customHeight="1" spans="1:11">
      <c r="A178" s="68"/>
      <c r="B178" s="69"/>
      <c r="C178" s="70"/>
      <c r="D178" s="71">
        <f>'3-2-26'!I178</f>
        <v>0</v>
      </c>
      <c r="E178" s="69"/>
      <c r="F178" s="69"/>
      <c r="G178" s="69"/>
      <c r="H178" s="71">
        <f t="shared" si="7"/>
        <v>0</v>
      </c>
      <c r="I178" s="71"/>
      <c r="J178" s="69">
        <f t="shared" si="6"/>
        <v>0</v>
      </c>
    </row>
    <row r="179" ht="3" customHeight="1" spans="1:11">
      <c r="A179" s="68"/>
      <c r="B179" s="69"/>
      <c r="C179" s="70"/>
      <c r="D179" s="71">
        <f>'3-2-26'!I179</f>
        <v>0</v>
      </c>
      <c r="E179" s="69"/>
      <c r="F179" s="69"/>
      <c r="G179" s="69"/>
      <c r="H179" s="71">
        <f t="shared" si="7"/>
        <v>0</v>
      </c>
      <c r="I179" s="71"/>
      <c r="J179" s="69">
        <f t="shared" si="6"/>
        <v>0</v>
      </c>
    </row>
    <row r="180" ht="3" customHeight="1" spans="1:11">
      <c r="A180" s="68"/>
      <c r="B180" s="69"/>
      <c r="C180" s="70"/>
      <c r="D180" s="71">
        <f>'3-2-26'!I180</f>
        <v>0</v>
      </c>
      <c r="E180" s="69"/>
      <c r="F180" s="69"/>
      <c r="G180" s="69"/>
      <c r="H180" s="71">
        <f t="shared" si="7"/>
        <v>0</v>
      </c>
      <c r="I180" s="71"/>
      <c r="J180" s="69">
        <f t="shared" si="6"/>
        <v>0</v>
      </c>
    </row>
    <row r="181" ht="3" customHeight="1" spans="1:11">
      <c r="A181" s="68"/>
      <c r="B181" s="69"/>
      <c r="C181" s="70"/>
      <c r="D181" s="71">
        <f>'3-2-26'!I181</f>
        <v>0</v>
      </c>
      <c r="E181" s="69"/>
      <c r="F181" s="69"/>
      <c r="G181" s="69"/>
      <c r="H181" s="71">
        <f t="shared" si="7"/>
        <v>0</v>
      </c>
      <c r="I181" s="71"/>
      <c r="J181" s="69">
        <f t="shared" si="6"/>
        <v>0</v>
      </c>
    </row>
    <row r="182" ht="12.75" customHeight="1" spans="1:11">
      <c r="A182" s="68"/>
      <c r="B182" s="69"/>
      <c r="C182" s="70"/>
      <c r="D182" s="71">
        <f>'3-2-26'!I182</f>
        <v>0</v>
      </c>
      <c r="E182" s="69"/>
      <c r="F182" s="69"/>
      <c r="G182" s="69"/>
      <c r="H182" s="71">
        <f t="shared" si="7"/>
        <v>0</v>
      </c>
      <c r="I182" s="71"/>
      <c r="J182" s="69">
        <f t="shared" si="6"/>
        <v>0</v>
      </c>
    </row>
    <row r="183" ht="12.75" customHeight="1" spans="1:11">
      <c r="A183" s="68"/>
      <c r="B183" s="69"/>
      <c r="C183" s="70"/>
      <c r="D183" s="71">
        <f>'3-2-26'!I183</f>
        <v>0</v>
      </c>
      <c r="E183" s="69"/>
      <c r="F183" s="69"/>
      <c r="G183" s="69"/>
      <c r="H183" s="71">
        <f t="shared" si="7"/>
        <v>0</v>
      </c>
      <c r="I183" s="71"/>
      <c r="J183" s="69">
        <f t="shared" si="6"/>
        <v>0</v>
      </c>
    </row>
    <row r="184" ht="12.75" customHeight="1" spans="1:11">
      <c r="A184" s="68"/>
      <c r="B184" s="69"/>
      <c r="C184" s="70"/>
      <c r="D184" s="71">
        <f>'3-2-26'!I184</f>
        <v>0</v>
      </c>
      <c r="E184" s="69"/>
      <c r="F184" s="69"/>
      <c r="G184" s="69"/>
      <c r="H184" s="71">
        <f t="shared" si="7"/>
        <v>0</v>
      </c>
      <c r="I184" s="71"/>
      <c r="J184" s="69">
        <f t="shared" si="6"/>
        <v>0</v>
      </c>
    </row>
    <row r="185" ht="12.75" customHeight="1" spans="1:11">
      <c r="A185" s="68"/>
      <c r="B185" s="69"/>
      <c r="C185" s="70"/>
      <c r="D185" s="71">
        <f>'3-2-26'!I185</f>
        <v>0</v>
      </c>
      <c r="E185" s="69"/>
      <c r="F185" s="69"/>
      <c r="G185" s="69"/>
      <c r="H185" s="71">
        <f t="shared" si="7"/>
        <v>0</v>
      </c>
      <c r="I185" s="71"/>
      <c r="J185" s="69">
        <f t="shared" si="6"/>
        <v>0</v>
      </c>
    </row>
    <row r="186" ht="12.75" spans="1:11">
      <c r="A186" s="68"/>
      <c r="B186" s="69"/>
      <c r="C186" s="74"/>
      <c r="D186" s="71">
        <f>'3-2-26'!I186</f>
        <v>0</v>
      </c>
      <c r="E186" s="69"/>
      <c r="F186" s="69"/>
      <c r="G186" s="69"/>
      <c r="H186" s="71">
        <f t="shared" si="7"/>
        <v>0</v>
      </c>
      <c r="I186" s="71">
        <f t="shared" si="1"/>
        <v>0</v>
      </c>
      <c r="J186" s="69">
        <f t="shared" si="6"/>
        <v>0</v>
      </c>
    </row>
    <row r="187" ht="11.25" spans="1:11">
      <c r="A187" s="75"/>
      <c r="B187" s="76" t="s">
        <v>124</v>
      </c>
      <c r="C187" s="77"/>
      <c r="D187" s="78">
        <f>SUM(D9:D186)</f>
        <v>368442000</v>
      </c>
      <c r="E187" s="78">
        <f t="shared" ref="E187:J187" si="8">SUM(E9:E186)</f>
        <v>10</v>
      </c>
      <c r="F187" s="78">
        <f t="shared" si="8"/>
        <v>1750000</v>
      </c>
      <c r="G187" s="78">
        <f t="shared" si="8"/>
        <v>2900000</v>
      </c>
      <c r="H187" s="78">
        <f t="shared" si="8"/>
        <v>4650000</v>
      </c>
      <c r="I187" s="78">
        <f t="shared" si="8"/>
        <v>366692000</v>
      </c>
      <c r="J187" s="78">
        <f t="shared" si="8"/>
        <v>290000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2900000</v>
      </c>
      <c r="F190" s="129" t="s">
        <v>155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145000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1595000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72500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72500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72500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72500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290000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725000</v>
      </c>
    </row>
    <row r="200" customHeight="1" spans="1:11">
      <c r="B200" s="87" t="s">
        <v>124</v>
      </c>
      <c r="C200" s="88" t="s">
        <v>128</v>
      </c>
      <c r="D200" s="87">
        <f>SUM(D193:D199)</f>
        <v>2900000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2" top="0.75" bottom="2.25" header="0.3" footer="0.3"/>
  <pageSetup paperSize="5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zoomScale="124" zoomScaleNormal="124" topLeftCell="A60" workbookViewId="0">
      <selection activeCell="K62" sqref="K62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5.14285714285714" style="45" customWidth="1"/>
    <col min="6" max="6" width="9.57142857142857" style="45" customWidth="1"/>
    <col min="7" max="7" width="9.85714285714286" style="45" customWidth="1"/>
    <col min="8" max="8" width="9.71428571428571" style="45" customWidth="1"/>
    <col min="9" max="9" width="10.8571428571429" style="45" customWidth="1"/>
    <col min="10" max="10" width="8.57142857142857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3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156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'13-2-26'!I9</f>
        <v>5500000</v>
      </c>
      <c r="E9" s="69"/>
      <c r="F9" s="69"/>
      <c r="G9" s="69"/>
      <c r="H9" s="71">
        <f t="shared" ref="H9:H72" si="0">SUM(F9:G9)</f>
        <v>0</v>
      </c>
      <c r="I9" s="71">
        <f>D9-F9</f>
        <v>5500000</v>
      </c>
      <c r="J9" s="69">
        <f t="shared" ref="J9:J72" si="1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'13-2-26'!I10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'13-2-26'!I11</f>
        <v>0</v>
      </c>
      <c r="E11" s="72"/>
      <c r="F11" s="71"/>
      <c r="G11" s="71"/>
      <c r="H11" s="71">
        <f t="shared" si="0"/>
        <v>0</v>
      </c>
      <c r="I11" s="71">
        <f t="shared" si="2"/>
        <v>0</v>
      </c>
      <c r="J11" s="69">
        <f t="shared" si="1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'13-2-26'!I12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'13-2-26'!I13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'13-2-26'!I14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'13-2-26'!I15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'13-2-26'!I16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'13-2-26'!I17</f>
        <v>6150000</v>
      </c>
      <c r="E17" s="69"/>
      <c r="F17" s="69"/>
      <c r="G17" s="69"/>
      <c r="H17" s="71">
        <f t="shared" si="0"/>
        <v>0</v>
      </c>
      <c r="I17" s="71">
        <f t="shared" si="2"/>
        <v>6150000</v>
      </c>
      <c r="J17" s="69">
        <f t="shared" si="1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'13-2-26'!I18</f>
        <v>12595000</v>
      </c>
      <c r="E18" s="69"/>
      <c r="F18" s="69"/>
      <c r="G18" s="69"/>
      <c r="H18" s="71">
        <f t="shared" si="0"/>
        <v>0</v>
      </c>
      <c r="I18" s="71">
        <f t="shared" si="2"/>
        <v>12595000</v>
      </c>
      <c r="J18" s="69">
        <f t="shared" si="1"/>
        <v>0</v>
      </c>
    </row>
    <row r="19" ht="12.75" spans="1:10">
      <c r="A19" s="68">
        <v>14</v>
      </c>
      <c r="B19" s="69" t="s">
        <v>35</v>
      </c>
      <c r="C19" s="128" t="s">
        <v>36</v>
      </c>
      <c r="D19" s="71">
        <f>'13-2-26'!I19</f>
        <v>3750000</v>
      </c>
      <c r="E19" s="69"/>
      <c r="F19" s="69"/>
      <c r="G19" s="69"/>
      <c r="H19" s="71">
        <f t="shared" si="0"/>
        <v>0</v>
      </c>
      <c r="I19" s="71">
        <f t="shared" si="2"/>
        <v>3750000</v>
      </c>
      <c r="J19" s="69">
        <f t="shared" si="1"/>
        <v>0</v>
      </c>
    </row>
    <row r="20" ht="12.75" spans="1:10">
      <c r="A20" s="68">
        <v>18</v>
      </c>
      <c r="B20" s="69" t="s">
        <v>37</v>
      </c>
      <c r="C20" s="128" t="s">
        <v>38</v>
      </c>
      <c r="D20" s="71">
        <f>'13-2-26'!I20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ht="12.75" spans="1:10">
      <c r="A21" s="68">
        <v>19</v>
      </c>
      <c r="B21" s="69" t="s">
        <v>39</v>
      </c>
      <c r="C21" s="128" t="s">
        <v>40</v>
      </c>
      <c r="D21" s="71">
        <f>'13-2-26'!I21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ht="12.75" spans="1:10">
      <c r="A22" s="68">
        <v>22</v>
      </c>
      <c r="B22" s="69" t="s">
        <v>41</v>
      </c>
      <c r="C22" s="128" t="s">
        <v>42</v>
      </c>
      <c r="D22" s="71">
        <f>'13-2-26'!I22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ht="12.75" spans="1:10">
      <c r="A23" s="68">
        <v>23</v>
      </c>
      <c r="B23" s="69" t="s">
        <v>43</v>
      </c>
      <c r="C23" s="128" t="s">
        <v>42</v>
      </c>
      <c r="D23" s="71">
        <f>'13-2-26'!I23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ht="12.75" spans="1:10">
      <c r="A24" s="68">
        <v>24</v>
      </c>
      <c r="B24" s="69" t="s">
        <v>44</v>
      </c>
      <c r="C24" s="128" t="s">
        <v>42</v>
      </c>
      <c r="D24" s="71">
        <f>'13-2-26'!I24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ht="12.75" spans="1:10">
      <c r="A25" s="68">
        <v>25</v>
      </c>
      <c r="B25" s="69" t="s">
        <v>45</v>
      </c>
      <c r="C25" s="128" t="s">
        <v>46</v>
      </c>
      <c r="D25" s="71">
        <f>'13-2-26'!I25</f>
        <v>22200000</v>
      </c>
      <c r="E25" s="69"/>
      <c r="F25" s="69"/>
      <c r="G25" s="69"/>
      <c r="H25" s="71">
        <f t="shared" si="0"/>
        <v>0</v>
      </c>
      <c r="I25" s="71">
        <f t="shared" si="2"/>
        <v>22200000</v>
      </c>
      <c r="J25" s="69">
        <f t="shared" si="1"/>
        <v>0</v>
      </c>
    </row>
    <row r="26" ht="12.75" spans="1:10">
      <c r="A26" s="68">
        <v>26</v>
      </c>
      <c r="B26" s="69" t="s">
        <v>47</v>
      </c>
      <c r="C26" s="128" t="s">
        <v>48</v>
      </c>
      <c r="D26" s="71">
        <f>'13-2-26'!I26</f>
        <v>3800000</v>
      </c>
      <c r="E26" s="69"/>
      <c r="F26" s="69"/>
      <c r="G26" s="69"/>
      <c r="H26" s="71">
        <f t="shared" si="0"/>
        <v>0</v>
      </c>
      <c r="I26" s="71">
        <f t="shared" si="2"/>
        <v>3800000</v>
      </c>
      <c r="J26" s="69">
        <f t="shared" si="1"/>
        <v>0</v>
      </c>
    </row>
    <row r="27" ht="12.75" spans="1:10">
      <c r="A27" s="68">
        <v>29</v>
      </c>
      <c r="B27" s="69" t="s">
        <v>49</v>
      </c>
      <c r="C27" s="128" t="s">
        <v>50</v>
      </c>
      <c r="D27" s="71">
        <f>'13-2-26'!I27</f>
        <v>1030000</v>
      </c>
      <c r="E27" s="69">
        <v>12</v>
      </c>
      <c r="F27" s="69">
        <v>270000</v>
      </c>
      <c r="G27" s="69">
        <v>80000</v>
      </c>
      <c r="H27" s="71">
        <f t="shared" si="0"/>
        <v>350000</v>
      </c>
      <c r="I27" s="71">
        <f t="shared" si="2"/>
        <v>760000</v>
      </c>
      <c r="J27" s="69">
        <f t="shared" si="1"/>
        <v>8000</v>
      </c>
    </row>
    <row r="28" ht="12.75" spans="1:10">
      <c r="A28" s="68">
        <v>30</v>
      </c>
      <c r="B28" s="69" t="s">
        <v>51</v>
      </c>
      <c r="C28" s="128" t="s">
        <v>52</v>
      </c>
      <c r="D28" s="71">
        <f>'13-2-26'!I28</f>
        <v>0</v>
      </c>
      <c r="E28" s="69"/>
      <c r="F28" s="69"/>
      <c r="G28" s="69"/>
      <c r="H28" s="71">
        <f t="shared" si="0"/>
        <v>0</v>
      </c>
      <c r="I28" s="71">
        <f t="shared" si="2"/>
        <v>0</v>
      </c>
      <c r="J28" s="69">
        <f t="shared" si="1"/>
        <v>0</v>
      </c>
    </row>
    <row r="29" ht="12.75" spans="1:10">
      <c r="A29" s="68">
        <v>31</v>
      </c>
      <c r="B29" s="69" t="s">
        <v>53</v>
      </c>
      <c r="C29" s="128" t="s">
        <v>54</v>
      </c>
      <c r="D29" s="71">
        <f>'13-2-26'!I29</f>
        <v>0</v>
      </c>
      <c r="E29" s="69"/>
      <c r="F29" s="69"/>
      <c r="G29" s="69"/>
      <c r="H29" s="71">
        <f t="shared" si="0"/>
        <v>0</v>
      </c>
      <c r="I29" s="71">
        <f t="shared" si="2"/>
        <v>0</v>
      </c>
      <c r="J29" s="69">
        <f t="shared" si="1"/>
        <v>0</v>
      </c>
    </row>
    <row r="30" ht="12.75" spans="1:10">
      <c r="A30" s="68">
        <v>33</v>
      </c>
      <c r="B30" s="69" t="s">
        <v>55</v>
      </c>
      <c r="C30" s="128" t="s">
        <v>56</v>
      </c>
      <c r="D30" s="71">
        <f>'13-2-26'!I30</f>
        <v>2750000</v>
      </c>
      <c r="E30" s="69"/>
      <c r="F30" s="69"/>
      <c r="G30" s="69"/>
      <c r="H30" s="71">
        <f t="shared" si="0"/>
        <v>0</v>
      </c>
      <c r="I30" s="71">
        <f t="shared" si="2"/>
        <v>2750000</v>
      </c>
      <c r="J30" s="69">
        <f t="shared" si="1"/>
        <v>0</v>
      </c>
    </row>
    <row r="31" ht="12.75" spans="1:10">
      <c r="A31" s="68">
        <v>34</v>
      </c>
      <c r="B31" s="69" t="s">
        <v>57</v>
      </c>
      <c r="C31" s="128" t="s">
        <v>58</v>
      </c>
      <c r="D31" s="71">
        <f>'13-2-26'!I31</f>
        <v>1250000</v>
      </c>
      <c r="E31" s="69">
        <v>16</v>
      </c>
      <c r="F31" s="69">
        <v>250000</v>
      </c>
      <c r="G31" s="69">
        <v>100000</v>
      </c>
      <c r="H31" s="71">
        <f t="shared" si="0"/>
        <v>350000</v>
      </c>
      <c r="I31" s="71">
        <f t="shared" si="2"/>
        <v>1000000</v>
      </c>
      <c r="J31" s="69">
        <f t="shared" si="1"/>
        <v>10000</v>
      </c>
    </row>
    <row r="32" ht="12.75" spans="1:10">
      <c r="A32" s="68">
        <v>35</v>
      </c>
      <c r="B32" s="69" t="s">
        <v>59</v>
      </c>
      <c r="C32" s="128" t="s">
        <v>58</v>
      </c>
      <c r="D32" s="71">
        <f>'13-2-26'!I32</f>
        <v>12000000</v>
      </c>
      <c r="E32" s="69"/>
      <c r="F32" s="69"/>
      <c r="G32" s="69"/>
      <c r="H32" s="71">
        <f t="shared" si="0"/>
        <v>0</v>
      </c>
      <c r="I32" s="71">
        <f t="shared" si="2"/>
        <v>12000000</v>
      </c>
      <c r="J32" s="69">
        <f t="shared" si="1"/>
        <v>0</v>
      </c>
    </row>
    <row r="33" ht="12.75" spans="1:10">
      <c r="A33" s="68">
        <v>41</v>
      </c>
      <c r="B33" s="69" t="s">
        <v>60</v>
      </c>
      <c r="C33" s="127" t="s">
        <v>61</v>
      </c>
      <c r="D33" s="71">
        <f>'13-2-26'!I33</f>
        <v>600000</v>
      </c>
      <c r="E33" s="69"/>
      <c r="F33" s="69"/>
      <c r="G33" s="69"/>
      <c r="H33" s="71">
        <f t="shared" si="0"/>
        <v>0</v>
      </c>
      <c r="I33" s="71">
        <f t="shared" si="2"/>
        <v>600000</v>
      </c>
      <c r="J33" s="69">
        <f t="shared" si="1"/>
        <v>0</v>
      </c>
    </row>
    <row r="34" ht="12.75" spans="1:10">
      <c r="A34" s="68">
        <v>43</v>
      </c>
      <c r="B34" s="69" t="s">
        <v>62</v>
      </c>
      <c r="C34" s="127" t="s">
        <v>63</v>
      </c>
      <c r="D34" s="71">
        <f>'13-2-26'!I34</f>
        <v>2800000</v>
      </c>
      <c r="E34" s="69"/>
      <c r="F34" s="69"/>
      <c r="G34" s="69"/>
      <c r="H34" s="71">
        <f t="shared" si="0"/>
        <v>0</v>
      </c>
      <c r="I34" s="71">
        <f t="shared" si="2"/>
        <v>2800000</v>
      </c>
      <c r="J34" s="69">
        <f t="shared" si="1"/>
        <v>0</v>
      </c>
    </row>
    <row r="35" ht="12.75" spans="1:10">
      <c r="A35" s="68">
        <v>44</v>
      </c>
      <c r="B35" s="69" t="s">
        <v>64</v>
      </c>
      <c r="C35" s="127" t="s">
        <v>63</v>
      </c>
      <c r="D35" s="71">
        <f>'13-2-26'!I35</f>
        <v>3500000</v>
      </c>
      <c r="E35" s="69"/>
      <c r="F35" s="69"/>
      <c r="G35" s="69"/>
      <c r="H35" s="71">
        <f t="shared" si="0"/>
        <v>0</v>
      </c>
      <c r="I35" s="71">
        <f t="shared" si="2"/>
        <v>3500000</v>
      </c>
      <c r="J35" s="69">
        <f t="shared" si="1"/>
        <v>0</v>
      </c>
    </row>
    <row r="36" ht="12.75" spans="1:10">
      <c r="A36" s="68">
        <v>47</v>
      </c>
      <c r="B36" s="69" t="s">
        <v>65</v>
      </c>
      <c r="C36" s="127" t="s">
        <v>66</v>
      </c>
      <c r="D36" s="71">
        <f>'13-2-26'!I36</f>
        <v>10600000</v>
      </c>
      <c r="E36" s="69">
        <v>22</v>
      </c>
      <c r="F36" s="69">
        <v>1400000</v>
      </c>
      <c r="G36" s="69">
        <v>800000</v>
      </c>
      <c r="H36" s="71">
        <f t="shared" si="0"/>
        <v>2200000</v>
      </c>
      <c r="I36" s="71">
        <f t="shared" si="2"/>
        <v>9200000</v>
      </c>
      <c r="J36" s="69">
        <f t="shared" si="1"/>
        <v>80000</v>
      </c>
    </row>
    <row r="37" ht="12.75" spans="1:10">
      <c r="A37" s="68">
        <v>49</v>
      </c>
      <c r="B37" s="69" t="s">
        <v>67</v>
      </c>
      <c r="C37" s="127" t="s">
        <v>68</v>
      </c>
      <c r="D37" s="71">
        <f>'13-2-26'!I37</f>
        <v>1250000</v>
      </c>
      <c r="E37" s="69"/>
      <c r="F37" s="69"/>
      <c r="G37" s="69"/>
      <c r="H37" s="71">
        <f t="shared" si="0"/>
        <v>0</v>
      </c>
      <c r="I37" s="71">
        <f t="shared" si="2"/>
        <v>1250000</v>
      </c>
      <c r="J37" s="69">
        <f t="shared" si="1"/>
        <v>0</v>
      </c>
    </row>
    <row r="38" ht="12.75" spans="1:10">
      <c r="A38" s="68">
        <v>52</v>
      </c>
      <c r="B38" s="69" t="s">
        <v>69</v>
      </c>
      <c r="C38" s="127" t="s">
        <v>70</v>
      </c>
      <c r="D38" s="71">
        <f>'13-2-26'!I38</f>
        <v>5800000</v>
      </c>
      <c r="E38" s="69"/>
      <c r="F38" s="69"/>
      <c r="G38" s="69"/>
      <c r="H38" s="71">
        <f t="shared" si="0"/>
        <v>0</v>
      </c>
      <c r="I38" s="71">
        <f t="shared" si="2"/>
        <v>5800000</v>
      </c>
      <c r="J38" s="69">
        <f t="shared" si="1"/>
        <v>0</v>
      </c>
    </row>
    <row r="39" ht="12.75" spans="1:10">
      <c r="A39" s="68">
        <v>60</v>
      </c>
      <c r="B39" s="69" t="s">
        <v>71</v>
      </c>
      <c r="C39" s="127" t="s">
        <v>72</v>
      </c>
      <c r="D39" s="71">
        <f>'13-2-26'!I39</f>
        <v>14320000</v>
      </c>
      <c r="E39" s="69"/>
      <c r="F39" s="69"/>
      <c r="G39" s="69"/>
      <c r="H39" s="71">
        <f t="shared" si="0"/>
        <v>0</v>
      </c>
      <c r="I39" s="71">
        <f t="shared" si="2"/>
        <v>14320000</v>
      </c>
      <c r="J39" s="69">
        <f t="shared" si="1"/>
        <v>0</v>
      </c>
    </row>
    <row r="40" ht="12.75" spans="1:10">
      <c r="A40" s="68">
        <v>62</v>
      </c>
      <c r="B40" s="69" t="s">
        <v>73</v>
      </c>
      <c r="C40" s="127" t="s">
        <v>74</v>
      </c>
      <c r="D40" s="71">
        <f>'13-2-26'!I40</f>
        <v>200000</v>
      </c>
      <c r="E40" s="69"/>
      <c r="F40" s="69"/>
      <c r="G40" s="69"/>
      <c r="H40" s="71">
        <f t="shared" si="0"/>
        <v>0</v>
      </c>
      <c r="I40" s="71">
        <f t="shared" si="2"/>
        <v>200000</v>
      </c>
      <c r="J40" s="69">
        <f t="shared" si="1"/>
        <v>0</v>
      </c>
    </row>
    <row r="41" ht="12.75" spans="1:10">
      <c r="A41" s="68">
        <v>64</v>
      </c>
      <c r="B41" s="69" t="s">
        <v>75</v>
      </c>
      <c r="C41" s="127" t="s">
        <v>76</v>
      </c>
      <c r="D41" s="71">
        <f>'13-2-26'!I41</f>
        <v>1800000</v>
      </c>
      <c r="E41" s="69"/>
      <c r="F41" s="69"/>
      <c r="G41" s="69"/>
      <c r="H41" s="71">
        <f t="shared" si="0"/>
        <v>0</v>
      </c>
      <c r="I41" s="71">
        <f t="shared" si="2"/>
        <v>1800000</v>
      </c>
      <c r="J41" s="69">
        <f t="shared" si="1"/>
        <v>0</v>
      </c>
    </row>
    <row r="42" ht="12.75" spans="1:10">
      <c r="A42" s="68">
        <v>65</v>
      </c>
      <c r="B42" s="69" t="s">
        <v>77</v>
      </c>
      <c r="C42" s="127" t="s">
        <v>78</v>
      </c>
      <c r="D42" s="71">
        <f>'13-2-26'!I42</f>
        <v>1200000</v>
      </c>
      <c r="E42" s="69"/>
      <c r="F42" s="69"/>
      <c r="G42" s="69"/>
      <c r="H42" s="71">
        <f t="shared" si="0"/>
        <v>0</v>
      </c>
      <c r="I42" s="71">
        <f t="shared" si="2"/>
        <v>1200000</v>
      </c>
      <c r="J42" s="69">
        <f t="shared" si="1"/>
        <v>0</v>
      </c>
    </row>
    <row r="43" ht="12.75" spans="1:10">
      <c r="A43" s="68">
        <v>69</v>
      </c>
      <c r="B43" s="69" t="s">
        <v>79</v>
      </c>
      <c r="C43" s="127" t="s">
        <v>80</v>
      </c>
      <c r="D43" s="71">
        <f>'13-2-26'!I43</f>
        <v>5250000</v>
      </c>
      <c r="E43" s="69"/>
      <c r="F43" s="69"/>
      <c r="G43" s="69"/>
      <c r="H43" s="71">
        <f t="shared" si="0"/>
        <v>0</v>
      </c>
      <c r="I43" s="71">
        <f t="shared" si="2"/>
        <v>5250000</v>
      </c>
      <c r="J43" s="69">
        <f t="shared" si="1"/>
        <v>0</v>
      </c>
    </row>
    <row r="44" ht="12.75" spans="1:10">
      <c r="A44" s="68">
        <v>70</v>
      </c>
      <c r="B44" s="69" t="s">
        <v>81</v>
      </c>
      <c r="C44" s="127" t="s">
        <v>82</v>
      </c>
      <c r="D44" s="71">
        <f>'13-2-26'!I44</f>
        <v>10320000</v>
      </c>
      <c r="E44" s="69"/>
      <c r="F44" s="69"/>
      <c r="G44" s="69"/>
      <c r="H44" s="71">
        <f t="shared" si="0"/>
        <v>0</v>
      </c>
      <c r="I44" s="71">
        <f t="shared" si="2"/>
        <v>10320000</v>
      </c>
      <c r="J44" s="69">
        <f t="shared" si="1"/>
        <v>0</v>
      </c>
    </row>
    <row r="45" ht="12.75" spans="1:10">
      <c r="A45" s="68">
        <v>71</v>
      </c>
      <c r="B45" s="69" t="s">
        <v>83</v>
      </c>
      <c r="C45" s="70" t="s">
        <v>84</v>
      </c>
      <c r="D45" s="71">
        <f>'13-2-26'!I45</f>
        <v>10875000</v>
      </c>
      <c r="E45" s="69"/>
      <c r="F45" s="69"/>
      <c r="G45" s="69"/>
      <c r="H45" s="71">
        <f t="shared" si="0"/>
        <v>0</v>
      </c>
      <c r="I45" s="71">
        <f t="shared" si="2"/>
        <v>10875000</v>
      </c>
      <c r="J45" s="69">
        <f t="shared" si="1"/>
        <v>0</v>
      </c>
    </row>
    <row r="46" ht="12.75" spans="1:10">
      <c r="A46" s="68">
        <v>73</v>
      </c>
      <c r="B46" s="69" t="s">
        <v>85</v>
      </c>
      <c r="C46" s="127" t="s">
        <v>86</v>
      </c>
      <c r="D46" s="71">
        <f>'13-2-26'!I46</f>
        <v>450000</v>
      </c>
      <c r="E46" s="69"/>
      <c r="F46" s="69"/>
      <c r="G46" s="69"/>
      <c r="H46" s="71">
        <f t="shared" si="0"/>
        <v>0</v>
      </c>
      <c r="I46" s="71">
        <f t="shared" si="2"/>
        <v>450000</v>
      </c>
      <c r="J46" s="69">
        <f t="shared" si="1"/>
        <v>0</v>
      </c>
    </row>
    <row r="47" ht="12.75" spans="1:10">
      <c r="A47" s="68">
        <v>76</v>
      </c>
      <c r="B47" s="69" t="s">
        <v>87</v>
      </c>
      <c r="C47" s="127" t="s">
        <v>88</v>
      </c>
      <c r="D47" s="71">
        <f>'13-2-26'!I47</f>
        <v>9600000</v>
      </c>
      <c r="E47" s="69"/>
      <c r="F47" s="69"/>
      <c r="G47" s="69"/>
      <c r="H47" s="71">
        <f t="shared" si="0"/>
        <v>0</v>
      </c>
      <c r="I47" s="71">
        <f t="shared" si="2"/>
        <v>9600000</v>
      </c>
      <c r="J47" s="69">
        <f t="shared" si="1"/>
        <v>0</v>
      </c>
    </row>
    <row r="48" ht="12.75" spans="1:10">
      <c r="A48" s="68">
        <v>77</v>
      </c>
      <c r="B48" s="69" t="s">
        <v>89</v>
      </c>
      <c r="C48" s="127" t="s">
        <v>88</v>
      </c>
      <c r="D48" s="71">
        <f>'13-2-26'!I48</f>
        <v>1200000</v>
      </c>
      <c r="E48" s="69">
        <v>10</v>
      </c>
      <c r="F48" s="69">
        <v>200000</v>
      </c>
      <c r="G48" s="69">
        <v>60000</v>
      </c>
      <c r="H48" s="71">
        <f t="shared" si="0"/>
        <v>260000</v>
      </c>
      <c r="I48" s="71">
        <f t="shared" si="2"/>
        <v>1000000</v>
      </c>
      <c r="J48" s="69">
        <f t="shared" si="1"/>
        <v>6000</v>
      </c>
    </row>
    <row r="49" ht="12.75" spans="1:10">
      <c r="A49" s="68">
        <v>80</v>
      </c>
      <c r="B49" s="69" t="s">
        <v>90</v>
      </c>
      <c r="C49" s="127" t="s">
        <v>91</v>
      </c>
      <c r="D49" s="71">
        <f>'13-2-26'!I49</f>
        <v>9900000</v>
      </c>
      <c r="E49" s="69">
        <v>8</v>
      </c>
      <c r="F49" s="69">
        <v>300000</v>
      </c>
      <c r="G49" s="69">
        <v>240000</v>
      </c>
      <c r="H49" s="71">
        <f t="shared" si="0"/>
        <v>540000</v>
      </c>
      <c r="I49" s="71">
        <f t="shared" si="2"/>
        <v>9600000</v>
      </c>
      <c r="J49" s="69">
        <f t="shared" si="1"/>
        <v>24000</v>
      </c>
    </row>
    <row r="50" ht="12.75" spans="1:10">
      <c r="A50" s="68">
        <v>82</v>
      </c>
      <c r="B50" s="69" t="s">
        <v>92</v>
      </c>
      <c r="C50" s="127" t="s">
        <v>93</v>
      </c>
      <c r="D50" s="71">
        <f>'13-2-26'!I50</f>
        <v>0</v>
      </c>
      <c r="E50" s="69"/>
      <c r="F50" s="69"/>
      <c r="G50" s="69"/>
      <c r="H50" s="71">
        <f t="shared" si="0"/>
        <v>0</v>
      </c>
      <c r="I50" s="71">
        <f t="shared" si="2"/>
        <v>0</v>
      </c>
      <c r="J50" s="69">
        <f t="shared" si="1"/>
        <v>0</v>
      </c>
    </row>
    <row r="51" ht="12.75" spans="1:10">
      <c r="A51" s="68">
        <v>86</v>
      </c>
      <c r="B51" s="69" t="s">
        <v>94</v>
      </c>
      <c r="C51" s="70" t="s">
        <v>95</v>
      </c>
      <c r="D51" s="71">
        <f>'13-2-26'!I51</f>
        <v>16400000</v>
      </c>
      <c r="E51" s="69"/>
      <c r="F51" s="69"/>
      <c r="G51" s="69"/>
      <c r="H51" s="71">
        <f t="shared" si="0"/>
        <v>0</v>
      </c>
      <c r="I51" s="71">
        <f t="shared" si="2"/>
        <v>16400000</v>
      </c>
      <c r="J51" s="69">
        <f t="shared" si="1"/>
        <v>0</v>
      </c>
    </row>
    <row r="52" ht="12.75" spans="1:10">
      <c r="A52" s="68">
        <v>87</v>
      </c>
      <c r="B52" s="69" t="s">
        <v>96</v>
      </c>
      <c r="C52" s="70" t="s">
        <v>97</v>
      </c>
      <c r="D52" s="71">
        <f>'13-2-26'!I52</f>
        <v>25000000</v>
      </c>
      <c r="E52" s="69"/>
      <c r="F52" s="69"/>
      <c r="G52" s="69"/>
      <c r="H52" s="71">
        <f t="shared" si="0"/>
        <v>0</v>
      </c>
      <c r="I52" s="71">
        <f t="shared" si="2"/>
        <v>25000000</v>
      </c>
      <c r="J52" s="69">
        <f t="shared" si="1"/>
        <v>0</v>
      </c>
    </row>
    <row r="53" ht="12.75" spans="1:10">
      <c r="A53" s="68">
        <v>89</v>
      </c>
      <c r="B53" s="69" t="s">
        <v>98</v>
      </c>
      <c r="C53" s="127" t="s">
        <v>99</v>
      </c>
      <c r="D53" s="71">
        <f>'13-2-26'!I53</f>
        <v>100000</v>
      </c>
      <c r="E53" s="69"/>
      <c r="F53" s="69"/>
      <c r="G53" s="69"/>
      <c r="H53" s="71">
        <f t="shared" si="0"/>
        <v>0</v>
      </c>
      <c r="I53" s="71">
        <f t="shared" si="2"/>
        <v>100000</v>
      </c>
      <c r="J53" s="69">
        <f t="shared" si="1"/>
        <v>0</v>
      </c>
    </row>
    <row r="54" ht="12.75" spans="1:10">
      <c r="A54" s="68">
        <v>91</v>
      </c>
      <c r="B54" s="69" t="s">
        <v>100</v>
      </c>
      <c r="C54" s="127" t="s">
        <v>99</v>
      </c>
      <c r="D54" s="71">
        <f>'13-2-26'!I54</f>
        <v>4800000</v>
      </c>
      <c r="E54" s="69"/>
      <c r="F54" s="69"/>
      <c r="G54" s="69"/>
      <c r="H54" s="71">
        <f t="shared" si="0"/>
        <v>0</v>
      </c>
      <c r="I54" s="71">
        <f t="shared" si="2"/>
        <v>4800000</v>
      </c>
      <c r="J54" s="69">
        <f t="shared" si="1"/>
        <v>0</v>
      </c>
    </row>
    <row r="55" ht="12.75" spans="1:10">
      <c r="A55" s="68">
        <v>92</v>
      </c>
      <c r="B55" s="69" t="s">
        <v>101</v>
      </c>
      <c r="C55" s="127" t="s">
        <v>102</v>
      </c>
      <c r="D55" s="71">
        <f>'13-2-26'!I55</f>
        <v>7460000</v>
      </c>
      <c r="E55" s="69"/>
      <c r="F55" s="69"/>
      <c r="G55" s="69"/>
      <c r="H55" s="71">
        <f t="shared" si="0"/>
        <v>0</v>
      </c>
      <c r="I55" s="71">
        <f t="shared" si="2"/>
        <v>7460000</v>
      </c>
      <c r="J55" s="69">
        <f t="shared" si="1"/>
        <v>0</v>
      </c>
    </row>
    <row r="56" ht="12.75" spans="1:10">
      <c r="A56" s="68">
        <v>93</v>
      </c>
      <c r="B56" s="69" t="s">
        <v>103</v>
      </c>
      <c r="C56" s="127" t="s">
        <v>102</v>
      </c>
      <c r="D56" s="71">
        <f>'13-2-26'!I56</f>
        <v>600000</v>
      </c>
      <c r="E56" s="69">
        <v>8</v>
      </c>
      <c r="F56" s="69">
        <v>200000</v>
      </c>
      <c r="G56" s="69">
        <v>40000</v>
      </c>
      <c r="H56" s="71">
        <f t="shared" si="0"/>
        <v>240000</v>
      </c>
      <c r="I56" s="71">
        <f t="shared" si="2"/>
        <v>400000</v>
      </c>
      <c r="J56" s="69">
        <f t="shared" si="1"/>
        <v>4000</v>
      </c>
    </row>
    <row r="57" ht="12.75" spans="1:10">
      <c r="A57" s="68">
        <v>94</v>
      </c>
      <c r="B57" s="69" t="s">
        <v>104</v>
      </c>
      <c r="C57" s="127" t="s">
        <v>102</v>
      </c>
      <c r="D57" s="71">
        <f>'13-2-26'!I57</f>
        <v>20000000</v>
      </c>
      <c r="E57" s="69"/>
      <c r="F57" s="69"/>
      <c r="G57" s="69"/>
      <c r="H57" s="71">
        <f t="shared" si="0"/>
        <v>0</v>
      </c>
      <c r="I57" s="71">
        <f t="shared" si="2"/>
        <v>20000000</v>
      </c>
      <c r="J57" s="69">
        <f t="shared" si="1"/>
        <v>0</v>
      </c>
    </row>
    <row r="58" ht="12.75" spans="1:10">
      <c r="A58" s="68">
        <v>98</v>
      </c>
      <c r="B58" s="69" t="s">
        <v>105</v>
      </c>
      <c r="C58" s="70" t="s">
        <v>106</v>
      </c>
      <c r="D58" s="71">
        <f>'13-2-26'!I58</f>
        <v>1650000</v>
      </c>
      <c r="E58" s="69"/>
      <c r="F58" s="69"/>
      <c r="G58" s="69"/>
      <c r="H58" s="71">
        <f t="shared" si="0"/>
        <v>0</v>
      </c>
      <c r="I58" s="71">
        <f t="shared" si="2"/>
        <v>1650000</v>
      </c>
      <c r="J58" s="69">
        <f t="shared" si="1"/>
        <v>0</v>
      </c>
    </row>
    <row r="59" ht="12.75" spans="1:10">
      <c r="A59" s="68">
        <v>101</v>
      </c>
      <c r="B59" s="69" t="s">
        <v>107</v>
      </c>
      <c r="C59" s="127" t="s">
        <v>108</v>
      </c>
      <c r="D59" s="71">
        <f>'13-2-26'!I59</f>
        <v>0</v>
      </c>
      <c r="E59" s="69"/>
      <c r="F59" s="69"/>
      <c r="G59" s="69"/>
      <c r="H59" s="71">
        <f t="shared" si="0"/>
        <v>0</v>
      </c>
      <c r="I59" s="71">
        <f t="shared" si="2"/>
        <v>0</v>
      </c>
      <c r="J59" s="69">
        <f t="shared" si="1"/>
        <v>0</v>
      </c>
    </row>
    <row r="60" ht="12.75" spans="1:10">
      <c r="A60" s="68">
        <v>103</v>
      </c>
      <c r="B60" s="69" t="s">
        <v>109</v>
      </c>
      <c r="C60" s="127" t="s">
        <v>110</v>
      </c>
      <c r="D60" s="71">
        <f>'13-2-26'!I60</f>
        <v>3250000</v>
      </c>
      <c r="E60" s="69">
        <v>8</v>
      </c>
      <c r="F60" s="69">
        <v>250000</v>
      </c>
      <c r="G60" s="69">
        <v>100000</v>
      </c>
      <c r="H60" s="71">
        <f t="shared" si="0"/>
        <v>350000</v>
      </c>
      <c r="I60" s="71">
        <f t="shared" si="2"/>
        <v>3000000</v>
      </c>
      <c r="J60" s="69">
        <f t="shared" si="1"/>
        <v>10000</v>
      </c>
    </row>
    <row r="61" ht="12.75" spans="1:10">
      <c r="A61" s="68">
        <v>106</v>
      </c>
      <c r="B61" s="69" t="s">
        <v>111</v>
      </c>
      <c r="C61" s="70" t="s">
        <v>112</v>
      </c>
      <c r="D61" s="71">
        <f>'13-2-26'!I61</f>
        <v>230000</v>
      </c>
      <c r="E61" s="69"/>
      <c r="F61" s="69"/>
      <c r="G61" s="69"/>
      <c r="H61" s="71">
        <f t="shared" si="0"/>
        <v>0</v>
      </c>
      <c r="I61" s="71">
        <f t="shared" si="2"/>
        <v>230000</v>
      </c>
      <c r="J61" s="69">
        <f t="shared" si="1"/>
        <v>0</v>
      </c>
    </row>
    <row r="62" ht="12.75" spans="1:10">
      <c r="A62" s="68">
        <v>108</v>
      </c>
      <c r="B62" s="69" t="s">
        <v>113</v>
      </c>
      <c r="C62" s="127" t="s">
        <v>114</v>
      </c>
      <c r="D62" s="71">
        <f>'13-2-26'!I62</f>
        <v>0</v>
      </c>
      <c r="E62" s="69"/>
      <c r="F62" s="69"/>
      <c r="G62" s="69"/>
      <c r="H62" s="71">
        <f t="shared" si="0"/>
        <v>0</v>
      </c>
      <c r="I62" s="71">
        <f t="shared" si="2"/>
        <v>0</v>
      </c>
      <c r="J62" s="69">
        <f t="shared" si="1"/>
        <v>0</v>
      </c>
    </row>
    <row r="63" ht="12.75" spans="1:10">
      <c r="A63" s="68">
        <v>110</v>
      </c>
      <c r="B63" s="69" t="s">
        <v>115</v>
      </c>
      <c r="C63" s="127" t="s">
        <v>116</v>
      </c>
      <c r="D63" s="71">
        <f>'13-2-26'!I63</f>
        <v>600000</v>
      </c>
      <c r="E63" s="69"/>
      <c r="F63" s="69"/>
      <c r="G63" s="69"/>
      <c r="H63" s="71">
        <f t="shared" si="0"/>
        <v>0</v>
      </c>
      <c r="I63" s="71">
        <f t="shared" si="2"/>
        <v>600000</v>
      </c>
      <c r="J63" s="69">
        <f t="shared" si="1"/>
        <v>0</v>
      </c>
    </row>
    <row r="64" ht="12.75" spans="1:10">
      <c r="A64" s="68">
        <v>111</v>
      </c>
      <c r="B64" s="69" t="s">
        <v>117</v>
      </c>
      <c r="C64" s="127" t="s">
        <v>118</v>
      </c>
      <c r="D64" s="71">
        <f>'13-2-26'!I64</f>
        <v>1500000</v>
      </c>
      <c r="E64" s="69">
        <v>1</v>
      </c>
      <c r="F64" s="69">
        <v>150000</v>
      </c>
      <c r="G64" s="69">
        <v>270000</v>
      </c>
      <c r="H64" s="71">
        <f t="shared" si="0"/>
        <v>420000</v>
      </c>
      <c r="I64" s="71">
        <f t="shared" si="2"/>
        <v>1350000</v>
      </c>
      <c r="J64" s="69">
        <f t="shared" si="1"/>
        <v>27000</v>
      </c>
    </row>
    <row r="65" ht="12.75" spans="1:10">
      <c r="A65" s="68">
        <v>112</v>
      </c>
      <c r="B65" s="69" t="s">
        <v>119</v>
      </c>
      <c r="C65" s="127" t="s">
        <v>120</v>
      </c>
      <c r="D65" s="71">
        <f>'13-2-26'!I65</f>
        <v>5862000</v>
      </c>
      <c r="E65" s="69"/>
      <c r="F65" s="69"/>
      <c r="G65" s="69"/>
      <c r="H65" s="71">
        <f t="shared" si="0"/>
        <v>0</v>
      </c>
      <c r="I65" s="71">
        <f t="shared" si="2"/>
        <v>5862000</v>
      </c>
      <c r="J65" s="69">
        <f t="shared" si="1"/>
        <v>0</v>
      </c>
    </row>
    <row r="66" ht="12.75" spans="1:10">
      <c r="A66" s="68">
        <v>113</v>
      </c>
      <c r="B66" s="69" t="s">
        <v>121</v>
      </c>
      <c r="C66" s="127" t="s">
        <v>120</v>
      </c>
      <c r="D66" s="71">
        <f>'13-2-26'!I66</f>
        <v>250000</v>
      </c>
      <c r="E66" s="69">
        <v>6</v>
      </c>
      <c r="F66" s="69">
        <v>50000</v>
      </c>
      <c r="G66" s="69">
        <v>10000</v>
      </c>
      <c r="H66" s="71">
        <f t="shared" si="0"/>
        <v>60000</v>
      </c>
      <c r="I66" s="71">
        <f t="shared" si="2"/>
        <v>200000</v>
      </c>
      <c r="J66" s="69">
        <f t="shared" si="1"/>
        <v>1000</v>
      </c>
    </row>
    <row r="67" ht="12.75" customHeight="1" spans="1:10">
      <c r="A67" s="68">
        <v>117</v>
      </c>
      <c r="B67" s="69" t="s">
        <v>122</v>
      </c>
      <c r="C67" s="127" t="s">
        <v>123</v>
      </c>
      <c r="D67" s="71">
        <f>'13-2-26'!I67</f>
        <v>0</v>
      </c>
      <c r="E67" s="69"/>
      <c r="F67" s="69"/>
      <c r="G67" s="69"/>
      <c r="H67" s="71">
        <f t="shared" si="0"/>
        <v>0</v>
      </c>
      <c r="I67" s="71">
        <f t="shared" si="2"/>
        <v>0</v>
      </c>
      <c r="J67" s="69">
        <f t="shared" si="1"/>
        <v>0</v>
      </c>
    </row>
    <row r="68" ht="12.75" customHeight="1" spans="1:10">
      <c r="A68" s="68"/>
      <c r="B68" s="69"/>
      <c r="C68" s="70"/>
      <c r="D68" s="71">
        <f>'13-2-26'!I68</f>
        <v>0</v>
      </c>
      <c r="E68" s="69"/>
      <c r="F68" s="69"/>
      <c r="G68" s="69"/>
      <c r="H68" s="71">
        <f t="shared" si="0"/>
        <v>0</v>
      </c>
      <c r="I68" s="71"/>
      <c r="J68" s="69">
        <f t="shared" si="1"/>
        <v>0</v>
      </c>
    </row>
    <row r="69" ht="12.75" customHeight="1" spans="1:10">
      <c r="A69" s="68"/>
      <c r="B69" s="69"/>
      <c r="C69" s="70"/>
      <c r="D69" s="71">
        <f>'10-2-26'!I69</f>
        <v>0</v>
      </c>
      <c r="E69" s="69"/>
      <c r="F69" s="69"/>
      <c r="G69" s="69"/>
      <c r="H69" s="71">
        <f t="shared" si="0"/>
        <v>0</v>
      </c>
      <c r="I69" s="71"/>
      <c r="J69" s="69">
        <f t="shared" si="1"/>
        <v>0</v>
      </c>
    </row>
    <row r="70" ht="12.75" customHeight="1" spans="1:10">
      <c r="A70" s="68"/>
      <c r="B70" s="69"/>
      <c r="C70" s="70"/>
      <c r="D70" s="71">
        <f>'10-2-26'!I70</f>
        <v>0</v>
      </c>
      <c r="E70" s="69"/>
      <c r="F70" s="69"/>
      <c r="G70" s="69"/>
      <c r="H70" s="71">
        <f t="shared" si="0"/>
        <v>0</v>
      </c>
      <c r="I70" s="71"/>
      <c r="J70" s="69">
        <f t="shared" si="1"/>
        <v>0</v>
      </c>
    </row>
    <row r="71" ht="12.75" customHeight="1" spans="1:10">
      <c r="A71" s="68"/>
      <c r="B71" s="69"/>
      <c r="C71" s="70"/>
      <c r="D71" s="71">
        <f>'3-2-26'!I71</f>
        <v>0</v>
      </c>
      <c r="E71" s="69"/>
      <c r="F71" s="69"/>
      <c r="G71" s="69"/>
      <c r="H71" s="71">
        <f t="shared" si="0"/>
        <v>0</v>
      </c>
      <c r="I71" s="71"/>
      <c r="J71" s="69">
        <f t="shared" si="1"/>
        <v>0</v>
      </c>
    </row>
    <row r="72" ht="12.75" customHeight="1" spans="1:10">
      <c r="A72" s="68"/>
      <c r="B72" s="69"/>
      <c r="C72" s="70"/>
      <c r="D72" s="71">
        <f>'3-2-26'!I72</f>
        <v>0</v>
      </c>
      <c r="E72" s="69"/>
      <c r="F72" s="69"/>
      <c r="G72" s="69"/>
      <c r="H72" s="71">
        <f t="shared" si="0"/>
        <v>0</v>
      </c>
      <c r="I72" s="71"/>
      <c r="J72" s="69">
        <f t="shared" si="1"/>
        <v>0</v>
      </c>
    </row>
    <row r="73" ht="12.75" customHeight="1" spans="1:10">
      <c r="A73" s="68"/>
      <c r="B73" s="69"/>
      <c r="C73" s="70"/>
      <c r="D73" s="71">
        <f>'3-2-26'!I73</f>
        <v>0</v>
      </c>
      <c r="E73" s="69"/>
      <c r="F73" s="69"/>
      <c r="G73" s="69"/>
      <c r="H73" s="71">
        <f t="shared" ref="H73:H95" si="3">SUM(F73:G73)</f>
        <v>0</v>
      </c>
      <c r="I73" s="71"/>
      <c r="J73" s="69">
        <f t="shared" ref="J73:J136" si="4">1/10*G73</f>
        <v>0</v>
      </c>
    </row>
    <row r="74" ht="12.75" customHeight="1" spans="1:10">
      <c r="A74" s="68"/>
      <c r="B74" s="69"/>
      <c r="C74" s="70"/>
      <c r="D74" s="71">
        <f>'3-2-26'!I74</f>
        <v>0</v>
      </c>
      <c r="E74" s="69"/>
      <c r="F74" s="69"/>
      <c r="G74" s="69"/>
      <c r="H74" s="71">
        <f t="shared" si="3"/>
        <v>0</v>
      </c>
      <c r="I74" s="71"/>
      <c r="J74" s="69">
        <f t="shared" si="4"/>
        <v>0</v>
      </c>
    </row>
    <row r="75" ht="12.75" customHeight="1" spans="1:10">
      <c r="A75" s="68"/>
      <c r="B75" s="69"/>
      <c r="C75" s="70"/>
      <c r="D75" s="71">
        <f>'3-2-26'!I75</f>
        <v>0</v>
      </c>
      <c r="E75" s="69"/>
      <c r="F75" s="69"/>
      <c r="G75" s="69"/>
      <c r="H75" s="71">
        <f t="shared" si="3"/>
        <v>0</v>
      </c>
      <c r="I75" s="71"/>
      <c r="J75" s="69">
        <f t="shared" si="4"/>
        <v>0</v>
      </c>
    </row>
    <row r="76" ht="3" customHeight="1" spans="1:10">
      <c r="A76" s="68"/>
      <c r="B76" s="69"/>
      <c r="C76" s="70"/>
      <c r="D76" s="71">
        <f>'3-2-26'!I76</f>
        <v>0</v>
      </c>
      <c r="E76" s="69"/>
      <c r="F76" s="69"/>
      <c r="G76" s="69"/>
      <c r="H76" s="71">
        <f t="shared" si="3"/>
        <v>0</v>
      </c>
      <c r="I76" s="71"/>
      <c r="J76" s="69">
        <f t="shared" si="4"/>
        <v>0</v>
      </c>
    </row>
    <row r="77" ht="3" customHeight="1" spans="1:10">
      <c r="A77" s="68"/>
      <c r="B77" s="69"/>
      <c r="C77" s="70"/>
      <c r="D77" s="71">
        <f>'3-2-26'!I77</f>
        <v>0</v>
      </c>
      <c r="E77" s="69"/>
      <c r="F77" s="69"/>
      <c r="G77" s="69"/>
      <c r="H77" s="71">
        <f t="shared" si="3"/>
        <v>0</v>
      </c>
      <c r="I77" s="71"/>
      <c r="J77" s="69">
        <f t="shared" si="4"/>
        <v>0</v>
      </c>
    </row>
    <row r="78" ht="3" customHeight="1" spans="1:10">
      <c r="A78" s="68"/>
      <c r="B78" s="69"/>
      <c r="C78" s="70"/>
      <c r="D78" s="71">
        <f>'3-2-26'!I78</f>
        <v>0</v>
      </c>
      <c r="E78" s="69"/>
      <c r="F78" s="69"/>
      <c r="G78" s="69"/>
      <c r="H78" s="71">
        <f t="shared" si="3"/>
        <v>0</v>
      </c>
      <c r="I78" s="71"/>
      <c r="J78" s="69">
        <f t="shared" si="4"/>
        <v>0</v>
      </c>
    </row>
    <row r="79" ht="3" customHeight="1" spans="1:10">
      <c r="A79" s="68"/>
      <c r="B79" s="69"/>
      <c r="C79" s="70"/>
      <c r="D79" s="71">
        <f>'3-2-26'!I79</f>
        <v>0</v>
      </c>
      <c r="E79" s="69"/>
      <c r="F79" s="69"/>
      <c r="G79" s="69"/>
      <c r="H79" s="71">
        <f t="shared" si="3"/>
        <v>0</v>
      </c>
      <c r="I79" s="71"/>
      <c r="J79" s="69">
        <f t="shared" si="4"/>
        <v>0</v>
      </c>
    </row>
    <row r="80" ht="3" customHeight="1" spans="1:10">
      <c r="A80" s="68"/>
      <c r="B80" s="69"/>
      <c r="C80" s="70"/>
      <c r="D80" s="71">
        <f>'3-2-26'!I80</f>
        <v>0</v>
      </c>
      <c r="E80" s="69"/>
      <c r="F80" s="69"/>
      <c r="G80" s="69"/>
      <c r="H80" s="71">
        <f t="shared" si="3"/>
        <v>0</v>
      </c>
      <c r="I80" s="71"/>
      <c r="J80" s="69">
        <f t="shared" si="4"/>
        <v>0</v>
      </c>
    </row>
    <row r="81" ht="3" customHeight="1" spans="1:10">
      <c r="A81" s="68"/>
      <c r="B81" s="69"/>
      <c r="C81" s="70"/>
      <c r="D81" s="71">
        <f>'3-2-26'!I81</f>
        <v>0</v>
      </c>
      <c r="E81" s="69"/>
      <c r="F81" s="69"/>
      <c r="G81" s="69"/>
      <c r="H81" s="71">
        <f t="shared" si="3"/>
        <v>0</v>
      </c>
      <c r="I81" s="71"/>
      <c r="J81" s="69">
        <f t="shared" si="4"/>
        <v>0</v>
      </c>
    </row>
    <row r="82" ht="3" customHeight="1" spans="1:10">
      <c r="A82" s="68"/>
      <c r="B82" s="69"/>
      <c r="C82" s="70"/>
      <c r="D82" s="71">
        <f>'3-2-26'!I82</f>
        <v>0</v>
      </c>
      <c r="E82" s="69"/>
      <c r="F82" s="69"/>
      <c r="G82" s="69"/>
      <c r="H82" s="71">
        <f t="shared" si="3"/>
        <v>0</v>
      </c>
      <c r="I82" s="71"/>
      <c r="J82" s="69">
        <f t="shared" si="4"/>
        <v>0</v>
      </c>
    </row>
    <row r="83" ht="3" customHeight="1" spans="1:10">
      <c r="A83" s="68"/>
      <c r="B83" s="69"/>
      <c r="C83" s="70"/>
      <c r="D83" s="71">
        <f>'3-2-26'!I83</f>
        <v>0</v>
      </c>
      <c r="E83" s="69"/>
      <c r="F83" s="69"/>
      <c r="G83" s="69"/>
      <c r="H83" s="71">
        <f t="shared" si="3"/>
        <v>0</v>
      </c>
      <c r="I83" s="71"/>
      <c r="J83" s="69">
        <f t="shared" si="4"/>
        <v>0</v>
      </c>
    </row>
    <row r="84" ht="3" customHeight="1" spans="1:10">
      <c r="A84" s="68"/>
      <c r="B84" s="69"/>
      <c r="C84" s="70"/>
      <c r="D84" s="71">
        <f>'3-2-26'!I84</f>
        <v>0</v>
      </c>
      <c r="E84" s="69"/>
      <c r="F84" s="69"/>
      <c r="G84" s="69"/>
      <c r="H84" s="71">
        <f t="shared" si="3"/>
        <v>0</v>
      </c>
      <c r="I84" s="71"/>
      <c r="J84" s="69">
        <f t="shared" si="4"/>
        <v>0</v>
      </c>
    </row>
    <row r="85" ht="3" customHeight="1" spans="1:10">
      <c r="A85" s="68"/>
      <c r="B85" s="69"/>
      <c r="C85" s="70"/>
      <c r="D85" s="71">
        <f>'3-2-26'!I85</f>
        <v>0</v>
      </c>
      <c r="E85" s="69"/>
      <c r="F85" s="69"/>
      <c r="G85" s="69"/>
      <c r="H85" s="71">
        <f t="shared" si="3"/>
        <v>0</v>
      </c>
      <c r="I85" s="71"/>
      <c r="J85" s="69">
        <f t="shared" si="4"/>
        <v>0</v>
      </c>
    </row>
    <row r="86" ht="3" customHeight="1" spans="1:10">
      <c r="A86" s="68"/>
      <c r="B86" s="69"/>
      <c r="C86" s="70"/>
      <c r="D86" s="71">
        <f>'3-2-26'!I86</f>
        <v>0</v>
      </c>
      <c r="E86" s="69"/>
      <c r="F86" s="69"/>
      <c r="G86" s="69"/>
      <c r="H86" s="71">
        <f t="shared" si="3"/>
        <v>0</v>
      </c>
      <c r="I86" s="71"/>
      <c r="J86" s="69">
        <f t="shared" si="4"/>
        <v>0</v>
      </c>
    </row>
    <row r="87" ht="3" customHeight="1" spans="1:10">
      <c r="A87" s="68"/>
      <c r="B87" s="69"/>
      <c r="C87" s="70"/>
      <c r="D87" s="71">
        <f>'3-2-26'!I87</f>
        <v>0</v>
      </c>
      <c r="E87" s="69"/>
      <c r="F87" s="69"/>
      <c r="G87" s="69"/>
      <c r="H87" s="71">
        <f t="shared" si="3"/>
        <v>0</v>
      </c>
      <c r="I87" s="71"/>
      <c r="J87" s="69">
        <f t="shared" si="4"/>
        <v>0</v>
      </c>
    </row>
    <row r="88" ht="3" customHeight="1" spans="1:10">
      <c r="A88" s="68"/>
      <c r="B88" s="69"/>
      <c r="C88" s="70"/>
      <c r="D88" s="71">
        <f>'3-2-26'!I88</f>
        <v>0</v>
      </c>
      <c r="E88" s="69"/>
      <c r="F88" s="69"/>
      <c r="G88" s="69"/>
      <c r="H88" s="71">
        <f t="shared" si="3"/>
        <v>0</v>
      </c>
      <c r="I88" s="71"/>
      <c r="J88" s="69">
        <f t="shared" si="4"/>
        <v>0</v>
      </c>
    </row>
    <row r="89" ht="3" customHeight="1" spans="1:10">
      <c r="A89" s="68"/>
      <c r="B89" s="69"/>
      <c r="C89" s="70"/>
      <c r="D89" s="71">
        <f>'3-2-26'!I89</f>
        <v>0</v>
      </c>
      <c r="E89" s="69"/>
      <c r="F89" s="69"/>
      <c r="G89" s="69"/>
      <c r="H89" s="71">
        <f t="shared" si="3"/>
        <v>0</v>
      </c>
      <c r="I89" s="71"/>
      <c r="J89" s="69">
        <f t="shared" si="4"/>
        <v>0</v>
      </c>
    </row>
    <row r="90" ht="3" customHeight="1" spans="1:10">
      <c r="A90" s="68"/>
      <c r="B90" s="69"/>
      <c r="C90" s="70"/>
      <c r="D90" s="71">
        <f>'3-2-26'!I90</f>
        <v>0</v>
      </c>
      <c r="E90" s="69"/>
      <c r="F90" s="69"/>
      <c r="G90" s="69"/>
      <c r="H90" s="71">
        <f t="shared" si="3"/>
        <v>0</v>
      </c>
      <c r="I90" s="71"/>
      <c r="J90" s="69">
        <f t="shared" si="4"/>
        <v>0</v>
      </c>
    </row>
    <row r="91" ht="3" customHeight="1" spans="1:10">
      <c r="A91" s="68"/>
      <c r="B91" s="69"/>
      <c r="C91" s="70"/>
      <c r="D91" s="71">
        <f>'3-2-26'!I91</f>
        <v>0</v>
      </c>
      <c r="E91" s="69"/>
      <c r="F91" s="69"/>
      <c r="G91" s="69"/>
      <c r="H91" s="71">
        <f t="shared" si="3"/>
        <v>0</v>
      </c>
      <c r="I91" s="71"/>
      <c r="J91" s="69">
        <f t="shared" si="4"/>
        <v>0</v>
      </c>
    </row>
    <row r="92" ht="3" customHeight="1" spans="1:10">
      <c r="A92" s="68"/>
      <c r="B92" s="69"/>
      <c r="C92" s="70"/>
      <c r="D92" s="71">
        <f>'3-2-26'!I92</f>
        <v>0</v>
      </c>
      <c r="E92" s="69"/>
      <c r="F92" s="69"/>
      <c r="G92" s="69"/>
      <c r="H92" s="71">
        <f t="shared" si="3"/>
        <v>0</v>
      </c>
      <c r="I92" s="71"/>
      <c r="J92" s="69">
        <f t="shared" si="4"/>
        <v>0</v>
      </c>
    </row>
    <row r="93" ht="3" customHeight="1" spans="1:10">
      <c r="A93" s="68"/>
      <c r="B93" s="69"/>
      <c r="C93" s="70"/>
      <c r="D93" s="71">
        <f>'3-2-26'!I93</f>
        <v>0</v>
      </c>
      <c r="E93" s="69"/>
      <c r="F93" s="69"/>
      <c r="G93" s="69"/>
      <c r="H93" s="71">
        <f t="shared" si="3"/>
        <v>0</v>
      </c>
      <c r="I93" s="71"/>
      <c r="J93" s="69">
        <f t="shared" si="4"/>
        <v>0</v>
      </c>
    </row>
    <row r="94" ht="3" customHeight="1" spans="1:10">
      <c r="A94" s="68"/>
      <c r="B94" s="69"/>
      <c r="C94" s="70"/>
      <c r="D94" s="71">
        <f>'3-2-26'!I94</f>
        <v>0</v>
      </c>
      <c r="E94" s="69"/>
      <c r="F94" s="69"/>
      <c r="G94" s="69"/>
      <c r="H94" s="71">
        <f t="shared" si="3"/>
        <v>0</v>
      </c>
      <c r="I94" s="71"/>
      <c r="J94" s="69">
        <f t="shared" si="4"/>
        <v>0</v>
      </c>
    </row>
    <row r="95" ht="3" customHeight="1" spans="1:10">
      <c r="A95" s="68"/>
      <c r="B95" s="69"/>
      <c r="C95" s="70"/>
      <c r="D95" s="71">
        <f>'3-2-26'!I95</f>
        <v>0</v>
      </c>
      <c r="E95" s="69"/>
      <c r="F95" s="69"/>
      <c r="G95" s="69"/>
      <c r="H95" s="71">
        <f t="shared" si="3"/>
        <v>0</v>
      </c>
      <c r="I95" s="71"/>
      <c r="J95" s="69">
        <f t="shared" si="4"/>
        <v>0</v>
      </c>
    </row>
    <row r="96" ht="3" customHeight="1" spans="1:10">
      <c r="A96" s="68"/>
      <c r="B96" s="69"/>
      <c r="C96" s="70"/>
      <c r="D96" s="71">
        <f>'3-2-26'!I96</f>
        <v>0</v>
      </c>
      <c r="E96" s="69"/>
      <c r="F96" s="69"/>
      <c r="G96" s="69"/>
      <c r="H96" s="71">
        <f t="shared" ref="H96:H110" si="5">SUM(F96:G96)</f>
        <v>0</v>
      </c>
      <c r="I96" s="71"/>
      <c r="J96" s="69">
        <f t="shared" si="4"/>
        <v>0</v>
      </c>
    </row>
    <row r="97" ht="3" customHeight="1" spans="1:10">
      <c r="A97" s="68"/>
      <c r="B97" s="69"/>
      <c r="C97" s="70"/>
      <c r="D97" s="71">
        <f>'3-2-26'!I97</f>
        <v>0</v>
      </c>
      <c r="E97" s="69"/>
      <c r="F97" s="69"/>
      <c r="G97" s="69"/>
      <c r="H97" s="71">
        <f t="shared" si="5"/>
        <v>0</v>
      </c>
      <c r="I97" s="71"/>
      <c r="J97" s="69">
        <f t="shared" si="4"/>
        <v>0</v>
      </c>
    </row>
    <row r="98" ht="3" customHeight="1" spans="1:10">
      <c r="A98" s="68"/>
      <c r="B98" s="69"/>
      <c r="C98" s="70"/>
      <c r="D98" s="71">
        <f>'3-2-26'!I98</f>
        <v>0</v>
      </c>
      <c r="E98" s="69"/>
      <c r="F98" s="69"/>
      <c r="G98" s="69"/>
      <c r="H98" s="71">
        <f t="shared" si="5"/>
        <v>0</v>
      </c>
      <c r="I98" s="71"/>
      <c r="J98" s="69">
        <f t="shared" si="4"/>
        <v>0</v>
      </c>
    </row>
    <row r="99" ht="3" customHeight="1" spans="1:10">
      <c r="A99" s="68"/>
      <c r="B99" s="69"/>
      <c r="C99" s="70"/>
      <c r="D99" s="71">
        <f>'3-2-26'!I99</f>
        <v>0</v>
      </c>
      <c r="E99" s="69"/>
      <c r="F99" s="69"/>
      <c r="G99" s="69"/>
      <c r="H99" s="71">
        <f t="shared" si="5"/>
        <v>0</v>
      </c>
      <c r="I99" s="71"/>
      <c r="J99" s="69">
        <f t="shared" si="4"/>
        <v>0</v>
      </c>
    </row>
    <row r="100" ht="3" customHeight="1" spans="1:10">
      <c r="A100" s="68"/>
      <c r="B100" s="69"/>
      <c r="C100" s="70"/>
      <c r="D100" s="71">
        <f>'3-2-26'!I100</f>
        <v>0</v>
      </c>
      <c r="E100" s="69"/>
      <c r="F100" s="69"/>
      <c r="G100" s="69"/>
      <c r="H100" s="71">
        <f t="shared" si="5"/>
        <v>0</v>
      </c>
      <c r="I100" s="71"/>
      <c r="J100" s="69">
        <f t="shared" si="4"/>
        <v>0</v>
      </c>
    </row>
    <row r="101" ht="3" customHeight="1" spans="1:10">
      <c r="A101" s="68"/>
      <c r="B101" s="69"/>
      <c r="C101" s="70"/>
      <c r="D101" s="71">
        <f>'3-2-26'!I101</f>
        <v>0</v>
      </c>
      <c r="E101" s="69"/>
      <c r="F101" s="69"/>
      <c r="G101" s="69"/>
      <c r="H101" s="71">
        <f t="shared" si="5"/>
        <v>0</v>
      </c>
      <c r="I101" s="71"/>
      <c r="J101" s="69">
        <f t="shared" si="4"/>
        <v>0</v>
      </c>
    </row>
    <row r="102" ht="3" customHeight="1" spans="1:10">
      <c r="A102" s="68"/>
      <c r="B102" s="69"/>
      <c r="C102" s="70"/>
      <c r="D102" s="71">
        <f>'3-2-26'!I102</f>
        <v>0</v>
      </c>
      <c r="E102" s="69"/>
      <c r="F102" s="69"/>
      <c r="G102" s="69"/>
      <c r="H102" s="71">
        <f t="shared" si="5"/>
        <v>0</v>
      </c>
      <c r="I102" s="71"/>
      <c r="J102" s="69">
        <f t="shared" si="4"/>
        <v>0</v>
      </c>
    </row>
    <row r="103" ht="3" customHeight="1" spans="1:10">
      <c r="A103" s="68"/>
      <c r="B103" s="69"/>
      <c r="C103" s="70"/>
      <c r="D103" s="71">
        <f>'3-2-26'!I103</f>
        <v>0</v>
      </c>
      <c r="E103" s="69"/>
      <c r="F103" s="69"/>
      <c r="G103" s="69"/>
      <c r="H103" s="71">
        <f t="shared" si="5"/>
        <v>0</v>
      </c>
      <c r="I103" s="71"/>
      <c r="J103" s="69">
        <f t="shared" si="4"/>
        <v>0</v>
      </c>
    </row>
    <row r="104" ht="3" customHeight="1" spans="1:10">
      <c r="A104" s="68"/>
      <c r="B104" s="69"/>
      <c r="C104" s="70"/>
      <c r="D104" s="71">
        <f>'3-2-26'!I104</f>
        <v>0</v>
      </c>
      <c r="E104" s="69"/>
      <c r="F104" s="69"/>
      <c r="G104" s="69"/>
      <c r="H104" s="71">
        <f t="shared" si="5"/>
        <v>0</v>
      </c>
      <c r="I104" s="71"/>
      <c r="J104" s="69">
        <f t="shared" si="4"/>
        <v>0</v>
      </c>
    </row>
    <row r="105" ht="3" customHeight="1" spans="1:10">
      <c r="A105" s="68"/>
      <c r="B105" s="69"/>
      <c r="C105" s="70"/>
      <c r="D105" s="71">
        <f>'3-2-26'!I105</f>
        <v>0</v>
      </c>
      <c r="E105" s="69"/>
      <c r="F105" s="69"/>
      <c r="G105" s="69"/>
      <c r="H105" s="71">
        <f t="shared" si="5"/>
        <v>0</v>
      </c>
      <c r="I105" s="71"/>
      <c r="J105" s="69">
        <f t="shared" si="4"/>
        <v>0</v>
      </c>
    </row>
    <row r="106" ht="3" customHeight="1" spans="1:10">
      <c r="A106" s="68"/>
      <c r="B106" s="69"/>
      <c r="C106" s="70"/>
      <c r="D106" s="71">
        <f>'3-2-26'!I106</f>
        <v>0</v>
      </c>
      <c r="E106" s="69"/>
      <c r="F106" s="69"/>
      <c r="G106" s="69"/>
      <c r="H106" s="71">
        <f t="shared" si="5"/>
        <v>0</v>
      </c>
      <c r="I106" s="71"/>
      <c r="J106" s="69">
        <f t="shared" si="4"/>
        <v>0</v>
      </c>
    </row>
    <row r="107" ht="3" customHeight="1" spans="1:10">
      <c r="A107" s="68"/>
      <c r="B107" s="69"/>
      <c r="C107" s="70"/>
      <c r="D107" s="71">
        <f>'3-2-26'!I107</f>
        <v>0</v>
      </c>
      <c r="E107" s="69"/>
      <c r="F107" s="69"/>
      <c r="G107" s="69"/>
      <c r="H107" s="71">
        <f t="shared" si="5"/>
        <v>0</v>
      </c>
      <c r="I107" s="71"/>
      <c r="J107" s="69">
        <f t="shared" si="4"/>
        <v>0</v>
      </c>
    </row>
    <row r="108" ht="3" customHeight="1" spans="1:10">
      <c r="A108" s="68"/>
      <c r="B108" s="69"/>
      <c r="C108" s="70"/>
      <c r="D108" s="71">
        <f>'3-2-26'!I108</f>
        <v>0</v>
      </c>
      <c r="E108" s="69"/>
      <c r="F108" s="69"/>
      <c r="G108" s="69"/>
      <c r="H108" s="71">
        <f t="shared" si="5"/>
        <v>0</v>
      </c>
      <c r="I108" s="71"/>
      <c r="J108" s="69">
        <f t="shared" si="4"/>
        <v>0</v>
      </c>
    </row>
    <row r="109" ht="3" customHeight="1" spans="1:10">
      <c r="A109" s="68"/>
      <c r="B109" s="69"/>
      <c r="C109" s="70"/>
      <c r="D109" s="71">
        <f>'3-2-26'!I109</f>
        <v>0</v>
      </c>
      <c r="E109" s="69"/>
      <c r="F109" s="69"/>
      <c r="G109" s="69"/>
      <c r="H109" s="71">
        <f t="shared" si="5"/>
        <v>0</v>
      </c>
      <c r="I109" s="71"/>
      <c r="J109" s="69">
        <f t="shared" si="4"/>
        <v>0</v>
      </c>
    </row>
    <row r="110" ht="3" customHeight="1" spans="1:10">
      <c r="A110" s="68"/>
      <c r="B110" s="69"/>
      <c r="C110" s="70"/>
      <c r="D110" s="71">
        <f>'3-2-26'!I110</f>
        <v>0</v>
      </c>
      <c r="E110" s="69"/>
      <c r="F110" s="69"/>
      <c r="G110" s="69"/>
      <c r="H110" s="71">
        <f t="shared" si="5"/>
        <v>0</v>
      </c>
      <c r="I110" s="71"/>
      <c r="J110" s="69">
        <f t="shared" si="4"/>
        <v>0</v>
      </c>
    </row>
    <row r="111" ht="3" customHeight="1" spans="1:10">
      <c r="A111" s="68"/>
      <c r="B111" s="69"/>
      <c r="C111" s="70"/>
      <c r="D111" s="71">
        <f>'3-2-26'!I111</f>
        <v>0</v>
      </c>
      <c r="E111" s="69"/>
      <c r="F111" s="69"/>
      <c r="G111" s="69"/>
      <c r="H111" s="71">
        <f t="shared" ref="H111:H174" si="6">SUM(F111:G111)</f>
        <v>0</v>
      </c>
      <c r="I111" s="71"/>
      <c r="J111" s="69">
        <f t="shared" si="4"/>
        <v>0</v>
      </c>
    </row>
    <row r="112" ht="3" customHeight="1" spans="1:10">
      <c r="A112" s="68"/>
      <c r="B112" s="69"/>
      <c r="C112" s="70"/>
      <c r="D112" s="71">
        <f>'3-2-26'!I112</f>
        <v>0</v>
      </c>
      <c r="E112" s="69"/>
      <c r="F112" s="69"/>
      <c r="G112" s="69"/>
      <c r="H112" s="71">
        <f t="shared" si="6"/>
        <v>0</v>
      </c>
      <c r="I112" s="71"/>
      <c r="J112" s="69">
        <f t="shared" si="4"/>
        <v>0</v>
      </c>
    </row>
    <row r="113" ht="3" customHeight="1" spans="1:10">
      <c r="A113" s="68"/>
      <c r="B113" s="69"/>
      <c r="C113" s="70"/>
      <c r="D113" s="71">
        <f>'3-2-26'!I113</f>
        <v>0</v>
      </c>
      <c r="E113" s="69"/>
      <c r="F113" s="69"/>
      <c r="G113" s="69"/>
      <c r="H113" s="71">
        <f t="shared" si="6"/>
        <v>0</v>
      </c>
      <c r="I113" s="71"/>
      <c r="J113" s="69">
        <f t="shared" si="4"/>
        <v>0</v>
      </c>
    </row>
    <row r="114" ht="3" customHeight="1" spans="1:10">
      <c r="A114" s="68"/>
      <c r="B114" s="69"/>
      <c r="C114" s="70"/>
      <c r="D114" s="71">
        <f>'3-2-26'!I114</f>
        <v>0</v>
      </c>
      <c r="E114" s="69"/>
      <c r="F114" s="69"/>
      <c r="G114" s="69"/>
      <c r="H114" s="71">
        <f t="shared" si="6"/>
        <v>0</v>
      </c>
      <c r="I114" s="71"/>
      <c r="J114" s="69">
        <f t="shared" si="4"/>
        <v>0</v>
      </c>
    </row>
    <row r="115" ht="3" customHeight="1" spans="1:10">
      <c r="A115" s="68"/>
      <c r="B115" s="69"/>
      <c r="C115" s="70"/>
      <c r="D115" s="71">
        <f>'3-2-26'!I115</f>
        <v>0</v>
      </c>
      <c r="E115" s="69"/>
      <c r="F115" s="69"/>
      <c r="G115" s="69"/>
      <c r="H115" s="71">
        <f t="shared" si="6"/>
        <v>0</v>
      </c>
      <c r="I115" s="71"/>
      <c r="J115" s="69">
        <f t="shared" si="4"/>
        <v>0</v>
      </c>
    </row>
    <row r="116" ht="3" customHeight="1" spans="1:10">
      <c r="A116" s="68"/>
      <c r="B116" s="69"/>
      <c r="C116" s="70"/>
      <c r="D116" s="71">
        <f>'3-2-26'!I116</f>
        <v>0</v>
      </c>
      <c r="E116" s="69"/>
      <c r="F116" s="69"/>
      <c r="G116" s="69"/>
      <c r="H116" s="71">
        <f t="shared" si="6"/>
        <v>0</v>
      </c>
      <c r="I116" s="71"/>
      <c r="J116" s="69">
        <f t="shared" si="4"/>
        <v>0</v>
      </c>
    </row>
    <row r="117" ht="3" customHeight="1" spans="1:10">
      <c r="A117" s="68"/>
      <c r="B117" s="69"/>
      <c r="C117" s="70"/>
      <c r="D117" s="71">
        <f>'3-2-26'!I117</f>
        <v>0</v>
      </c>
      <c r="E117" s="69"/>
      <c r="F117" s="69"/>
      <c r="G117" s="69"/>
      <c r="H117" s="71">
        <f t="shared" si="6"/>
        <v>0</v>
      </c>
      <c r="I117" s="71"/>
      <c r="J117" s="69">
        <f t="shared" si="4"/>
        <v>0</v>
      </c>
    </row>
    <row r="118" ht="3" customHeight="1" spans="1:10">
      <c r="A118" s="68"/>
      <c r="B118" s="69"/>
      <c r="C118" s="70"/>
      <c r="D118" s="71">
        <f>'3-2-26'!I118</f>
        <v>0</v>
      </c>
      <c r="E118" s="69"/>
      <c r="F118" s="69"/>
      <c r="G118" s="69"/>
      <c r="H118" s="71">
        <f t="shared" si="6"/>
        <v>0</v>
      </c>
      <c r="I118" s="71"/>
      <c r="J118" s="69">
        <f t="shared" si="4"/>
        <v>0</v>
      </c>
    </row>
    <row r="119" ht="3" customHeight="1" spans="1:10">
      <c r="A119" s="68"/>
      <c r="B119" s="69"/>
      <c r="C119" s="70"/>
      <c r="D119" s="71">
        <f>'3-2-26'!I119</f>
        <v>0</v>
      </c>
      <c r="E119" s="69"/>
      <c r="F119" s="69"/>
      <c r="G119" s="69"/>
      <c r="H119" s="71">
        <f t="shared" si="6"/>
        <v>0</v>
      </c>
      <c r="I119" s="71"/>
      <c r="J119" s="69">
        <f t="shared" si="4"/>
        <v>0</v>
      </c>
    </row>
    <row r="120" ht="3" customHeight="1" spans="1:10">
      <c r="A120" s="68"/>
      <c r="B120" s="69"/>
      <c r="C120" s="70"/>
      <c r="D120" s="71">
        <f>'3-2-26'!I120</f>
        <v>0</v>
      </c>
      <c r="E120" s="69"/>
      <c r="F120" s="69"/>
      <c r="G120" s="69"/>
      <c r="H120" s="71">
        <f t="shared" si="6"/>
        <v>0</v>
      </c>
      <c r="I120" s="71"/>
      <c r="J120" s="69">
        <f t="shared" si="4"/>
        <v>0</v>
      </c>
    </row>
    <row r="121" ht="3" customHeight="1" spans="1:10">
      <c r="A121" s="68"/>
      <c r="B121" s="69"/>
      <c r="C121" s="70"/>
      <c r="D121" s="71">
        <f>'3-2-26'!I121</f>
        <v>0</v>
      </c>
      <c r="E121" s="69"/>
      <c r="F121" s="69"/>
      <c r="G121" s="69"/>
      <c r="H121" s="71">
        <f t="shared" si="6"/>
        <v>0</v>
      </c>
      <c r="I121" s="71"/>
      <c r="J121" s="69">
        <f t="shared" si="4"/>
        <v>0</v>
      </c>
    </row>
    <row r="122" ht="3" customHeight="1" spans="1:10">
      <c r="A122" s="68"/>
      <c r="B122" s="69"/>
      <c r="C122" s="70"/>
      <c r="D122" s="71">
        <f>'3-2-26'!I122</f>
        <v>0</v>
      </c>
      <c r="E122" s="69"/>
      <c r="F122" s="69"/>
      <c r="G122" s="69"/>
      <c r="H122" s="71">
        <f t="shared" si="6"/>
        <v>0</v>
      </c>
      <c r="I122" s="71"/>
      <c r="J122" s="69">
        <f t="shared" si="4"/>
        <v>0</v>
      </c>
    </row>
    <row r="123" ht="3" customHeight="1" spans="1:10">
      <c r="A123" s="68"/>
      <c r="B123" s="69"/>
      <c r="C123" s="70"/>
      <c r="D123" s="71">
        <f>'3-2-26'!I123</f>
        <v>0</v>
      </c>
      <c r="E123" s="69"/>
      <c r="F123" s="69"/>
      <c r="G123" s="69"/>
      <c r="H123" s="71">
        <f t="shared" si="6"/>
        <v>0</v>
      </c>
      <c r="I123" s="71"/>
      <c r="J123" s="69">
        <f t="shared" si="4"/>
        <v>0</v>
      </c>
    </row>
    <row r="124" ht="3" customHeight="1" spans="1:10">
      <c r="A124" s="68"/>
      <c r="B124" s="69"/>
      <c r="C124" s="70"/>
      <c r="D124" s="71">
        <f>'3-2-26'!I124</f>
        <v>0</v>
      </c>
      <c r="E124" s="69"/>
      <c r="F124" s="69"/>
      <c r="G124" s="69"/>
      <c r="H124" s="71">
        <f t="shared" si="6"/>
        <v>0</v>
      </c>
      <c r="I124" s="71"/>
      <c r="J124" s="69">
        <f t="shared" si="4"/>
        <v>0</v>
      </c>
    </row>
    <row r="125" ht="3" customHeight="1" spans="1:10">
      <c r="A125" s="68"/>
      <c r="B125" s="69"/>
      <c r="C125" s="70"/>
      <c r="D125" s="71">
        <f>'3-2-26'!I125</f>
        <v>0</v>
      </c>
      <c r="E125" s="69"/>
      <c r="F125" s="69"/>
      <c r="G125" s="69"/>
      <c r="H125" s="71">
        <f t="shared" si="6"/>
        <v>0</v>
      </c>
      <c r="I125" s="71"/>
      <c r="J125" s="69">
        <f t="shared" si="4"/>
        <v>0</v>
      </c>
    </row>
    <row r="126" ht="3" customHeight="1" spans="1:10">
      <c r="A126" s="68"/>
      <c r="B126" s="69"/>
      <c r="C126" s="70"/>
      <c r="D126" s="71">
        <f>'3-2-26'!I126</f>
        <v>0</v>
      </c>
      <c r="E126" s="69"/>
      <c r="F126" s="69"/>
      <c r="G126" s="69"/>
      <c r="H126" s="71">
        <f t="shared" si="6"/>
        <v>0</v>
      </c>
      <c r="I126" s="71"/>
      <c r="J126" s="69">
        <f t="shared" si="4"/>
        <v>0</v>
      </c>
    </row>
    <row r="127" ht="3" customHeight="1" spans="1:10">
      <c r="A127" s="68"/>
      <c r="B127" s="69"/>
      <c r="C127" s="70"/>
      <c r="D127" s="71">
        <f>'3-2-26'!I127</f>
        <v>0</v>
      </c>
      <c r="E127" s="69"/>
      <c r="F127" s="69"/>
      <c r="G127" s="69"/>
      <c r="H127" s="71">
        <f t="shared" si="6"/>
        <v>0</v>
      </c>
      <c r="I127" s="71"/>
      <c r="J127" s="69">
        <f t="shared" si="4"/>
        <v>0</v>
      </c>
    </row>
    <row r="128" ht="3" customHeight="1" spans="1:10">
      <c r="A128" s="68"/>
      <c r="B128" s="69"/>
      <c r="C128" s="70"/>
      <c r="D128" s="71">
        <f>'3-2-26'!I128</f>
        <v>0</v>
      </c>
      <c r="E128" s="69"/>
      <c r="F128" s="69"/>
      <c r="G128" s="69"/>
      <c r="H128" s="71">
        <f t="shared" si="6"/>
        <v>0</v>
      </c>
      <c r="I128" s="71"/>
      <c r="J128" s="69">
        <f t="shared" si="4"/>
        <v>0</v>
      </c>
    </row>
    <row r="129" ht="3" customHeight="1" spans="1:10">
      <c r="A129" s="68"/>
      <c r="B129" s="69"/>
      <c r="C129" s="70"/>
      <c r="D129" s="71">
        <f>'3-2-26'!I129</f>
        <v>0</v>
      </c>
      <c r="E129" s="69"/>
      <c r="F129" s="69"/>
      <c r="G129" s="69"/>
      <c r="H129" s="71">
        <f t="shared" si="6"/>
        <v>0</v>
      </c>
      <c r="I129" s="71"/>
      <c r="J129" s="69">
        <f t="shared" si="4"/>
        <v>0</v>
      </c>
    </row>
    <row r="130" ht="3" customHeight="1" spans="1:10">
      <c r="A130" s="68"/>
      <c r="B130" s="69"/>
      <c r="C130" s="70"/>
      <c r="D130" s="71">
        <f>'3-2-26'!I130</f>
        <v>0</v>
      </c>
      <c r="E130" s="69"/>
      <c r="F130" s="69"/>
      <c r="G130" s="69"/>
      <c r="H130" s="71">
        <f t="shared" si="6"/>
        <v>0</v>
      </c>
      <c r="I130" s="71"/>
      <c r="J130" s="69">
        <f t="shared" si="4"/>
        <v>0</v>
      </c>
    </row>
    <row r="131" ht="3" customHeight="1" spans="1:10">
      <c r="A131" s="68"/>
      <c r="B131" s="69"/>
      <c r="C131" s="70"/>
      <c r="D131" s="71">
        <f>'3-2-26'!I131</f>
        <v>0</v>
      </c>
      <c r="E131" s="69"/>
      <c r="F131" s="69"/>
      <c r="G131" s="69"/>
      <c r="H131" s="71">
        <f t="shared" si="6"/>
        <v>0</v>
      </c>
      <c r="I131" s="71"/>
      <c r="J131" s="69">
        <f t="shared" si="4"/>
        <v>0</v>
      </c>
    </row>
    <row r="132" ht="3" customHeight="1" spans="1:10">
      <c r="A132" s="68"/>
      <c r="B132" s="69"/>
      <c r="C132" s="70"/>
      <c r="D132" s="71">
        <f>'3-2-26'!I132</f>
        <v>0</v>
      </c>
      <c r="E132" s="69"/>
      <c r="F132" s="69"/>
      <c r="G132" s="69"/>
      <c r="H132" s="71">
        <f t="shared" si="6"/>
        <v>0</v>
      </c>
      <c r="I132" s="71"/>
      <c r="J132" s="69">
        <f t="shared" si="4"/>
        <v>0</v>
      </c>
    </row>
    <row r="133" ht="3" customHeight="1" spans="1:10">
      <c r="A133" s="68"/>
      <c r="B133" s="69"/>
      <c r="C133" s="70"/>
      <c r="D133" s="71">
        <f>'3-2-26'!I133</f>
        <v>0</v>
      </c>
      <c r="E133" s="69"/>
      <c r="F133" s="69"/>
      <c r="G133" s="69"/>
      <c r="H133" s="71">
        <f t="shared" si="6"/>
        <v>0</v>
      </c>
      <c r="I133" s="71"/>
      <c r="J133" s="69">
        <f t="shared" si="4"/>
        <v>0</v>
      </c>
    </row>
    <row r="134" ht="3" customHeight="1" spans="1:10">
      <c r="A134" s="68"/>
      <c r="B134" s="69"/>
      <c r="C134" s="70"/>
      <c r="D134" s="71">
        <f>'3-2-26'!I134</f>
        <v>0</v>
      </c>
      <c r="E134" s="69"/>
      <c r="F134" s="69"/>
      <c r="G134" s="69"/>
      <c r="H134" s="71">
        <f t="shared" si="6"/>
        <v>0</v>
      </c>
      <c r="I134" s="71"/>
      <c r="J134" s="69">
        <f t="shared" si="4"/>
        <v>0</v>
      </c>
    </row>
    <row r="135" ht="3" customHeight="1" spans="1:10">
      <c r="A135" s="68"/>
      <c r="B135" s="69"/>
      <c r="C135" s="70"/>
      <c r="D135" s="71">
        <f>'3-2-26'!I135</f>
        <v>0</v>
      </c>
      <c r="E135" s="69"/>
      <c r="F135" s="69"/>
      <c r="G135" s="69"/>
      <c r="H135" s="71">
        <f t="shared" si="6"/>
        <v>0</v>
      </c>
      <c r="I135" s="71"/>
      <c r="J135" s="69">
        <f t="shared" si="4"/>
        <v>0</v>
      </c>
    </row>
    <row r="136" ht="3" customHeight="1" spans="1:10">
      <c r="A136" s="68"/>
      <c r="B136" s="69"/>
      <c r="C136" s="70"/>
      <c r="D136" s="71">
        <f>'3-2-26'!I136</f>
        <v>0</v>
      </c>
      <c r="E136" s="69"/>
      <c r="F136" s="69"/>
      <c r="G136" s="69"/>
      <c r="H136" s="71">
        <f t="shared" si="6"/>
        <v>0</v>
      </c>
      <c r="I136" s="71"/>
      <c r="J136" s="69">
        <f t="shared" si="4"/>
        <v>0</v>
      </c>
    </row>
    <row r="137" ht="3" customHeight="1" spans="1:10">
      <c r="A137" s="68"/>
      <c r="B137" s="69"/>
      <c r="C137" s="70"/>
      <c r="D137" s="71">
        <f>'3-2-26'!I137</f>
        <v>0</v>
      </c>
      <c r="E137" s="69"/>
      <c r="F137" s="69"/>
      <c r="G137" s="69"/>
      <c r="H137" s="71">
        <f t="shared" si="6"/>
        <v>0</v>
      </c>
      <c r="I137" s="71"/>
      <c r="J137" s="69">
        <f t="shared" ref="J137:J186" si="7">1/10*G137</f>
        <v>0</v>
      </c>
    </row>
    <row r="138" ht="3" customHeight="1" spans="1:10">
      <c r="A138" s="68"/>
      <c r="B138" s="69"/>
      <c r="C138" s="70"/>
      <c r="D138" s="71">
        <f>'3-2-26'!I138</f>
        <v>0</v>
      </c>
      <c r="E138" s="69"/>
      <c r="F138" s="69"/>
      <c r="G138" s="69"/>
      <c r="H138" s="71">
        <f t="shared" si="6"/>
        <v>0</v>
      </c>
      <c r="I138" s="71"/>
      <c r="J138" s="69">
        <f t="shared" si="7"/>
        <v>0</v>
      </c>
    </row>
    <row r="139" ht="3" customHeight="1" spans="1:10">
      <c r="A139" s="68"/>
      <c r="B139" s="69"/>
      <c r="C139" s="70"/>
      <c r="D139" s="71">
        <f>'3-2-26'!I139</f>
        <v>0</v>
      </c>
      <c r="E139" s="69"/>
      <c r="F139" s="69"/>
      <c r="G139" s="69"/>
      <c r="H139" s="71">
        <f t="shared" si="6"/>
        <v>0</v>
      </c>
      <c r="I139" s="71"/>
      <c r="J139" s="69">
        <f t="shared" si="7"/>
        <v>0</v>
      </c>
    </row>
    <row r="140" ht="3" customHeight="1" spans="1:10">
      <c r="A140" s="68"/>
      <c r="B140" s="69"/>
      <c r="C140" s="70"/>
      <c r="D140" s="71">
        <f>'3-2-26'!I140</f>
        <v>0</v>
      </c>
      <c r="E140" s="69"/>
      <c r="F140" s="69"/>
      <c r="G140" s="69"/>
      <c r="H140" s="71">
        <f t="shared" si="6"/>
        <v>0</v>
      </c>
      <c r="I140" s="71"/>
      <c r="J140" s="69">
        <f t="shared" si="7"/>
        <v>0</v>
      </c>
    </row>
    <row r="141" ht="3" customHeight="1" spans="1:10">
      <c r="A141" s="68"/>
      <c r="B141" s="69"/>
      <c r="C141" s="70"/>
      <c r="D141" s="71">
        <f>'3-2-26'!I141</f>
        <v>0</v>
      </c>
      <c r="E141" s="69"/>
      <c r="F141" s="69"/>
      <c r="G141" s="69"/>
      <c r="H141" s="71">
        <f t="shared" si="6"/>
        <v>0</v>
      </c>
      <c r="I141" s="71"/>
      <c r="J141" s="69">
        <f t="shared" si="7"/>
        <v>0</v>
      </c>
    </row>
    <row r="142" ht="3" customHeight="1" spans="1:10">
      <c r="A142" s="68"/>
      <c r="B142" s="69"/>
      <c r="C142" s="70"/>
      <c r="D142" s="71">
        <f>'3-2-26'!I142</f>
        <v>0</v>
      </c>
      <c r="E142" s="69"/>
      <c r="F142" s="69"/>
      <c r="G142" s="69"/>
      <c r="H142" s="71">
        <f t="shared" si="6"/>
        <v>0</v>
      </c>
      <c r="I142" s="71"/>
      <c r="J142" s="69">
        <f t="shared" si="7"/>
        <v>0</v>
      </c>
    </row>
    <row r="143" ht="3" customHeight="1" spans="1:10">
      <c r="A143" s="68"/>
      <c r="B143" s="69"/>
      <c r="C143" s="70"/>
      <c r="D143" s="71">
        <f>'3-2-26'!I143</f>
        <v>0</v>
      </c>
      <c r="E143" s="69"/>
      <c r="F143" s="69"/>
      <c r="G143" s="69"/>
      <c r="H143" s="71">
        <f t="shared" si="6"/>
        <v>0</v>
      </c>
      <c r="I143" s="71"/>
      <c r="J143" s="69">
        <f t="shared" si="7"/>
        <v>0</v>
      </c>
    </row>
    <row r="144" ht="3" customHeight="1" spans="1:10">
      <c r="A144" s="68"/>
      <c r="B144" s="69"/>
      <c r="C144" s="70"/>
      <c r="D144" s="71">
        <f>'3-2-26'!I144</f>
        <v>0</v>
      </c>
      <c r="E144" s="69"/>
      <c r="F144" s="69"/>
      <c r="G144" s="69"/>
      <c r="H144" s="71">
        <f t="shared" si="6"/>
        <v>0</v>
      </c>
      <c r="I144" s="71"/>
      <c r="J144" s="69">
        <f t="shared" si="7"/>
        <v>0</v>
      </c>
    </row>
    <row r="145" ht="3" customHeight="1" spans="1:10">
      <c r="A145" s="68"/>
      <c r="B145" s="69"/>
      <c r="C145" s="70"/>
      <c r="D145" s="71">
        <f>'3-2-26'!I145</f>
        <v>0</v>
      </c>
      <c r="E145" s="69"/>
      <c r="F145" s="69"/>
      <c r="G145" s="69"/>
      <c r="H145" s="71">
        <f t="shared" si="6"/>
        <v>0</v>
      </c>
      <c r="I145" s="71"/>
      <c r="J145" s="69">
        <f t="shared" si="7"/>
        <v>0</v>
      </c>
    </row>
    <row r="146" ht="3" customHeight="1" spans="1:10">
      <c r="A146" s="68"/>
      <c r="B146" s="69"/>
      <c r="C146" s="70"/>
      <c r="D146" s="71">
        <f>'3-2-26'!I146</f>
        <v>0</v>
      </c>
      <c r="E146" s="69"/>
      <c r="F146" s="69"/>
      <c r="G146" s="69"/>
      <c r="H146" s="71">
        <f t="shared" si="6"/>
        <v>0</v>
      </c>
      <c r="I146" s="71"/>
      <c r="J146" s="69">
        <f t="shared" si="7"/>
        <v>0</v>
      </c>
    </row>
    <row r="147" ht="3" customHeight="1" spans="1:10">
      <c r="A147" s="68"/>
      <c r="B147" s="69"/>
      <c r="C147" s="70"/>
      <c r="D147" s="71">
        <f>'3-2-26'!I147</f>
        <v>0</v>
      </c>
      <c r="E147" s="69"/>
      <c r="F147" s="69"/>
      <c r="G147" s="69"/>
      <c r="H147" s="71">
        <f t="shared" si="6"/>
        <v>0</v>
      </c>
      <c r="I147" s="71"/>
      <c r="J147" s="69">
        <f t="shared" si="7"/>
        <v>0</v>
      </c>
    </row>
    <row r="148" ht="3" customHeight="1" spans="1:10">
      <c r="A148" s="68"/>
      <c r="B148" s="69"/>
      <c r="C148" s="70"/>
      <c r="D148" s="71">
        <f>'3-2-26'!I148</f>
        <v>0</v>
      </c>
      <c r="E148" s="69"/>
      <c r="F148" s="69"/>
      <c r="G148" s="69"/>
      <c r="H148" s="71">
        <f t="shared" si="6"/>
        <v>0</v>
      </c>
      <c r="I148" s="71"/>
      <c r="J148" s="69">
        <f t="shared" si="7"/>
        <v>0</v>
      </c>
    </row>
    <row r="149" ht="3" customHeight="1" spans="1:10">
      <c r="A149" s="68"/>
      <c r="B149" s="69"/>
      <c r="C149" s="70"/>
      <c r="D149" s="71">
        <f>'3-2-26'!I149</f>
        <v>0</v>
      </c>
      <c r="E149" s="69"/>
      <c r="F149" s="69"/>
      <c r="G149" s="69"/>
      <c r="H149" s="71">
        <f t="shared" si="6"/>
        <v>0</v>
      </c>
      <c r="I149" s="71"/>
      <c r="J149" s="69">
        <f t="shared" si="7"/>
        <v>0</v>
      </c>
    </row>
    <row r="150" ht="3" customHeight="1" spans="1:10">
      <c r="A150" s="68"/>
      <c r="B150" s="69"/>
      <c r="C150" s="70"/>
      <c r="D150" s="71">
        <f>'3-2-26'!I150</f>
        <v>0</v>
      </c>
      <c r="E150" s="69"/>
      <c r="F150" s="69"/>
      <c r="G150" s="69"/>
      <c r="H150" s="71">
        <f t="shared" si="6"/>
        <v>0</v>
      </c>
      <c r="I150" s="71"/>
      <c r="J150" s="69">
        <f t="shared" si="7"/>
        <v>0</v>
      </c>
    </row>
    <row r="151" ht="3" customHeight="1" spans="1:10">
      <c r="A151" s="68"/>
      <c r="B151" s="69"/>
      <c r="C151" s="70"/>
      <c r="D151" s="71">
        <f>'3-2-26'!I151</f>
        <v>0</v>
      </c>
      <c r="E151" s="69"/>
      <c r="F151" s="69"/>
      <c r="G151" s="69"/>
      <c r="H151" s="71">
        <f t="shared" si="6"/>
        <v>0</v>
      </c>
      <c r="I151" s="71"/>
      <c r="J151" s="69">
        <f t="shared" si="7"/>
        <v>0</v>
      </c>
    </row>
    <row r="152" ht="3" customHeight="1" spans="1:10">
      <c r="A152" s="68"/>
      <c r="B152" s="69"/>
      <c r="C152" s="70"/>
      <c r="D152" s="71">
        <f>'3-2-26'!I152</f>
        <v>0</v>
      </c>
      <c r="E152" s="69"/>
      <c r="F152" s="69"/>
      <c r="G152" s="69"/>
      <c r="H152" s="71">
        <f t="shared" si="6"/>
        <v>0</v>
      </c>
      <c r="I152" s="71"/>
      <c r="J152" s="69">
        <f t="shared" si="7"/>
        <v>0</v>
      </c>
    </row>
    <row r="153" ht="3" customHeight="1" spans="1:10">
      <c r="A153" s="68"/>
      <c r="B153" s="69"/>
      <c r="C153" s="70"/>
      <c r="D153" s="71">
        <f>'3-2-26'!I153</f>
        <v>0</v>
      </c>
      <c r="E153" s="69"/>
      <c r="F153" s="69"/>
      <c r="G153" s="69"/>
      <c r="H153" s="71">
        <f t="shared" si="6"/>
        <v>0</v>
      </c>
      <c r="I153" s="71"/>
      <c r="J153" s="69">
        <f t="shared" si="7"/>
        <v>0</v>
      </c>
    </row>
    <row r="154" ht="3" customHeight="1" spans="1:10">
      <c r="A154" s="68"/>
      <c r="B154" s="69"/>
      <c r="C154" s="70"/>
      <c r="D154" s="71">
        <f>'3-2-26'!I154</f>
        <v>0</v>
      </c>
      <c r="E154" s="69"/>
      <c r="F154" s="69"/>
      <c r="G154" s="69"/>
      <c r="H154" s="71">
        <f t="shared" si="6"/>
        <v>0</v>
      </c>
      <c r="I154" s="71"/>
      <c r="J154" s="69">
        <f t="shared" si="7"/>
        <v>0</v>
      </c>
    </row>
    <row r="155" ht="3" customHeight="1" spans="1:10">
      <c r="A155" s="68"/>
      <c r="B155" s="69"/>
      <c r="C155" s="70"/>
      <c r="D155" s="71">
        <f>'3-2-26'!I155</f>
        <v>0</v>
      </c>
      <c r="E155" s="69"/>
      <c r="F155" s="69"/>
      <c r="G155" s="69"/>
      <c r="H155" s="71">
        <f t="shared" si="6"/>
        <v>0</v>
      </c>
      <c r="I155" s="71"/>
      <c r="J155" s="69">
        <f t="shared" si="7"/>
        <v>0</v>
      </c>
    </row>
    <row r="156" ht="3" customHeight="1" spans="1:10">
      <c r="A156" s="68"/>
      <c r="B156" s="69"/>
      <c r="C156" s="70"/>
      <c r="D156" s="71">
        <f>'3-2-26'!I156</f>
        <v>0</v>
      </c>
      <c r="E156" s="69"/>
      <c r="F156" s="69"/>
      <c r="G156" s="69"/>
      <c r="H156" s="71">
        <f t="shared" si="6"/>
        <v>0</v>
      </c>
      <c r="I156" s="71"/>
      <c r="J156" s="69">
        <f t="shared" si="7"/>
        <v>0</v>
      </c>
    </row>
    <row r="157" ht="3" customHeight="1" spans="1:10">
      <c r="A157" s="68"/>
      <c r="B157" s="69"/>
      <c r="C157" s="70"/>
      <c r="D157" s="71">
        <f>'3-2-26'!I157</f>
        <v>0</v>
      </c>
      <c r="E157" s="69"/>
      <c r="F157" s="69"/>
      <c r="G157" s="69"/>
      <c r="H157" s="71">
        <f t="shared" si="6"/>
        <v>0</v>
      </c>
      <c r="I157" s="71"/>
      <c r="J157" s="69">
        <f t="shared" si="7"/>
        <v>0</v>
      </c>
    </row>
    <row r="158" ht="3" customHeight="1" spans="1:10">
      <c r="A158" s="68"/>
      <c r="B158" s="69"/>
      <c r="C158" s="70"/>
      <c r="D158" s="71">
        <f>'3-2-26'!I158</f>
        <v>0</v>
      </c>
      <c r="E158" s="69"/>
      <c r="F158" s="69"/>
      <c r="G158" s="69"/>
      <c r="H158" s="71">
        <f t="shared" si="6"/>
        <v>0</v>
      </c>
      <c r="I158" s="71"/>
      <c r="J158" s="69">
        <f t="shared" si="7"/>
        <v>0</v>
      </c>
    </row>
    <row r="159" ht="3" customHeight="1" spans="1:10">
      <c r="A159" s="68"/>
      <c r="B159" s="69"/>
      <c r="C159" s="70"/>
      <c r="D159" s="71">
        <f>'3-2-26'!I159</f>
        <v>0</v>
      </c>
      <c r="E159" s="69"/>
      <c r="F159" s="69"/>
      <c r="G159" s="69"/>
      <c r="H159" s="71">
        <f t="shared" si="6"/>
        <v>0</v>
      </c>
      <c r="I159" s="71"/>
      <c r="J159" s="69">
        <f t="shared" si="7"/>
        <v>0</v>
      </c>
    </row>
    <row r="160" ht="3" customHeight="1" spans="1:10">
      <c r="A160" s="68"/>
      <c r="B160" s="69"/>
      <c r="C160" s="70"/>
      <c r="D160" s="71">
        <f>'3-2-26'!I160</f>
        <v>0</v>
      </c>
      <c r="E160" s="69"/>
      <c r="F160" s="69"/>
      <c r="G160" s="69"/>
      <c r="H160" s="71">
        <f t="shared" si="6"/>
        <v>0</v>
      </c>
      <c r="I160" s="71"/>
      <c r="J160" s="69">
        <f t="shared" si="7"/>
        <v>0</v>
      </c>
    </row>
    <row r="161" ht="3" customHeight="1" spans="1:10">
      <c r="A161" s="68"/>
      <c r="B161" s="69"/>
      <c r="C161" s="70"/>
      <c r="D161" s="71">
        <f>'3-2-26'!I161</f>
        <v>0</v>
      </c>
      <c r="E161" s="69"/>
      <c r="F161" s="69"/>
      <c r="G161" s="69"/>
      <c r="H161" s="71">
        <f t="shared" si="6"/>
        <v>0</v>
      </c>
      <c r="I161" s="71"/>
      <c r="J161" s="69">
        <f t="shared" si="7"/>
        <v>0</v>
      </c>
    </row>
    <row r="162" ht="3" customHeight="1" spans="1:10">
      <c r="A162" s="68"/>
      <c r="B162" s="69"/>
      <c r="C162" s="70"/>
      <c r="D162" s="71">
        <f>'3-2-26'!I162</f>
        <v>0</v>
      </c>
      <c r="E162" s="69"/>
      <c r="F162" s="69"/>
      <c r="G162" s="69"/>
      <c r="H162" s="71">
        <f t="shared" si="6"/>
        <v>0</v>
      </c>
      <c r="I162" s="71"/>
      <c r="J162" s="69">
        <f t="shared" si="7"/>
        <v>0</v>
      </c>
    </row>
    <row r="163" ht="3" customHeight="1" spans="1:10">
      <c r="A163" s="68"/>
      <c r="B163" s="69"/>
      <c r="C163" s="70"/>
      <c r="D163" s="71">
        <f>'3-2-26'!I163</f>
        <v>0</v>
      </c>
      <c r="E163" s="69"/>
      <c r="F163" s="69"/>
      <c r="G163" s="69"/>
      <c r="H163" s="71">
        <f t="shared" si="6"/>
        <v>0</v>
      </c>
      <c r="I163" s="71"/>
      <c r="J163" s="69">
        <f t="shared" si="7"/>
        <v>0</v>
      </c>
    </row>
    <row r="164" ht="3" customHeight="1" spans="1:10">
      <c r="A164" s="68"/>
      <c r="B164" s="69"/>
      <c r="C164" s="70"/>
      <c r="D164" s="71">
        <f>'3-2-26'!I164</f>
        <v>0</v>
      </c>
      <c r="E164" s="69"/>
      <c r="F164" s="69"/>
      <c r="G164" s="69"/>
      <c r="H164" s="71">
        <f t="shared" si="6"/>
        <v>0</v>
      </c>
      <c r="I164" s="71"/>
      <c r="J164" s="69">
        <f t="shared" si="7"/>
        <v>0</v>
      </c>
    </row>
    <row r="165" ht="3" customHeight="1" spans="1:10">
      <c r="A165" s="68"/>
      <c r="B165" s="69"/>
      <c r="C165" s="70"/>
      <c r="D165" s="71">
        <f>'3-2-26'!I165</f>
        <v>0</v>
      </c>
      <c r="E165" s="69"/>
      <c r="F165" s="69"/>
      <c r="G165" s="69"/>
      <c r="H165" s="71">
        <f t="shared" si="6"/>
        <v>0</v>
      </c>
      <c r="I165" s="71"/>
      <c r="J165" s="69">
        <f t="shared" si="7"/>
        <v>0</v>
      </c>
    </row>
    <row r="166" ht="3" customHeight="1" spans="1:10">
      <c r="A166" s="68"/>
      <c r="B166" s="69"/>
      <c r="C166" s="70"/>
      <c r="D166" s="71">
        <f>'3-2-26'!I166</f>
        <v>0</v>
      </c>
      <c r="E166" s="69"/>
      <c r="F166" s="69"/>
      <c r="G166" s="69"/>
      <c r="H166" s="71">
        <f t="shared" si="6"/>
        <v>0</v>
      </c>
      <c r="I166" s="71"/>
      <c r="J166" s="69">
        <f t="shared" si="7"/>
        <v>0</v>
      </c>
    </row>
    <row r="167" ht="3" customHeight="1" spans="1:10">
      <c r="A167" s="68"/>
      <c r="B167" s="69"/>
      <c r="C167" s="70"/>
      <c r="D167" s="71">
        <f>'3-2-26'!I167</f>
        <v>0</v>
      </c>
      <c r="E167" s="69"/>
      <c r="F167" s="69"/>
      <c r="G167" s="69"/>
      <c r="H167" s="71">
        <f t="shared" si="6"/>
        <v>0</v>
      </c>
      <c r="I167" s="71"/>
      <c r="J167" s="69">
        <f t="shared" si="7"/>
        <v>0</v>
      </c>
    </row>
    <row r="168" ht="3" customHeight="1" spans="1:10">
      <c r="A168" s="68"/>
      <c r="B168" s="69"/>
      <c r="C168" s="70"/>
      <c r="D168" s="71">
        <f>'3-2-26'!I168</f>
        <v>0</v>
      </c>
      <c r="E168" s="69"/>
      <c r="F168" s="69"/>
      <c r="G168" s="69"/>
      <c r="H168" s="71">
        <f t="shared" si="6"/>
        <v>0</v>
      </c>
      <c r="I168" s="71"/>
      <c r="J168" s="69">
        <f t="shared" si="7"/>
        <v>0</v>
      </c>
    </row>
    <row r="169" ht="3" customHeight="1" spans="1:10">
      <c r="A169" s="68"/>
      <c r="B169" s="69"/>
      <c r="C169" s="70"/>
      <c r="D169" s="71">
        <f>'3-2-26'!I169</f>
        <v>0</v>
      </c>
      <c r="E169" s="69"/>
      <c r="F169" s="69"/>
      <c r="G169" s="69"/>
      <c r="H169" s="71">
        <f t="shared" si="6"/>
        <v>0</v>
      </c>
      <c r="I169" s="71"/>
      <c r="J169" s="69">
        <f t="shared" si="7"/>
        <v>0</v>
      </c>
    </row>
    <row r="170" ht="3" customHeight="1" spans="1:10">
      <c r="A170" s="68"/>
      <c r="B170" s="69"/>
      <c r="C170" s="70"/>
      <c r="D170" s="71">
        <f>'3-2-26'!I170</f>
        <v>0</v>
      </c>
      <c r="E170" s="69"/>
      <c r="F170" s="69"/>
      <c r="G170" s="69"/>
      <c r="H170" s="71">
        <f t="shared" si="6"/>
        <v>0</v>
      </c>
      <c r="I170" s="71"/>
      <c r="J170" s="69">
        <f t="shared" si="7"/>
        <v>0</v>
      </c>
    </row>
    <row r="171" ht="3" customHeight="1" spans="1:10">
      <c r="A171" s="68"/>
      <c r="B171" s="69"/>
      <c r="C171" s="70"/>
      <c r="D171" s="71">
        <f>'3-2-26'!I171</f>
        <v>0</v>
      </c>
      <c r="E171" s="69"/>
      <c r="F171" s="69"/>
      <c r="G171" s="69"/>
      <c r="H171" s="71">
        <f t="shared" si="6"/>
        <v>0</v>
      </c>
      <c r="I171" s="71"/>
      <c r="J171" s="69">
        <f t="shared" si="7"/>
        <v>0</v>
      </c>
    </row>
    <row r="172" ht="3" customHeight="1" spans="1:10">
      <c r="A172" s="68"/>
      <c r="B172" s="69"/>
      <c r="C172" s="70"/>
      <c r="D172" s="71">
        <f>'3-2-26'!I172</f>
        <v>0</v>
      </c>
      <c r="E172" s="69"/>
      <c r="F172" s="69"/>
      <c r="G172" s="69"/>
      <c r="H172" s="71">
        <f t="shared" si="6"/>
        <v>0</v>
      </c>
      <c r="I172" s="71"/>
      <c r="J172" s="69">
        <f t="shared" si="7"/>
        <v>0</v>
      </c>
    </row>
    <row r="173" ht="3" customHeight="1" spans="1:10">
      <c r="A173" s="68"/>
      <c r="B173" s="69"/>
      <c r="C173" s="70"/>
      <c r="D173" s="71">
        <f>'3-2-26'!I173</f>
        <v>0</v>
      </c>
      <c r="E173" s="69"/>
      <c r="F173" s="69"/>
      <c r="G173" s="69"/>
      <c r="H173" s="71">
        <f t="shared" si="6"/>
        <v>0</v>
      </c>
      <c r="I173" s="71"/>
      <c r="J173" s="69">
        <f t="shared" si="7"/>
        <v>0</v>
      </c>
    </row>
    <row r="174" ht="3" customHeight="1" spans="1:10">
      <c r="A174" s="68"/>
      <c r="B174" s="69"/>
      <c r="C174" s="70"/>
      <c r="D174" s="71">
        <f>'3-2-26'!I174</f>
        <v>0</v>
      </c>
      <c r="E174" s="69"/>
      <c r="F174" s="69"/>
      <c r="G174" s="69"/>
      <c r="H174" s="71">
        <f t="shared" si="6"/>
        <v>0</v>
      </c>
      <c r="I174" s="71"/>
      <c r="J174" s="69">
        <f t="shared" si="7"/>
        <v>0</v>
      </c>
    </row>
    <row r="175" ht="3" customHeight="1" spans="1:10">
      <c r="A175" s="68"/>
      <c r="B175" s="69"/>
      <c r="C175" s="70"/>
      <c r="D175" s="71">
        <f>'3-2-26'!I175</f>
        <v>0</v>
      </c>
      <c r="E175" s="69"/>
      <c r="F175" s="69"/>
      <c r="G175" s="69"/>
      <c r="H175" s="71">
        <f t="shared" ref="H175:H186" si="8">SUM(F175:G175)</f>
        <v>0</v>
      </c>
      <c r="I175" s="71"/>
      <c r="J175" s="69">
        <f t="shared" si="7"/>
        <v>0</v>
      </c>
    </row>
    <row r="176" ht="3" customHeight="1" spans="1:10">
      <c r="A176" s="68"/>
      <c r="B176" s="69"/>
      <c r="C176" s="70"/>
      <c r="D176" s="71">
        <f>'3-2-26'!I176</f>
        <v>0</v>
      </c>
      <c r="E176" s="69"/>
      <c r="F176" s="69"/>
      <c r="G176" s="69"/>
      <c r="H176" s="71">
        <f t="shared" si="8"/>
        <v>0</v>
      </c>
      <c r="I176" s="71"/>
      <c r="J176" s="69">
        <f t="shared" si="7"/>
        <v>0</v>
      </c>
    </row>
    <row r="177" ht="3" customHeight="1" spans="1:11">
      <c r="A177" s="68"/>
      <c r="B177" s="69"/>
      <c r="C177" s="70"/>
      <c r="D177" s="71">
        <f>'3-2-26'!I177</f>
        <v>0</v>
      </c>
      <c r="E177" s="69"/>
      <c r="F177" s="69"/>
      <c r="G177" s="69"/>
      <c r="H177" s="71">
        <f t="shared" si="8"/>
        <v>0</v>
      </c>
      <c r="I177" s="71"/>
      <c r="J177" s="69">
        <f t="shared" si="7"/>
        <v>0</v>
      </c>
    </row>
    <row r="178" ht="3" customHeight="1" spans="1:11">
      <c r="A178" s="68"/>
      <c r="B178" s="69"/>
      <c r="C178" s="70"/>
      <c r="D178" s="71">
        <f>'3-2-26'!I178</f>
        <v>0</v>
      </c>
      <c r="E178" s="69"/>
      <c r="F178" s="69"/>
      <c r="G178" s="69"/>
      <c r="H178" s="71">
        <f t="shared" si="8"/>
        <v>0</v>
      </c>
      <c r="I178" s="71"/>
      <c r="J178" s="69">
        <f t="shared" si="7"/>
        <v>0</v>
      </c>
    </row>
    <row r="179" ht="3" customHeight="1" spans="1:11">
      <c r="A179" s="68"/>
      <c r="B179" s="69"/>
      <c r="C179" s="70"/>
      <c r="D179" s="71">
        <f>'3-2-26'!I179</f>
        <v>0</v>
      </c>
      <c r="E179" s="69"/>
      <c r="F179" s="69"/>
      <c r="G179" s="69"/>
      <c r="H179" s="71">
        <f t="shared" si="8"/>
        <v>0</v>
      </c>
      <c r="I179" s="71"/>
      <c r="J179" s="69">
        <f t="shared" si="7"/>
        <v>0</v>
      </c>
    </row>
    <row r="180" ht="3" customHeight="1" spans="1:11">
      <c r="A180" s="68"/>
      <c r="B180" s="69"/>
      <c r="C180" s="70"/>
      <c r="D180" s="71">
        <f>'3-2-26'!I180</f>
        <v>0</v>
      </c>
      <c r="E180" s="69"/>
      <c r="F180" s="69"/>
      <c r="G180" s="69"/>
      <c r="H180" s="71">
        <f t="shared" si="8"/>
        <v>0</v>
      </c>
      <c r="I180" s="71"/>
      <c r="J180" s="69">
        <f t="shared" si="7"/>
        <v>0</v>
      </c>
    </row>
    <row r="181" ht="3" customHeight="1" spans="1:11">
      <c r="A181" s="68"/>
      <c r="B181" s="69"/>
      <c r="C181" s="70"/>
      <c r="D181" s="71">
        <f>'3-2-26'!I181</f>
        <v>0</v>
      </c>
      <c r="E181" s="69"/>
      <c r="F181" s="69"/>
      <c r="G181" s="69"/>
      <c r="H181" s="71">
        <f t="shared" si="8"/>
        <v>0</v>
      </c>
      <c r="I181" s="71"/>
      <c r="J181" s="69">
        <f t="shared" si="7"/>
        <v>0</v>
      </c>
    </row>
    <row r="182" ht="3" customHeight="1" spans="1:11">
      <c r="A182" s="68"/>
      <c r="B182" s="69"/>
      <c r="C182" s="70"/>
      <c r="D182" s="71">
        <f>'3-2-26'!I182</f>
        <v>0</v>
      </c>
      <c r="E182" s="69"/>
      <c r="F182" s="69"/>
      <c r="G182" s="69"/>
      <c r="H182" s="71">
        <f t="shared" si="8"/>
        <v>0</v>
      </c>
      <c r="I182" s="71"/>
      <c r="J182" s="69">
        <f t="shared" si="7"/>
        <v>0</v>
      </c>
    </row>
    <row r="183" ht="3" customHeight="1" spans="1:11">
      <c r="A183" s="68"/>
      <c r="B183" s="69"/>
      <c r="C183" s="70"/>
      <c r="D183" s="71">
        <f>'3-2-26'!I183</f>
        <v>0</v>
      </c>
      <c r="E183" s="69"/>
      <c r="F183" s="69"/>
      <c r="G183" s="69"/>
      <c r="H183" s="71">
        <f t="shared" si="8"/>
        <v>0</v>
      </c>
      <c r="I183" s="71"/>
      <c r="J183" s="69">
        <f t="shared" si="7"/>
        <v>0</v>
      </c>
    </row>
    <row r="184" ht="3" customHeight="1" spans="1:11">
      <c r="A184" s="68"/>
      <c r="B184" s="69"/>
      <c r="C184" s="70"/>
      <c r="D184" s="71">
        <f>'3-2-26'!I184</f>
        <v>0</v>
      </c>
      <c r="E184" s="69"/>
      <c r="F184" s="69"/>
      <c r="G184" s="69"/>
      <c r="H184" s="71">
        <f t="shared" si="8"/>
        <v>0</v>
      </c>
      <c r="I184" s="71"/>
      <c r="J184" s="69">
        <f t="shared" si="7"/>
        <v>0</v>
      </c>
    </row>
    <row r="185" ht="12.75" customHeight="1" spans="1:11">
      <c r="A185" s="68"/>
      <c r="B185" s="69"/>
      <c r="C185" s="70"/>
      <c r="D185" s="71">
        <f>'3-2-26'!I185</f>
        <v>0</v>
      </c>
      <c r="E185" s="69"/>
      <c r="F185" s="69"/>
      <c r="G185" s="69"/>
      <c r="H185" s="71">
        <f t="shared" si="8"/>
        <v>0</v>
      </c>
      <c r="I185" s="71"/>
      <c r="J185" s="69">
        <f t="shared" si="7"/>
        <v>0</v>
      </c>
    </row>
    <row r="186" ht="12.75" spans="1:11">
      <c r="A186" s="68"/>
      <c r="B186" s="69"/>
      <c r="C186" s="74"/>
      <c r="D186" s="71">
        <f>'3-2-26'!I186</f>
        <v>0</v>
      </c>
      <c r="E186" s="69"/>
      <c r="F186" s="69"/>
      <c r="G186" s="69"/>
      <c r="H186" s="71">
        <f t="shared" si="8"/>
        <v>0</v>
      </c>
      <c r="I186" s="71">
        <f t="shared" si="2"/>
        <v>0</v>
      </c>
      <c r="J186" s="69">
        <f t="shared" si="7"/>
        <v>0</v>
      </c>
    </row>
    <row r="187" ht="11.25" spans="1:11">
      <c r="A187" s="75"/>
      <c r="B187" s="76" t="s">
        <v>124</v>
      </c>
      <c r="C187" s="77"/>
      <c r="D187" s="78">
        <f>SUM(D9:D186)</f>
        <v>366692000</v>
      </c>
      <c r="E187" s="78">
        <f t="shared" ref="E187:J187" si="9">SUM(E9:E186)</f>
        <v>91</v>
      </c>
      <c r="F187" s="78">
        <f t="shared" si="9"/>
        <v>3070000</v>
      </c>
      <c r="G187" s="78">
        <f t="shared" si="9"/>
        <v>1700000</v>
      </c>
      <c r="H187" s="78">
        <f t="shared" si="9"/>
        <v>4770000</v>
      </c>
      <c r="I187" s="78">
        <f t="shared" si="9"/>
        <v>363622000</v>
      </c>
      <c r="J187" s="78">
        <f t="shared" si="9"/>
        <v>170000</v>
      </c>
    </row>
    <row r="188" ht="12.75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1700000</v>
      </c>
      <c r="F190" s="129" t="s">
        <v>157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85000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935000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42500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42500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42500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42500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170000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425000</v>
      </c>
    </row>
    <row r="200" customHeight="1" spans="1:11">
      <c r="B200" s="87" t="s">
        <v>124</v>
      </c>
      <c r="C200" s="88" t="s">
        <v>128</v>
      </c>
      <c r="D200" s="87">
        <f>SUM(D193:D199)</f>
        <v>1700000</v>
      </c>
    </row>
    <row r="201" customHeight="1" spans="1:11">
      <c r="E201" s="47"/>
    </row>
    <row r="205" ht="12.75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2" top="0.75" bottom="2.25" header="0.3" footer="0.3"/>
  <pageSetup paperSize="5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zoomScale="130" zoomScaleNormal="130" topLeftCell="A184" workbookViewId="0">
      <selection activeCell="I187" sqref="I187"/>
    </sheetView>
  </sheetViews>
  <sheetFormatPr defaultColWidth="9.14285714285714" defaultRowHeight="11.25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1.1428571428571" style="45" customWidth="1"/>
    <col min="5" max="5" width="6.42857142857143" style="45" customWidth="1"/>
    <col min="6" max="7" width="9.85714285714286" style="45" customWidth="1"/>
    <col min="8" max="8" width="10.1428571428571" style="45" customWidth="1"/>
    <col min="9" max="9" width="11.4285714285714" style="45" customWidth="1"/>
    <col min="10" max="10" width="7.85714285714286" style="45" customWidth="1"/>
    <col min="11" max="16384" width="9.14285714285714" style="45"/>
  </cols>
  <sheetData>
    <row r="1" customHeight="1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customHeight="1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customHeight="1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customHeight="1" spans="1:10">
      <c r="A4" s="51"/>
      <c r="B4" s="51"/>
      <c r="C4" s="52"/>
      <c r="D4" s="53"/>
      <c r="E4" s="53"/>
      <c r="F4" s="53"/>
      <c r="G4" s="53"/>
    </row>
    <row r="5" customHeight="1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customHeight="1" spans="1:10">
      <c r="A6" s="55" t="s">
        <v>158</v>
      </c>
      <c r="B6" s="55"/>
      <c r="C6" s="55"/>
      <c r="D6" s="55"/>
      <c r="E6" s="55"/>
      <c r="F6" s="55"/>
      <c r="G6" s="55"/>
      <c r="H6" s="55"/>
      <c r="I6" s="55"/>
      <c r="J6" s="55"/>
    </row>
    <row r="7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customHeight="1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customHeight="1" spans="1:10">
      <c r="A9" s="68">
        <v>1</v>
      </c>
      <c r="B9" s="69" t="s">
        <v>15</v>
      </c>
      <c r="C9" s="127" t="s">
        <v>16</v>
      </c>
      <c r="D9" s="71">
        <f>'17-2-26'!I9</f>
        <v>5500000</v>
      </c>
      <c r="E9" s="69"/>
      <c r="F9" s="69"/>
      <c r="G9" s="69"/>
      <c r="H9" s="71">
        <f t="shared" ref="H9:H72" si="0">SUM(F9:G9)</f>
        <v>0</v>
      </c>
      <c r="I9" s="71">
        <f>D9-F9</f>
        <v>5500000</v>
      </c>
      <c r="J9" s="69">
        <f t="shared" ref="J9:J72" si="1">1/10*G9</f>
        <v>0</v>
      </c>
    </row>
    <row r="10" customHeight="1" spans="1:10">
      <c r="A10" s="68">
        <v>2</v>
      </c>
      <c r="B10" s="69" t="s">
        <v>17</v>
      </c>
      <c r="C10" s="127" t="s">
        <v>18</v>
      </c>
      <c r="D10" s="71">
        <f>'17-2-26'!I10</f>
        <v>1910000</v>
      </c>
      <c r="E10" s="69"/>
      <c r="F10" s="69"/>
      <c r="G10" s="69"/>
      <c r="H10" s="71">
        <f t="shared" si="0"/>
        <v>0</v>
      </c>
      <c r="I10" s="71">
        <f t="shared" ref="I10:I186" si="2">D10-F10</f>
        <v>1910000</v>
      </c>
      <c r="J10" s="69">
        <f t="shared" si="1"/>
        <v>0</v>
      </c>
    </row>
    <row r="11" customHeight="1" spans="1:10">
      <c r="A11" s="68">
        <v>3</v>
      </c>
      <c r="B11" s="69" t="s">
        <v>19</v>
      </c>
      <c r="C11" s="127" t="s">
        <v>20</v>
      </c>
      <c r="D11" s="71">
        <f>'17-2-26'!I11</f>
        <v>0</v>
      </c>
      <c r="E11" s="72"/>
      <c r="F11" s="71"/>
      <c r="G11" s="71"/>
      <c r="H11" s="71">
        <f t="shared" si="0"/>
        <v>0</v>
      </c>
      <c r="I11" s="71">
        <f t="shared" si="2"/>
        <v>0</v>
      </c>
      <c r="J11" s="69">
        <f t="shared" si="1"/>
        <v>0</v>
      </c>
    </row>
    <row r="12" customHeight="1" spans="1:10">
      <c r="A12" s="68">
        <v>4</v>
      </c>
      <c r="B12" s="69" t="s">
        <v>21</v>
      </c>
      <c r="C12" s="127" t="s">
        <v>22</v>
      </c>
      <c r="D12" s="71">
        <f>'17-2-26'!I12</f>
        <v>13750000</v>
      </c>
      <c r="E12" s="69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customHeight="1" spans="1:10">
      <c r="A13" s="68">
        <v>5</v>
      </c>
      <c r="B13" s="69" t="s">
        <v>23</v>
      </c>
      <c r="C13" s="127" t="s">
        <v>24</v>
      </c>
      <c r="D13" s="71">
        <f>'17-2-26'!I13</f>
        <v>19950000</v>
      </c>
      <c r="E13" s="69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customHeight="1" spans="1:10">
      <c r="A14" s="68">
        <v>6</v>
      </c>
      <c r="B14" s="69" t="s">
        <v>25</v>
      </c>
      <c r="C14" s="127" t="s">
        <v>26</v>
      </c>
      <c r="D14" s="71">
        <f>'17-2-26'!I14</f>
        <v>100000</v>
      </c>
      <c r="E14" s="69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customHeight="1" spans="1:10">
      <c r="A15" s="68">
        <v>7</v>
      </c>
      <c r="B15" s="69" t="s">
        <v>27</v>
      </c>
      <c r="C15" s="127" t="s">
        <v>28</v>
      </c>
      <c r="D15" s="71">
        <f>'17-2-26'!I15</f>
        <v>10500000</v>
      </c>
      <c r="E15" s="69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customHeight="1" spans="1:10">
      <c r="A16" s="68">
        <v>8</v>
      </c>
      <c r="B16" s="69" t="s">
        <v>29</v>
      </c>
      <c r="C16" s="127" t="s">
        <v>30</v>
      </c>
      <c r="D16" s="71">
        <f>'17-2-26'!I16</f>
        <v>15310000</v>
      </c>
      <c r="E16" s="69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customHeight="1" spans="1:10">
      <c r="A17" s="68">
        <v>9</v>
      </c>
      <c r="B17" s="69" t="s">
        <v>31</v>
      </c>
      <c r="C17" s="128" t="s">
        <v>32</v>
      </c>
      <c r="D17" s="71">
        <f>'17-2-26'!I17</f>
        <v>6150000</v>
      </c>
      <c r="E17" s="69"/>
      <c r="F17" s="69"/>
      <c r="G17" s="69"/>
      <c r="H17" s="71">
        <f t="shared" si="0"/>
        <v>0</v>
      </c>
      <c r="I17" s="71">
        <f t="shared" si="2"/>
        <v>6150000</v>
      </c>
      <c r="J17" s="69">
        <f t="shared" si="1"/>
        <v>0</v>
      </c>
    </row>
    <row r="18" customHeight="1" spans="1:10">
      <c r="A18" s="68">
        <v>10</v>
      </c>
      <c r="B18" s="69" t="s">
        <v>33</v>
      </c>
      <c r="C18" s="128" t="s">
        <v>34</v>
      </c>
      <c r="D18" s="71">
        <f>'17-2-26'!I18</f>
        <v>12595000</v>
      </c>
      <c r="E18" s="69">
        <v>11</v>
      </c>
      <c r="F18" s="69"/>
      <c r="G18" s="69">
        <v>400000</v>
      </c>
      <c r="H18" s="71">
        <f t="shared" si="0"/>
        <v>400000</v>
      </c>
      <c r="I18" s="71">
        <f t="shared" si="2"/>
        <v>12595000</v>
      </c>
      <c r="J18" s="69">
        <f t="shared" si="1"/>
        <v>40000</v>
      </c>
    </row>
    <row r="19" customHeight="1" spans="1:10">
      <c r="A19" s="68">
        <v>11</v>
      </c>
      <c r="B19" s="69" t="s">
        <v>35</v>
      </c>
      <c r="C19" s="128" t="s">
        <v>36</v>
      </c>
      <c r="D19" s="71">
        <f>'17-2-26'!I19</f>
        <v>3750000</v>
      </c>
      <c r="E19" s="69"/>
      <c r="F19" s="69"/>
      <c r="G19" s="69"/>
      <c r="H19" s="71">
        <f t="shared" si="0"/>
        <v>0</v>
      </c>
      <c r="I19" s="71">
        <f t="shared" si="2"/>
        <v>3750000</v>
      </c>
      <c r="J19" s="69">
        <f t="shared" si="1"/>
        <v>0</v>
      </c>
    </row>
    <row r="20" customHeight="1" spans="1:10">
      <c r="A20" s="68">
        <v>12</v>
      </c>
      <c r="B20" s="69" t="s">
        <v>37</v>
      </c>
      <c r="C20" s="128" t="s">
        <v>38</v>
      </c>
      <c r="D20" s="71">
        <f>'17-2-26'!I20</f>
        <v>42000000</v>
      </c>
      <c r="E20" s="69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customHeight="1" spans="1:10">
      <c r="A21" s="68">
        <v>13</v>
      </c>
      <c r="B21" s="69" t="s">
        <v>39</v>
      </c>
      <c r="C21" s="128" t="s">
        <v>40</v>
      </c>
      <c r="D21" s="71">
        <f>'17-2-26'!I21</f>
        <v>12680000</v>
      </c>
      <c r="E21" s="69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customHeight="1" spans="1:10">
      <c r="A22" s="68">
        <v>14</v>
      </c>
      <c r="B22" s="69" t="s">
        <v>41</v>
      </c>
      <c r="C22" s="128" t="s">
        <v>42</v>
      </c>
      <c r="D22" s="71">
        <f>'17-2-26'!I22</f>
        <v>0</v>
      </c>
      <c r="E22" s="69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customHeight="1" spans="1:10">
      <c r="A23" s="68">
        <v>15</v>
      </c>
      <c r="B23" s="69" t="s">
        <v>43</v>
      </c>
      <c r="C23" s="128" t="s">
        <v>42</v>
      </c>
      <c r="D23" s="71">
        <f>'17-2-26'!I23</f>
        <v>1500000</v>
      </c>
      <c r="E23" s="69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customHeight="1" spans="1:10">
      <c r="A24" s="68">
        <v>16</v>
      </c>
      <c r="B24" s="69" t="s">
        <v>44</v>
      </c>
      <c r="C24" s="128" t="s">
        <v>42</v>
      </c>
      <c r="D24" s="71">
        <f>'17-2-26'!I24</f>
        <v>600000</v>
      </c>
      <c r="E24" s="69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customHeight="1" spans="1:10">
      <c r="A25" s="68">
        <v>17</v>
      </c>
      <c r="B25" s="69" t="s">
        <v>45</v>
      </c>
      <c r="C25" s="128" t="s">
        <v>46</v>
      </c>
      <c r="D25" s="71">
        <f>'17-2-26'!I25</f>
        <v>22200000</v>
      </c>
      <c r="E25" s="69"/>
      <c r="F25" s="69"/>
      <c r="G25" s="69"/>
      <c r="H25" s="71">
        <f t="shared" si="0"/>
        <v>0</v>
      </c>
      <c r="I25" s="71">
        <f t="shared" si="2"/>
        <v>22200000</v>
      </c>
      <c r="J25" s="69">
        <f t="shared" si="1"/>
        <v>0</v>
      </c>
    </row>
    <row r="26" customHeight="1" spans="1:10">
      <c r="A26" s="68">
        <v>18</v>
      </c>
      <c r="B26" s="69" t="s">
        <v>47</v>
      </c>
      <c r="C26" s="128" t="s">
        <v>48</v>
      </c>
      <c r="D26" s="71">
        <f>'17-2-26'!I26</f>
        <v>3800000</v>
      </c>
      <c r="E26" s="69"/>
      <c r="F26" s="69"/>
      <c r="G26" s="69"/>
      <c r="H26" s="71">
        <f t="shared" si="0"/>
        <v>0</v>
      </c>
      <c r="I26" s="71">
        <f t="shared" si="2"/>
        <v>3800000</v>
      </c>
      <c r="J26" s="69">
        <f t="shared" si="1"/>
        <v>0</v>
      </c>
    </row>
    <row r="27" customHeight="1" spans="1:10">
      <c r="A27" s="68">
        <v>19</v>
      </c>
      <c r="B27" s="69" t="s">
        <v>49</v>
      </c>
      <c r="C27" s="128" t="s">
        <v>50</v>
      </c>
      <c r="D27" s="71">
        <f>'17-2-26'!I27</f>
        <v>760000</v>
      </c>
      <c r="E27" s="69"/>
      <c r="F27" s="69"/>
      <c r="G27" s="69"/>
      <c r="H27" s="71">
        <f t="shared" si="0"/>
        <v>0</v>
      </c>
      <c r="I27" s="71">
        <f t="shared" si="2"/>
        <v>760000</v>
      </c>
      <c r="J27" s="69">
        <f t="shared" si="1"/>
        <v>0</v>
      </c>
    </row>
    <row r="28" customHeight="1" spans="1:10">
      <c r="A28" s="68">
        <v>20</v>
      </c>
      <c r="B28" s="69" t="s">
        <v>51</v>
      </c>
      <c r="C28" s="128" t="s">
        <v>52</v>
      </c>
      <c r="D28" s="71">
        <f>'17-2-26'!I28</f>
        <v>0</v>
      </c>
      <c r="E28" s="69"/>
      <c r="F28" s="69"/>
      <c r="G28" s="69"/>
      <c r="H28" s="71">
        <f t="shared" si="0"/>
        <v>0</v>
      </c>
      <c r="I28" s="71">
        <f t="shared" si="2"/>
        <v>0</v>
      </c>
      <c r="J28" s="69">
        <f t="shared" si="1"/>
        <v>0</v>
      </c>
    </row>
    <row r="29" customHeight="1" spans="1:10">
      <c r="A29" s="68">
        <v>21</v>
      </c>
      <c r="B29" s="69" t="s">
        <v>53</v>
      </c>
      <c r="C29" s="128" t="s">
        <v>54</v>
      </c>
      <c r="D29" s="71">
        <f>'17-2-26'!I29</f>
        <v>0</v>
      </c>
      <c r="E29" s="69"/>
      <c r="F29" s="69"/>
      <c r="G29" s="69"/>
      <c r="H29" s="71">
        <f t="shared" si="0"/>
        <v>0</v>
      </c>
      <c r="I29" s="71">
        <f t="shared" si="2"/>
        <v>0</v>
      </c>
      <c r="J29" s="69">
        <f t="shared" si="1"/>
        <v>0</v>
      </c>
    </row>
    <row r="30" customHeight="1" spans="1:10">
      <c r="A30" s="68">
        <v>22</v>
      </c>
      <c r="B30" s="69" t="s">
        <v>55</v>
      </c>
      <c r="C30" s="128" t="s">
        <v>56</v>
      </c>
      <c r="D30" s="71">
        <f>'17-2-26'!I30</f>
        <v>2750000</v>
      </c>
      <c r="E30" s="69"/>
      <c r="F30" s="69"/>
      <c r="G30" s="69"/>
      <c r="H30" s="71">
        <f t="shared" si="0"/>
        <v>0</v>
      </c>
      <c r="I30" s="71">
        <f t="shared" si="2"/>
        <v>2750000</v>
      </c>
      <c r="J30" s="69">
        <f t="shared" si="1"/>
        <v>0</v>
      </c>
    </row>
    <row r="31" customHeight="1" spans="1:10">
      <c r="A31" s="68">
        <v>23</v>
      </c>
      <c r="B31" s="69" t="s">
        <v>57</v>
      </c>
      <c r="C31" s="128" t="s">
        <v>58</v>
      </c>
      <c r="D31" s="71">
        <f>'17-2-26'!I31</f>
        <v>1000000</v>
      </c>
      <c r="E31" s="69"/>
      <c r="F31" s="69"/>
      <c r="G31" s="69"/>
      <c r="H31" s="71">
        <f t="shared" si="0"/>
        <v>0</v>
      </c>
      <c r="I31" s="71">
        <f t="shared" si="2"/>
        <v>1000000</v>
      </c>
      <c r="J31" s="69">
        <f t="shared" si="1"/>
        <v>0</v>
      </c>
    </row>
    <row r="32" customHeight="1" spans="1:10">
      <c r="A32" s="68">
        <v>24</v>
      </c>
      <c r="B32" s="69" t="s">
        <v>59</v>
      </c>
      <c r="C32" s="128" t="s">
        <v>58</v>
      </c>
      <c r="D32" s="71">
        <f>'17-2-26'!I32</f>
        <v>12000000</v>
      </c>
      <c r="E32" s="69"/>
      <c r="F32" s="69"/>
      <c r="G32" s="69"/>
      <c r="H32" s="71">
        <f t="shared" si="0"/>
        <v>0</v>
      </c>
      <c r="I32" s="71">
        <f t="shared" si="2"/>
        <v>12000000</v>
      </c>
      <c r="J32" s="69">
        <f t="shared" si="1"/>
        <v>0</v>
      </c>
    </row>
    <row r="33" customHeight="1" spans="1:10">
      <c r="A33" s="68">
        <v>25</v>
      </c>
      <c r="B33" s="69" t="s">
        <v>60</v>
      </c>
      <c r="C33" s="127" t="s">
        <v>61</v>
      </c>
      <c r="D33" s="71">
        <f>'17-2-26'!I33</f>
        <v>600000</v>
      </c>
      <c r="E33" s="69"/>
      <c r="F33" s="69"/>
      <c r="G33" s="69"/>
      <c r="H33" s="71">
        <f t="shared" si="0"/>
        <v>0</v>
      </c>
      <c r="I33" s="71">
        <f t="shared" si="2"/>
        <v>600000</v>
      </c>
      <c r="J33" s="69">
        <f t="shared" si="1"/>
        <v>0</v>
      </c>
    </row>
    <row r="34" customHeight="1" spans="1:10">
      <c r="A34" s="68">
        <v>26</v>
      </c>
      <c r="B34" s="69" t="s">
        <v>62</v>
      </c>
      <c r="C34" s="127" t="s">
        <v>63</v>
      </c>
      <c r="D34" s="71">
        <f>'17-2-26'!I34</f>
        <v>2800000</v>
      </c>
      <c r="E34" s="69">
        <v>14</v>
      </c>
      <c r="F34" s="69">
        <v>400000</v>
      </c>
      <c r="G34" s="69">
        <v>160000</v>
      </c>
      <c r="H34" s="71">
        <f t="shared" si="0"/>
        <v>560000</v>
      </c>
      <c r="I34" s="71">
        <f t="shared" si="2"/>
        <v>2400000</v>
      </c>
      <c r="J34" s="69">
        <f t="shared" si="1"/>
        <v>16000</v>
      </c>
    </row>
    <row r="35" customHeight="1" spans="1:10">
      <c r="A35" s="68">
        <v>27</v>
      </c>
      <c r="B35" s="69" t="s">
        <v>64</v>
      </c>
      <c r="C35" s="127" t="s">
        <v>63</v>
      </c>
      <c r="D35" s="71">
        <f>'17-2-26'!I35</f>
        <v>3500000</v>
      </c>
      <c r="E35" s="69"/>
      <c r="F35" s="69"/>
      <c r="G35" s="69"/>
      <c r="H35" s="71">
        <f t="shared" si="0"/>
        <v>0</v>
      </c>
      <c r="I35" s="71">
        <f t="shared" si="2"/>
        <v>3500000</v>
      </c>
      <c r="J35" s="69">
        <f t="shared" si="1"/>
        <v>0</v>
      </c>
    </row>
    <row r="36" customHeight="1" spans="1:10">
      <c r="A36" s="68">
        <v>28</v>
      </c>
      <c r="B36" s="69" t="s">
        <v>65</v>
      </c>
      <c r="C36" s="127" t="s">
        <v>66</v>
      </c>
      <c r="D36" s="71">
        <f>'17-2-26'!I36</f>
        <v>9200000</v>
      </c>
      <c r="E36" s="69"/>
      <c r="F36" s="69"/>
      <c r="G36" s="69"/>
      <c r="H36" s="71">
        <f t="shared" si="0"/>
        <v>0</v>
      </c>
      <c r="I36" s="71">
        <f t="shared" si="2"/>
        <v>9200000</v>
      </c>
      <c r="J36" s="69">
        <f t="shared" si="1"/>
        <v>0</v>
      </c>
    </row>
    <row r="37" customHeight="1" spans="1:10">
      <c r="A37" s="68">
        <v>29</v>
      </c>
      <c r="B37" s="69" t="s">
        <v>67</v>
      </c>
      <c r="C37" s="127" t="s">
        <v>68</v>
      </c>
      <c r="D37" s="71">
        <f>'17-2-26'!I37</f>
        <v>1250000</v>
      </c>
      <c r="E37" s="69"/>
      <c r="F37" s="69"/>
      <c r="G37" s="69"/>
      <c r="H37" s="71">
        <f t="shared" si="0"/>
        <v>0</v>
      </c>
      <c r="I37" s="71">
        <f t="shared" si="2"/>
        <v>1250000</v>
      </c>
      <c r="J37" s="69">
        <f t="shared" si="1"/>
        <v>0</v>
      </c>
    </row>
    <row r="38" customHeight="1" spans="1:10">
      <c r="A38" s="68">
        <v>30</v>
      </c>
      <c r="B38" s="69" t="s">
        <v>69</v>
      </c>
      <c r="C38" s="127" t="s">
        <v>70</v>
      </c>
      <c r="D38" s="71">
        <f>'17-2-26'!I38</f>
        <v>5800000</v>
      </c>
      <c r="E38" s="69"/>
      <c r="F38" s="69"/>
      <c r="G38" s="69"/>
      <c r="H38" s="71">
        <f t="shared" si="0"/>
        <v>0</v>
      </c>
      <c r="I38" s="71">
        <f t="shared" si="2"/>
        <v>5800000</v>
      </c>
      <c r="J38" s="69">
        <f t="shared" si="1"/>
        <v>0</v>
      </c>
    </row>
    <row r="39" customHeight="1" spans="1:10">
      <c r="A39" s="68">
        <v>31</v>
      </c>
      <c r="B39" s="69" t="s">
        <v>71</v>
      </c>
      <c r="C39" s="127" t="s">
        <v>72</v>
      </c>
      <c r="D39" s="71">
        <f>'17-2-26'!I39</f>
        <v>14320000</v>
      </c>
      <c r="E39" s="69"/>
      <c r="F39" s="69"/>
      <c r="G39" s="69"/>
      <c r="H39" s="71">
        <f t="shared" si="0"/>
        <v>0</v>
      </c>
      <c r="I39" s="71">
        <f t="shared" si="2"/>
        <v>14320000</v>
      </c>
      <c r="J39" s="69">
        <f t="shared" si="1"/>
        <v>0</v>
      </c>
    </row>
    <row r="40" customHeight="1" spans="1:10">
      <c r="A40" s="68">
        <v>32</v>
      </c>
      <c r="B40" s="69" t="s">
        <v>73</v>
      </c>
      <c r="C40" s="127" t="s">
        <v>74</v>
      </c>
      <c r="D40" s="71">
        <f>'17-2-26'!I40</f>
        <v>200000</v>
      </c>
      <c r="E40" s="69"/>
      <c r="F40" s="69"/>
      <c r="G40" s="69"/>
      <c r="H40" s="71">
        <f t="shared" si="0"/>
        <v>0</v>
      </c>
      <c r="I40" s="71">
        <f t="shared" si="2"/>
        <v>200000</v>
      </c>
      <c r="J40" s="69">
        <f t="shared" si="1"/>
        <v>0</v>
      </c>
    </row>
    <row r="41" customHeight="1" spans="1:10">
      <c r="A41" s="68">
        <v>33</v>
      </c>
      <c r="B41" s="69" t="s">
        <v>75</v>
      </c>
      <c r="C41" s="127" t="s">
        <v>76</v>
      </c>
      <c r="D41" s="71">
        <f>'17-2-26'!I41</f>
        <v>1800000</v>
      </c>
      <c r="E41" s="69"/>
      <c r="F41" s="69"/>
      <c r="G41" s="69"/>
      <c r="H41" s="71">
        <f t="shared" si="0"/>
        <v>0</v>
      </c>
      <c r="I41" s="71">
        <f t="shared" si="2"/>
        <v>1800000</v>
      </c>
      <c r="J41" s="69">
        <f t="shared" si="1"/>
        <v>0</v>
      </c>
    </row>
    <row r="42" customHeight="1" spans="1:10">
      <c r="A42" s="68">
        <v>34</v>
      </c>
      <c r="B42" s="69" t="s">
        <v>77</v>
      </c>
      <c r="C42" s="127" t="s">
        <v>78</v>
      </c>
      <c r="D42" s="71">
        <f>'17-2-26'!I42</f>
        <v>1200000</v>
      </c>
      <c r="E42" s="69"/>
      <c r="F42" s="69"/>
      <c r="G42" s="69"/>
      <c r="H42" s="71">
        <f t="shared" si="0"/>
        <v>0</v>
      </c>
      <c r="I42" s="71">
        <f t="shared" si="2"/>
        <v>1200000</v>
      </c>
      <c r="J42" s="69">
        <f t="shared" si="1"/>
        <v>0</v>
      </c>
    </row>
    <row r="43" customHeight="1" spans="1:10">
      <c r="A43" s="68">
        <v>35</v>
      </c>
      <c r="B43" s="69" t="s">
        <v>79</v>
      </c>
      <c r="C43" s="127" t="s">
        <v>80</v>
      </c>
      <c r="D43" s="71">
        <f>'17-2-26'!I43</f>
        <v>5250000</v>
      </c>
      <c r="E43" s="69"/>
      <c r="F43" s="69"/>
      <c r="G43" s="69"/>
      <c r="H43" s="71">
        <f t="shared" si="0"/>
        <v>0</v>
      </c>
      <c r="I43" s="71">
        <f t="shared" si="2"/>
        <v>5250000</v>
      </c>
      <c r="J43" s="69">
        <f t="shared" si="1"/>
        <v>0</v>
      </c>
    </row>
    <row r="44" customHeight="1" spans="1:10">
      <c r="A44" s="68">
        <v>36</v>
      </c>
      <c r="B44" s="69" t="s">
        <v>81</v>
      </c>
      <c r="C44" s="127" t="s">
        <v>82</v>
      </c>
      <c r="D44" s="71">
        <f>'17-2-26'!I44</f>
        <v>10320000</v>
      </c>
      <c r="E44" s="69"/>
      <c r="F44" s="69"/>
      <c r="G44" s="69"/>
      <c r="H44" s="71">
        <f t="shared" si="0"/>
        <v>0</v>
      </c>
      <c r="I44" s="71">
        <f t="shared" si="2"/>
        <v>10320000</v>
      </c>
      <c r="J44" s="69">
        <f t="shared" si="1"/>
        <v>0</v>
      </c>
    </row>
    <row r="45" customHeight="1" spans="1:10">
      <c r="A45" s="68">
        <v>37</v>
      </c>
      <c r="B45" s="69" t="s">
        <v>83</v>
      </c>
      <c r="C45" s="70" t="s">
        <v>84</v>
      </c>
      <c r="D45" s="71">
        <f>'17-2-26'!I45</f>
        <v>10875000</v>
      </c>
      <c r="E45" s="69"/>
      <c r="F45" s="69"/>
      <c r="G45" s="69"/>
      <c r="H45" s="71">
        <f t="shared" si="0"/>
        <v>0</v>
      </c>
      <c r="I45" s="71">
        <f t="shared" si="2"/>
        <v>10875000</v>
      </c>
      <c r="J45" s="69">
        <f t="shared" si="1"/>
        <v>0</v>
      </c>
    </row>
    <row r="46" customHeight="1" spans="1:10">
      <c r="A46" s="68">
        <v>38</v>
      </c>
      <c r="B46" s="69" t="s">
        <v>85</v>
      </c>
      <c r="C46" s="127" t="s">
        <v>86</v>
      </c>
      <c r="D46" s="71">
        <f>'17-2-26'!I46</f>
        <v>450000</v>
      </c>
      <c r="E46" s="69"/>
      <c r="F46" s="69"/>
      <c r="G46" s="69"/>
      <c r="H46" s="71">
        <f t="shared" si="0"/>
        <v>0</v>
      </c>
      <c r="I46" s="71">
        <f t="shared" si="2"/>
        <v>450000</v>
      </c>
      <c r="J46" s="69">
        <f t="shared" si="1"/>
        <v>0</v>
      </c>
    </row>
    <row r="47" customHeight="1" spans="1:10">
      <c r="A47" s="68">
        <v>39</v>
      </c>
      <c r="B47" s="69" t="s">
        <v>87</v>
      </c>
      <c r="C47" s="127" t="s">
        <v>88</v>
      </c>
      <c r="D47" s="71">
        <f>'17-2-26'!I47</f>
        <v>9600000</v>
      </c>
      <c r="E47" s="69"/>
      <c r="F47" s="69"/>
      <c r="G47" s="69"/>
      <c r="H47" s="71">
        <f t="shared" si="0"/>
        <v>0</v>
      </c>
      <c r="I47" s="71">
        <f t="shared" si="2"/>
        <v>9600000</v>
      </c>
      <c r="J47" s="69">
        <f t="shared" si="1"/>
        <v>0</v>
      </c>
    </row>
    <row r="48" customHeight="1" spans="1:10">
      <c r="A48" s="68">
        <v>40</v>
      </c>
      <c r="B48" s="69" t="s">
        <v>89</v>
      </c>
      <c r="C48" s="127" t="s">
        <v>88</v>
      </c>
      <c r="D48" s="71">
        <f>'17-2-26'!I48</f>
        <v>1000000</v>
      </c>
      <c r="E48" s="69"/>
      <c r="F48" s="69"/>
      <c r="G48" s="69"/>
      <c r="H48" s="71">
        <f t="shared" si="0"/>
        <v>0</v>
      </c>
      <c r="I48" s="71">
        <f t="shared" si="2"/>
        <v>1000000</v>
      </c>
      <c r="J48" s="69">
        <f t="shared" si="1"/>
        <v>0</v>
      </c>
    </row>
    <row r="49" customHeight="1" spans="1:10">
      <c r="A49" s="68">
        <v>41</v>
      </c>
      <c r="B49" s="69" t="s">
        <v>90</v>
      </c>
      <c r="C49" s="127" t="s">
        <v>91</v>
      </c>
      <c r="D49" s="71">
        <f>'17-2-26'!I49</f>
        <v>9600000</v>
      </c>
      <c r="E49" s="69"/>
      <c r="F49" s="69"/>
      <c r="G49" s="69"/>
      <c r="H49" s="71">
        <f t="shared" si="0"/>
        <v>0</v>
      </c>
      <c r="I49" s="71">
        <f t="shared" si="2"/>
        <v>9600000</v>
      </c>
      <c r="J49" s="69">
        <f t="shared" si="1"/>
        <v>0</v>
      </c>
    </row>
    <row r="50" customHeight="1" spans="1:10">
      <c r="A50" s="68">
        <v>42</v>
      </c>
      <c r="B50" s="69" t="s">
        <v>92</v>
      </c>
      <c r="C50" s="127" t="s">
        <v>93</v>
      </c>
      <c r="D50" s="71">
        <f>'17-2-26'!I50</f>
        <v>0</v>
      </c>
      <c r="E50" s="69"/>
      <c r="F50" s="69"/>
      <c r="G50" s="69"/>
      <c r="H50" s="71">
        <f t="shared" si="0"/>
        <v>0</v>
      </c>
      <c r="I50" s="71">
        <f t="shared" si="2"/>
        <v>0</v>
      </c>
      <c r="J50" s="69">
        <f t="shared" si="1"/>
        <v>0</v>
      </c>
    </row>
    <row r="51" customHeight="1" spans="1:10">
      <c r="A51" s="68">
        <v>43</v>
      </c>
      <c r="B51" s="69" t="s">
        <v>94</v>
      </c>
      <c r="C51" s="70" t="s">
        <v>95</v>
      </c>
      <c r="D51" s="71">
        <f>'17-2-26'!I51</f>
        <v>16400000</v>
      </c>
      <c r="E51" s="69">
        <v>8</v>
      </c>
      <c r="F51" s="69">
        <v>700000</v>
      </c>
      <c r="G51" s="69">
        <v>400000</v>
      </c>
      <c r="H51" s="71">
        <f t="shared" si="0"/>
        <v>1100000</v>
      </c>
      <c r="I51" s="71">
        <f t="shared" si="2"/>
        <v>15700000</v>
      </c>
      <c r="J51" s="69">
        <f t="shared" si="1"/>
        <v>40000</v>
      </c>
    </row>
    <row r="52" customHeight="1" spans="1:10">
      <c r="A52" s="68">
        <v>44</v>
      </c>
      <c r="B52" s="69" t="s">
        <v>96</v>
      </c>
      <c r="C52" s="70" t="s">
        <v>97</v>
      </c>
      <c r="D52" s="71">
        <f>'17-2-26'!I52</f>
        <v>25000000</v>
      </c>
      <c r="E52" s="69"/>
      <c r="F52" s="69"/>
      <c r="G52" s="69"/>
      <c r="H52" s="71">
        <f t="shared" si="0"/>
        <v>0</v>
      </c>
      <c r="I52" s="71">
        <f t="shared" si="2"/>
        <v>25000000</v>
      </c>
      <c r="J52" s="69">
        <f t="shared" si="1"/>
        <v>0</v>
      </c>
    </row>
    <row r="53" customHeight="1" spans="1:10">
      <c r="A53" s="68">
        <v>45</v>
      </c>
      <c r="B53" s="69" t="s">
        <v>98</v>
      </c>
      <c r="C53" s="127" t="s">
        <v>99</v>
      </c>
      <c r="D53" s="71">
        <f>'17-2-26'!I53</f>
        <v>100000</v>
      </c>
      <c r="E53" s="69">
        <v>10</v>
      </c>
      <c r="F53" s="69">
        <v>100000</v>
      </c>
      <c r="G53" s="69">
        <v>20000</v>
      </c>
      <c r="H53" s="71">
        <f t="shared" si="0"/>
        <v>120000</v>
      </c>
      <c r="I53" s="71">
        <f t="shared" si="2"/>
        <v>0</v>
      </c>
      <c r="J53" s="69">
        <f t="shared" si="1"/>
        <v>2000</v>
      </c>
    </row>
    <row r="54" customHeight="1" spans="1:10">
      <c r="A54" s="68">
        <v>46</v>
      </c>
      <c r="B54" s="69" t="s">
        <v>100</v>
      </c>
      <c r="C54" s="127" t="s">
        <v>99</v>
      </c>
      <c r="D54" s="71">
        <f>'17-2-26'!I54</f>
        <v>4800000</v>
      </c>
      <c r="E54" s="69"/>
      <c r="F54" s="69"/>
      <c r="G54" s="69"/>
      <c r="H54" s="71">
        <f t="shared" si="0"/>
        <v>0</v>
      </c>
      <c r="I54" s="71">
        <f t="shared" si="2"/>
        <v>4800000</v>
      </c>
      <c r="J54" s="69">
        <f t="shared" si="1"/>
        <v>0</v>
      </c>
    </row>
    <row r="55" customHeight="1" spans="1:10">
      <c r="A55" s="68">
        <v>47</v>
      </c>
      <c r="B55" s="69" t="s">
        <v>101</v>
      </c>
      <c r="C55" s="127" t="s">
        <v>102</v>
      </c>
      <c r="D55" s="71">
        <f>'17-2-26'!I55</f>
        <v>7460000</v>
      </c>
      <c r="E55" s="69"/>
      <c r="F55" s="69"/>
      <c r="G55" s="69"/>
      <c r="H55" s="71">
        <f t="shared" si="0"/>
        <v>0</v>
      </c>
      <c r="I55" s="71">
        <f t="shared" si="2"/>
        <v>7460000</v>
      </c>
      <c r="J55" s="69">
        <f t="shared" si="1"/>
        <v>0</v>
      </c>
    </row>
    <row r="56" customHeight="1" spans="1:10">
      <c r="A56" s="68">
        <v>48</v>
      </c>
      <c r="B56" s="69" t="s">
        <v>103</v>
      </c>
      <c r="C56" s="127" t="s">
        <v>102</v>
      </c>
      <c r="D56" s="71">
        <f>'17-2-26'!I56</f>
        <v>400000</v>
      </c>
      <c r="E56" s="69"/>
      <c r="F56" s="69"/>
      <c r="G56" s="69"/>
      <c r="H56" s="71">
        <f t="shared" si="0"/>
        <v>0</v>
      </c>
      <c r="I56" s="71">
        <f t="shared" si="2"/>
        <v>400000</v>
      </c>
      <c r="J56" s="69">
        <f t="shared" si="1"/>
        <v>0</v>
      </c>
    </row>
    <row r="57" customHeight="1" spans="1:10">
      <c r="A57" s="68">
        <v>49</v>
      </c>
      <c r="B57" s="69" t="s">
        <v>104</v>
      </c>
      <c r="C57" s="127" t="s">
        <v>102</v>
      </c>
      <c r="D57" s="71">
        <f>'17-2-26'!I57</f>
        <v>20000000</v>
      </c>
      <c r="E57" s="69"/>
      <c r="F57" s="69"/>
      <c r="G57" s="69"/>
      <c r="H57" s="71">
        <f t="shared" si="0"/>
        <v>0</v>
      </c>
      <c r="I57" s="71">
        <f t="shared" si="2"/>
        <v>20000000</v>
      </c>
      <c r="J57" s="69">
        <f t="shared" si="1"/>
        <v>0</v>
      </c>
    </row>
    <row r="58" customHeight="1" spans="1:10">
      <c r="A58" s="68">
        <v>50</v>
      </c>
      <c r="B58" s="69" t="s">
        <v>105</v>
      </c>
      <c r="C58" s="70" t="s">
        <v>106</v>
      </c>
      <c r="D58" s="71">
        <f>'17-2-26'!I58</f>
        <v>1650000</v>
      </c>
      <c r="E58" s="69">
        <v>11</v>
      </c>
      <c r="F58" s="69">
        <v>335000</v>
      </c>
      <c r="G58" s="69">
        <v>100000</v>
      </c>
      <c r="H58" s="71">
        <f t="shared" si="0"/>
        <v>435000</v>
      </c>
      <c r="I58" s="71">
        <f t="shared" si="2"/>
        <v>1315000</v>
      </c>
      <c r="J58" s="69">
        <f t="shared" si="1"/>
        <v>10000</v>
      </c>
    </row>
    <row r="59" customHeight="1" spans="1:10">
      <c r="A59" s="68">
        <v>51</v>
      </c>
      <c r="B59" s="69" t="s">
        <v>107</v>
      </c>
      <c r="C59" s="127" t="s">
        <v>108</v>
      </c>
      <c r="D59" s="71">
        <f>'17-2-26'!I59</f>
        <v>0</v>
      </c>
      <c r="E59" s="69"/>
      <c r="F59" s="69"/>
      <c r="G59" s="69"/>
      <c r="H59" s="71">
        <f t="shared" si="0"/>
        <v>0</v>
      </c>
      <c r="I59" s="71">
        <f t="shared" si="2"/>
        <v>0</v>
      </c>
      <c r="J59" s="69">
        <f t="shared" si="1"/>
        <v>0</v>
      </c>
    </row>
    <row r="60" customHeight="1" spans="1:10">
      <c r="A60" s="68">
        <v>52</v>
      </c>
      <c r="B60" s="69" t="s">
        <v>109</v>
      </c>
      <c r="C60" s="127" t="s">
        <v>110</v>
      </c>
      <c r="D60" s="71">
        <f>'17-2-26'!I60</f>
        <v>3000000</v>
      </c>
      <c r="E60" s="69"/>
      <c r="F60" s="69"/>
      <c r="G60" s="69"/>
      <c r="H60" s="71">
        <f t="shared" si="0"/>
        <v>0</v>
      </c>
      <c r="I60" s="71">
        <f t="shared" si="2"/>
        <v>3000000</v>
      </c>
      <c r="J60" s="69">
        <f t="shared" si="1"/>
        <v>0</v>
      </c>
    </row>
    <row r="61" customHeight="1" spans="1:10">
      <c r="A61" s="68">
        <v>53</v>
      </c>
      <c r="B61" s="69" t="s">
        <v>111</v>
      </c>
      <c r="C61" s="70" t="s">
        <v>112</v>
      </c>
      <c r="D61" s="71">
        <f>'17-2-26'!I61</f>
        <v>230000</v>
      </c>
      <c r="E61" s="69"/>
      <c r="F61" s="69"/>
      <c r="G61" s="69"/>
      <c r="H61" s="71">
        <f t="shared" si="0"/>
        <v>0</v>
      </c>
      <c r="I61" s="71">
        <f t="shared" si="2"/>
        <v>230000</v>
      </c>
      <c r="J61" s="69">
        <f t="shared" si="1"/>
        <v>0</v>
      </c>
    </row>
    <row r="62" customHeight="1" spans="1:10">
      <c r="A62" s="68">
        <v>54</v>
      </c>
      <c r="B62" s="69" t="s">
        <v>113</v>
      </c>
      <c r="C62" s="127" t="s">
        <v>114</v>
      </c>
      <c r="D62" s="71">
        <f>'17-2-26'!I62</f>
        <v>0</v>
      </c>
      <c r="E62" s="69"/>
      <c r="F62" s="69"/>
      <c r="G62" s="69"/>
      <c r="H62" s="71">
        <f t="shared" si="0"/>
        <v>0</v>
      </c>
      <c r="I62" s="71">
        <f t="shared" si="2"/>
        <v>0</v>
      </c>
      <c r="J62" s="69">
        <f t="shared" si="1"/>
        <v>0</v>
      </c>
    </row>
    <row r="63" customHeight="1" spans="1:10">
      <c r="A63" s="68">
        <v>55</v>
      </c>
      <c r="B63" s="69" t="s">
        <v>115</v>
      </c>
      <c r="C63" s="127" t="s">
        <v>116</v>
      </c>
      <c r="D63" s="71">
        <f>'17-2-26'!I63</f>
        <v>600000</v>
      </c>
      <c r="E63" s="69"/>
      <c r="F63" s="69"/>
      <c r="G63" s="69"/>
      <c r="H63" s="71">
        <f t="shared" si="0"/>
        <v>0</v>
      </c>
      <c r="I63" s="71">
        <f t="shared" si="2"/>
        <v>600000</v>
      </c>
      <c r="J63" s="69">
        <f t="shared" si="1"/>
        <v>0</v>
      </c>
    </row>
    <row r="64" customHeight="1" spans="1:10">
      <c r="A64" s="68">
        <v>56</v>
      </c>
      <c r="B64" s="69" t="s">
        <v>117</v>
      </c>
      <c r="C64" s="127" t="s">
        <v>118</v>
      </c>
      <c r="D64" s="71">
        <f>'17-2-26'!I64</f>
        <v>1350000</v>
      </c>
      <c r="E64" s="69"/>
      <c r="F64" s="69"/>
      <c r="G64" s="69"/>
      <c r="H64" s="71">
        <f t="shared" si="0"/>
        <v>0</v>
      </c>
      <c r="I64" s="71">
        <f t="shared" si="2"/>
        <v>1350000</v>
      </c>
      <c r="J64" s="69">
        <f t="shared" si="1"/>
        <v>0</v>
      </c>
    </row>
    <row r="65" customHeight="1" spans="1:10">
      <c r="A65" s="68">
        <v>57</v>
      </c>
      <c r="B65" s="69" t="s">
        <v>119</v>
      </c>
      <c r="C65" s="127" t="s">
        <v>120</v>
      </c>
      <c r="D65" s="71">
        <f>'17-2-26'!I65</f>
        <v>5862000</v>
      </c>
      <c r="E65" s="69"/>
      <c r="F65" s="69"/>
      <c r="G65" s="69"/>
      <c r="H65" s="71">
        <f t="shared" si="0"/>
        <v>0</v>
      </c>
      <c r="I65" s="71">
        <f t="shared" si="2"/>
        <v>5862000</v>
      </c>
      <c r="J65" s="69">
        <f t="shared" si="1"/>
        <v>0</v>
      </c>
    </row>
    <row r="66" customHeight="1" spans="1:10">
      <c r="A66" s="68">
        <v>58</v>
      </c>
      <c r="B66" s="69" t="s">
        <v>121</v>
      </c>
      <c r="C66" s="127" t="s">
        <v>120</v>
      </c>
      <c r="D66" s="71">
        <f>'17-2-26'!I66</f>
        <v>200000</v>
      </c>
      <c r="E66" s="69"/>
      <c r="F66" s="69"/>
      <c r="G66" s="69"/>
      <c r="H66" s="71">
        <f t="shared" si="0"/>
        <v>0</v>
      </c>
      <c r="I66" s="71">
        <f t="shared" si="2"/>
        <v>200000</v>
      </c>
      <c r="J66" s="69">
        <f t="shared" si="1"/>
        <v>0</v>
      </c>
    </row>
    <row r="67" customHeight="1" spans="1:10">
      <c r="A67" s="68">
        <v>59</v>
      </c>
      <c r="B67" s="69" t="s">
        <v>122</v>
      </c>
      <c r="C67" s="127" t="s">
        <v>123</v>
      </c>
      <c r="D67" s="71">
        <f>'17-2-26'!I67</f>
        <v>0</v>
      </c>
      <c r="E67" s="69"/>
      <c r="F67" s="69"/>
      <c r="G67" s="69"/>
      <c r="H67" s="71">
        <f t="shared" si="0"/>
        <v>0</v>
      </c>
      <c r="I67" s="71">
        <f t="shared" si="2"/>
        <v>0</v>
      </c>
      <c r="J67" s="69">
        <f t="shared" si="1"/>
        <v>0</v>
      </c>
    </row>
    <row r="68" customHeight="1" spans="1:10">
      <c r="A68" s="68">
        <v>60</v>
      </c>
      <c r="B68" s="69" t="s">
        <v>159</v>
      </c>
      <c r="C68" s="127" t="s">
        <v>160</v>
      </c>
      <c r="D68" s="71">
        <v>10000000</v>
      </c>
      <c r="E68" s="69"/>
      <c r="F68" s="69"/>
      <c r="G68" s="69"/>
      <c r="H68" s="71">
        <f t="shared" si="0"/>
        <v>0</v>
      </c>
      <c r="I68" s="71">
        <f t="shared" si="2"/>
        <v>10000000</v>
      </c>
      <c r="J68" s="69">
        <f t="shared" si="1"/>
        <v>0</v>
      </c>
    </row>
    <row r="69" customHeight="1" spans="1:10">
      <c r="A69" s="68">
        <v>61</v>
      </c>
      <c r="B69" s="69" t="s">
        <v>161</v>
      </c>
      <c r="C69" s="127" t="s">
        <v>160</v>
      </c>
      <c r="D69" s="71">
        <v>50000000</v>
      </c>
      <c r="E69" s="69"/>
      <c r="F69" s="69"/>
      <c r="G69" s="69"/>
      <c r="H69" s="71">
        <f t="shared" si="0"/>
        <v>0</v>
      </c>
      <c r="I69" s="71">
        <f t="shared" si="2"/>
        <v>50000000</v>
      </c>
      <c r="J69" s="69">
        <f t="shared" si="1"/>
        <v>0</v>
      </c>
    </row>
    <row r="70" customHeight="1" spans="1:10">
      <c r="A70" s="68">
        <v>62</v>
      </c>
      <c r="B70" s="69" t="s">
        <v>141</v>
      </c>
      <c r="C70" s="127" t="s">
        <v>160</v>
      </c>
      <c r="D70" s="71">
        <v>1000000</v>
      </c>
      <c r="E70" s="69"/>
      <c r="F70" s="69"/>
      <c r="G70" s="69"/>
      <c r="H70" s="71">
        <f t="shared" si="0"/>
        <v>0</v>
      </c>
      <c r="I70" s="71">
        <f t="shared" si="2"/>
        <v>1000000</v>
      </c>
      <c r="J70" s="69">
        <f t="shared" si="1"/>
        <v>0</v>
      </c>
    </row>
    <row r="71" customHeight="1" spans="1:10">
      <c r="A71" s="68">
        <v>63</v>
      </c>
      <c r="B71" s="69" t="s">
        <v>162</v>
      </c>
      <c r="C71" s="127" t="s">
        <v>160</v>
      </c>
      <c r="D71" s="71">
        <v>3000000</v>
      </c>
      <c r="E71" s="69"/>
      <c r="F71" s="69"/>
      <c r="G71" s="69"/>
      <c r="H71" s="71">
        <f t="shared" si="0"/>
        <v>0</v>
      </c>
      <c r="I71" s="71">
        <f t="shared" si="2"/>
        <v>3000000</v>
      </c>
      <c r="J71" s="69">
        <f t="shared" si="1"/>
        <v>0</v>
      </c>
    </row>
    <row r="72" customHeight="1" spans="1:10">
      <c r="A72" s="68">
        <v>64</v>
      </c>
      <c r="B72" s="69" t="s">
        <v>98</v>
      </c>
      <c r="C72" s="127" t="s">
        <v>160</v>
      </c>
      <c r="D72" s="71">
        <v>2000000</v>
      </c>
      <c r="E72" s="69"/>
      <c r="F72" s="69"/>
      <c r="G72" s="69"/>
      <c r="H72" s="71">
        <f t="shared" si="0"/>
        <v>0</v>
      </c>
      <c r="I72" s="71">
        <f t="shared" si="2"/>
        <v>2000000</v>
      </c>
      <c r="J72" s="69">
        <f t="shared" si="1"/>
        <v>0</v>
      </c>
    </row>
    <row r="73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ref="H73:H81" si="3">SUM(F73:G73)</f>
        <v>0</v>
      </c>
      <c r="I73" s="71">
        <f t="shared" ref="I73:I81" si="4">D73-F73</f>
        <v>5000000</v>
      </c>
      <c r="J73" s="69">
        <f t="shared" ref="J73:J81" si="5">1/10*G73</f>
        <v>0</v>
      </c>
    </row>
    <row r="74" customHeight="1" spans="1:10">
      <c r="A74" s="68"/>
      <c r="B74" s="69"/>
      <c r="C74" s="70"/>
      <c r="D74" s="71">
        <f>'3-2-26'!I74</f>
        <v>0</v>
      </c>
      <c r="E74" s="69"/>
      <c r="F74" s="69"/>
      <c r="G74" s="69"/>
      <c r="H74" s="71">
        <f t="shared" si="3"/>
        <v>0</v>
      </c>
      <c r="I74" s="71">
        <f t="shared" si="4"/>
        <v>0</v>
      </c>
      <c r="J74" s="69">
        <f t="shared" si="5"/>
        <v>0</v>
      </c>
    </row>
    <row r="75" customHeight="1" spans="1:10">
      <c r="A75" s="68"/>
      <c r="B75" s="69"/>
      <c r="C75" s="70"/>
      <c r="D75" s="71">
        <f>'3-2-26'!I75</f>
        <v>0</v>
      </c>
      <c r="E75" s="69"/>
      <c r="F75" s="69"/>
      <c r="G75" s="69"/>
      <c r="H75" s="71">
        <f t="shared" si="3"/>
        <v>0</v>
      </c>
      <c r="I75" s="71">
        <f t="shared" si="4"/>
        <v>0</v>
      </c>
      <c r="J75" s="69">
        <f t="shared" si="5"/>
        <v>0</v>
      </c>
    </row>
    <row r="76" customHeight="1" spans="1:10">
      <c r="A76" s="68"/>
      <c r="B76" s="69"/>
      <c r="C76" s="70"/>
      <c r="D76" s="71">
        <f>'3-2-26'!I76</f>
        <v>0</v>
      </c>
      <c r="E76" s="69"/>
      <c r="F76" s="69"/>
      <c r="G76" s="69"/>
      <c r="H76" s="71">
        <f t="shared" si="3"/>
        <v>0</v>
      </c>
      <c r="I76" s="71">
        <f t="shared" si="4"/>
        <v>0</v>
      </c>
      <c r="J76" s="69">
        <f t="shared" si="5"/>
        <v>0</v>
      </c>
    </row>
    <row r="77" customHeight="1" spans="1:10">
      <c r="A77" s="68"/>
      <c r="B77" s="69"/>
      <c r="C77" s="70"/>
      <c r="D77" s="71">
        <f>'3-2-26'!I77</f>
        <v>0</v>
      </c>
      <c r="E77" s="69"/>
      <c r="F77" s="69"/>
      <c r="G77" s="69"/>
      <c r="H77" s="71">
        <f t="shared" si="3"/>
        <v>0</v>
      </c>
      <c r="I77" s="71">
        <f t="shared" si="4"/>
        <v>0</v>
      </c>
      <c r="J77" s="69">
        <f t="shared" si="5"/>
        <v>0</v>
      </c>
    </row>
    <row r="78" customHeight="1" spans="1:10">
      <c r="A78" s="68"/>
      <c r="B78" s="69"/>
      <c r="C78" s="70"/>
      <c r="D78" s="71">
        <f>'3-2-26'!I78</f>
        <v>0</v>
      </c>
      <c r="E78" s="69"/>
      <c r="F78" s="69"/>
      <c r="G78" s="69"/>
      <c r="H78" s="71">
        <f t="shared" si="3"/>
        <v>0</v>
      </c>
      <c r="I78" s="71">
        <f t="shared" si="4"/>
        <v>0</v>
      </c>
      <c r="J78" s="69">
        <f t="shared" si="5"/>
        <v>0</v>
      </c>
    </row>
    <row r="79" customHeight="1" spans="1:10">
      <c r="A79" s="68"/>
      <c r="B79" s="69"/>
      <c r="C79" s="70"/>
      <c r="D79" s="71">
        <f>'3-2-26'!I79</f>
        <v>0</v>
      </c>
      <c r="E79" s="69"/>
      <c r="F79" s="69"/>
      <c r="G79" s="69"/>
      <c r="H79" s="71">
        <f t="shared" si="3"/>
        <v>0</v>
      </c>
      <c r="I79" s="71">
        <f t="shared" si="4"/>
        <v>0</v>
      </c>
      <c r="J79" s="69">
        <f t="shared" si="5"/>
        <v>0</v>
      </c>
    </row>
    <row r="80" customHeight="1" spans="1:10">
      <c r="A80" s="68"/>
      <c r="B80" s="69"/>
      <c r="C80" s="70"/>
      <c r="D80" s="71">
        <f>'3-2-26'!I80</f>
        <v>0</v>
      </c>
      <c r="E80" s="69"/>
      <c r="F80" s="69"/>
      <c r="G80" s="69"/>
      <c r="H80" s="71">
        <f t="shared" si="3"/>
        <v>0</v>
      </c>
      <c r="I80" s="71">
        <f t="shared" si="4"/>
        <v>0</v>
      </c>
      <c r="J80" s="69">
        <f t="shared" si="5"/>
        <v>0</v>
      </c>
    </row>
    <row r="81" customHeight="1" spans="1:10">
      <c r="A81" s="68"/>
      <c r="B81" s="69"/>
      <c r="C81" s="70"/>
      <c r="D81" s="71">
        <f>'3-2-26'!I81</f>
        <v>0</v>
      </c>
      <c r="E81" s="69"/>
      <c r="F81" s="69"/>
      <c r="G81" s="69"/>
      <c r="H81" s="71">
        <f t="shared" si="3"/>
        <v>0</v>
      </c>
      <c r="I81" s="71">
        <f t="shared" si="4"/>
        <v>0</v>
      </c>
      <c r="J81" s="69">
        <f t="shared" si="5"/>
        <v>0</v>
      </c>
    </row>
    <row r="82" customHeight="1" spans="1:10">
      <c r="A82" s="68"/>
      <c r="B82" s="69"/>
      <c r="C82" s="70"/>
      <c r="D82" s="71">
        <f>'3-2-26'!I82</f>
        <v>0</v>
      </c>
      <c r="E82" s="69"/>
      <c r="F82" s="69"/>
      <c r="G82" s="69"/>
      <c r="H82" s="71">
        <f t="shared" ref="H73:H90" si="6">SUM(F82:G82)</f>
        <v>0</v>
      </c>
      <c r="I82" s="71">
        <f t="shared" si="2"/>
        <v>0</v>
      </c>
      <c r="J82" s="69">
        <f t="shared" ref="J73:J136" si="7">1/10*G82</f>
        <v>0</v>
      </c>
    </row>
    <row r="83" customHeight="1" spans="1:10">
      <c r="A83" s="68"/>
      <c r="B83" s="69"/>
      <c r="C83" s="70"/>
      <c r="D83" s="71">
        <f>'3-2-26'!I83</f>
        <v>0</v>
      </c>
      <c r="E83" s="69"/>
      <c r="F83" s="69"/>
      <c r="G83" s="69"/>
      <c r="H83" s="71">
        <f t="shared" si="6"/>
        <v>0</v>
      </c>
      <c r="I83" s="71">
        <f t="shared" si="2"/>
        <v>0</v>
      </c>
      <c r="J83" s="69">
        <f t="shared" si="7"/>
        <v>0</v>
      </c>
    </row>
    <row r="84" customHeight="1" spans="1:10">
      <c r="A84" s="68"/>
      <c r="B84" s="69"/>
      <c r="C84" s="70"/>
      <c r="D84" s="71">
        <f>'3-2-26'!I84</f>
        <v>0</v>
      </c>
      <c r="E84" s="69"/>
      <c r="F84" s="69"/>
      <c r="G84" s="69"/>
      <c r="H84" s="71">
        <f t="shared" si="6"/>
        <v>0</v>
      </c>
      <c r="I84" s="71">
        <f t="shared" si="2"/>
        <v>0</v>
      </c>
      <c r="J84" s="69">
        <f t="shared" si="7"/>
        <v>0</v>
      </c>
    </row>
    <row r="85" customHeight="1" spans="1:10">
      <c r="A85" s="68"/>
      <c r="B85" s="69"/>
      <c r="C85" s="70"/>
      <c r="D85" s="71">
        <f>'3-2-26'!I85</f>
        <v>0</v>
      </c>
      <c r="E85" s="69"/>
      <c r="F85" s="69"/>
      <c r="G85" s="69"/>
      <c r="H85" s="71">
        <f t="shared" si="6"/>
        <v>0</v>
      </c>
      <c r="I85" s="71">
        <f t="shared" si="2"/>
        <v>0</v>
      </c>
      <c r="J85" s="69">
        <f t="shared" si="7"/>
        <v>0</v>
      </c>
    </row>
    <row r="86" customHeight="1" spans="1:10">
      <c r="A86" s="68"/>
      <c r="B86" s="69"/>
      <c r="C86" s="70"/>
      <c r="D86" s="71">
        <f>'3-2-26'!I86</f>
        <v>0</v>
      </c>
      <c r="E86" s="69"/>
      <c r="F86" s="69"/>
      <c r="G86" s="69"/>
      <c r="H86" s="71">
        <f t="shared" si="6"/>
        <v>0</v>
      </c>
      <c r="I86" s="71">
        <f t="shared" si="2"/>
        <v>0</v>
      </c>
      <c r="J86" s="69">
        <f t="shared" si="7"/>
        <v>0</v>
      </c>
    </row>
    <row r="87" customHeight="1" spans="1:10">
      <c r="A87" s="68"/>
      <c r="B87" s="69"/>
      <c r="C87" s="70"/>
      <c r="D87" s="71">
        <f>'3-2-26'!I87</f>
        <v>0</v>
      </c>
      <c r="E87" s="69"/>
      <c r="F87" s="69"/>
      <c r="G87" s="69"/>
      <c r="H87" s="71">
        <f t="shared" si="6"/>
        <v>0</v>
      </c>
      <c r="I87" s="71">
        <f t="shared" si="2"/>
        <v>0</v>
      </c>
      <c r="J87" s="69">
        <f t="shared" si="7"/>
        <v>0</v>
      </c>
    </row>
    <row r="88" customHeight="1" spans="1:10">
      <c r="A88" s="68"/>
      <c r="B88" s="69"/>
      <c r="C88" s="70"/>
      <c r="D88" s="71">
        <f>'3-2-26'!I88</f>
        <v>0</v>
      </c>
      <c r="E88" s="69"/>
      <c r="F88" s="69"/>
      <c r="G88" s="69"/>
      <c r="H88" s="71">
        <f t="shared" si="6"/>
        <v>0</v>
      </c>
      <c r="I88" s="71">
        <f t="shared" si="2"/>
        <v>0</v>
      </c>
      <c r="J88" s="69">
        <f t="shared" si="7"/>
        <v>0</v>
      </c>
    </row>
    <row r="89" customHeight="1" spans="1:10">
      <c r="A89" s="68"/>
      <c r="B89" s="69"/>
      <c r="C89" s="70"/>
      <c r="D89" s="71">
        <f>'3-2-26'!I89</f>
        <v>0</v>
      </c>
      <c r="E89" s="69"/>
      <c r="F89" s="69"/>
      <c r="G89" s="69"/>
      <c r="H89" s="71">
        <f t="shared" si="6"/>
        <v>0</v>
      </c>
      <c r="I89" s="71">
        <f t="shared" si="2"/>
        <v>0</v>
      </c>
      <c r="J89" s="69">
        <f t="shared" si="7"/>
        <v>0</v>
      </c>
    </row>
    <row r="90" customHeight="1" spans="1:10">
      <c r="A90" s="68"/>
      <c r="B90" s="69"/>
      <c r="C90" s="70"/>
      <c r="D90" s="71">
        <f>'3-2-26'!I90</f>
        <v>0</v>
      </c>
      <c r="E90" s="69"/>
      <c r="F90" s="69"/>
      <c r="G90" s="69"/>
      <c r="H90" s="71">
        <f t="shared" si="6"/>
        <v>0</v>
      </c>
      <c r="I90" s="71">
        <f t="shared" si="2"/>
        <v>0</v>
      </c>
      <c r="J90" s="69">
        <f t="shared" si="7"/>
        <v>0</v>
      </c>
    </row>
    <row r="91" customHeight="1" spans="1:10">
      <c r="A91" s="68"/>
      <c r="B91" s="69"/>
      <c r="C91" s="70"/>
      <c r="D91" s="71">
        <f>'3-2-26'!I91</f>
        <v>0</v>
      </c>
      <c r="E91" s="69"/>
      <c r="F91" s="69"/>
      <c r="G91" s="69"/>
      <c r="H91" s="71">
        <f t="shared" ref="H91:H136" si="8">SUM(F91:G91)</f>
        <v>0</v>
      </c>
      <c r="I91" s="71">
        <f t="shared" si="2"/>
        <v>0</v>
      </c>
      <c r="J91" s="69">
        <f t="shared" si="7"/>
        <v>0</v>
      </c>
    </row>
    <row r="92" customHeight="1" spans="1:10">
      <c r="A92" s="68"/>
      <c r="B92" s="69"/>
      <c r="C92" s="70"/>
      <c r="D92" s="71">
        <f>'3-2-26'!I92</f>
        <v>0</v>
      </c>
      <c r="E92" s="69"/>
      <c r="F92" s="69"/>
      <c r="G92" s="69"/>
      <c r="H92" s="71">
        <f t="shared" si="8"/>
        <v>0</v>
      </c>
      <c r="I92" s="71">
        <f t="shared" si="2"/>
        <v>0</v>
      </c>
      <c r="J92" s="69">
        <f t="shared" si="7"/>
        <v>0</v>
      </c>
    </row>
    <row r="93" customHeight="1" spans="1:10">
      <c r="A93" s="68"/>
      <c r="B93" s="69"/>
      <c r="C93" s="70"/>
      <c r="D93" s="71">
        <f>'3-2-26'!I93</f>
        <v>0</v>
      </c>
      <c r="E93" s="69"/>
      <c r="F93" s="69"/>
      <c r="G93" s="69"/>
      <c r="H93" s="71">
        <f t="shared" si="8"/>
        <v>0</v>
      </c>
      <c r="I93" s="71">
        <f t="shared" si="2"/>
        <v>0</v>
      </c>
      <c r="J93" s="69">
        <f t="shared" si="7"/>
        <v>0</v>
      </c>
    </row>
    <row r="94" customHeight="1" spans="1:10">
      <c r="A94" s="68"/>
      <c r="B94" s="69"/>
      <c r="C94" s="70"/>
      <c r="D94" s="71">
        <f>'3-2-26'!I94</f>
        <v>0</v>
      </c>
      <c r="E94" s="69"/>
      <c r="F94" s="69"/>
      <c r="G94" s="69"/>
      <c r="H94" s="71">
        <f t="shared" si="8"/>
        <v>0</v>
      </c>
      <c r="I94" s="71">
        <f t="shared" si="2"/>
        <v>0</v>
      </c>
      <c r="J94" s="69">
        <f t="shared" si="7"/>
        <v>0</v>
      </c>
    </row>
    <row r="95" customHeight="1" spans="1:10">
      <c r="A95" s="68"/>
      <c r="B95" s="69"/>
      <c r="C95" s="70"/>
      <c r="D95" s="71">
        <f>'3-2-26'!I95</f>
        <v>0</v>
      </c>
      <c r="E95" s="69"/>
      <c r="F95" s="69"/>
      <c r="G95" s="69"/>
      <c r="H95" s="71">
        <f t="shared" si="8"/>
        <v>0</v>
      </c>
      <c r="I95" s="71">
        <f t="shared" si="2"/>
        <v>0</v>
      </c>
      <c r="J95" s="69">
        <f t="shared" si="7"/>
        <v>0</v>
      </c>
    </row>
    <row r="96" customHeight="1" spans="1:10">
      <c r="A96" s="68"/>
      <c r="B96" s="69"/>
      <c r="C96" s="70"/>
      <c r="D96" s="71">
        <f>'3-2-26'!I96</f>
        <v>0</v>
      </c>
      <c r="E96" s="69"/>
      <c r="F96" s="69"/>
      <c r="G96" s="69"/>
      <c r="H96" s="71">
        <f t="shared" si="8"/>
        <v>0</v>
      </c>
      <c r="I96" s="71">
        <f t="shared" si="2"/>
        <v>0</v>
      </c>
      <c r="J96" s="69">
        <f t="shared" si="7"/>
        <v>0</v>
      </c>
    </row>
    <row r="97" customHeight="1" spans="1:10">
      <c r="A97" s="68"/>
      <c r="B97" s="69"/>
      <c r="C97" s="70"/>
      <c r="D97" s="71">
        <f>'3-2-26'!I97</f>
        <v>0</v>
      </c>
      <c r="E97" s="69"/>
      <c r="F97" s="69"/>
      <c r="G97" s="69"/>
      <c r="H97" s="71">
        <f t="shared" si="8"/>
        <v>0</v>
      </c>
      <c r="I97" s="71">
        <f t="shared" si="2"/>
        <v>0</v>
      </c>
      <c r="J97" s="69">
        <f t="shared" si="7"/>
        <v>0</v>
      </c>
    </row>
    <row r="98" customHeight="1" spans="1:10">
      <c r="A98" s="68"/>
      <c r="B98" s="69"/>
      <c r="C98" s="70"/>
      <c r="D98" s="71">
        <f>'3-2-26'!I98</f>
        <v>0</v>
      </c>
      <c r="E98" s="69"/>
      <c r="F98" s="69"/>
      <c r="G98" s="69"/>
      <c r="H98" s="71">
        <f t="shared" si="8"/>
        <v>0</v>
      </c>
      <c r="I98" s="71">
        <f t="shared" si="2"/>
        <v>0</v>
      </c>
      <c r="J98" s="69">
        <f t="shared" si="7"/>
        <v>0</v>
      </c>
    </row>
    <row r="99" customHeight="1" spans="1:10">
      <c r="A99" s="68"/>
      <c r="B99" s="69"/>
      <c r="C99" s="70"/>
      <c r="D99" s="71">
        <f>'3-2-26'!I99</f>
        <v>0</v>
      </c>
      <c r="E99" s="69"/>
      <c r="F99" s="69"/>
      <c r="G99" s="69"/>
      <c r="H99" s="71">
        <f t="shared" si="8"/>
        <v>0</v>
      </c>
      <c r="I99" s="71">
        <f t="shared" si="2"/>
        <v>0</v>
      </c>
      <c r="J99" s="69">
        <f t="shared" si="7"/>
        <v>0</v>
      </c>
    </row>
    <row r="100" customHeight="1" spans="1:10">
      <c r="A100" s="68"/>
      <c r="B100" s="69"/>
      <c r="C100" s="70"/>
      <c r="D100" s="71">
        <f>'3-2-26'!I100</f>
        <v>0</v>
      </c>
      <c r="E100" s="69"/>
      <c r="F100" s="69"/>
      <c r="G100" s="69"/>
      <c r="H100" s="71">
        <f t="shared" si="8"/>
        <v>0</v>
      </c>
      <c r="I100" s="71">
        <f t="shared" si="2"/>
        <v>0</v>
      </c>
      <c r="J100" s="69">
        <f t="shared" si="7"/>
        <v>0</v>
      </c>
    </row>
    <row r="101" customHeight="1" spans="1:10">
      <c r="A101" s="68"/>
      <c r="B101" s="69"/>
      <c r="C101" s="70"/>
      <c r="D101" s="71">
        <f>'3-2-26'!I101</f>
        <v>0</v>
      </c>
      <c r="E101" s="69"/>
      <c r="F101" s="69"/>
      <c r="G101" s="69"/>
      <c r="H101" s="71">
        <f t="shared" si="8"/>
        <v>0</v>
      </c>
      <c r="I101" s="71">
        <f t="shared" si="2"/>
        <v>0</v>
      </c>
      <c r="J101" s="69">
        <f t="shared" si="7"/>
        <v>0</v>
      </c>
    </row>
    <row r="102" customHeight="1" spans="1:10">
      <c r="A102" s="68"/>
      <c r="B102" s="69"/>
      <c r="C102" s="70"/>
      <c r="D102" s="71">
        <f>'3-2-26'!I102</f>
        <v>0</v>
      </c>
      <c r="E102" s="69"/>
      <c r="F102" s="69"/>
      <c r="G102" s="69"/>
      <c r="H102" s="71">
        <f t="shared" si="8"/>
        <v>0</v>
      </c>
      <c r="I102" s="71">
        <f t="shared" si="2"/>
        <v>0</v>
      </c>
      <c r="J102" s="69">
        <f t="shared" si="7"/>
        <v>0</v>
      </c>
    </row>
    <row r="103" customHeight="1" spans="1:10">
      <c r="A103" s="68"/>
      <c r="B103" s="69"/>
      <c r="C103" s="70"/>
      <c r="D103" s="71">
        <f>'3-2-26'!I103</f>
        <v>0</v>
      </c>
      <c r="E103" s="69"/>
      <c r="F103" s="69"/>
      <c r="G103" s="69"/>
      <c r="H103" s="71">
        <f t="shared" si="8"/>
        <v>0</v>
      </c>
      <c r="I103" s="71">
        <f t="shared" si="2"/>
        <v>0</v>
      </c>
      <c r="J103" s="69">
        <f t="shared" si="7"/>
        <v>0</v>
      </c>
    </row>
    <row r="104" customHeight="1" spans="1:10">
      <c r="A104" s="68"/>
      <c r="B104" s="69"/>
      <c r="C104" s="70"/>
      <c r="D104" s="71">
        <f>'3-2-26'!I104</f>
        <v>0</v>
      </c>
      <c r="E104" s="69"/>
      <c r="F104" s="69"/>
      <c r="G104" s="69"/>
      <c r="H104" s="71">
        <f t="shared" si="8"/>
        <v>0</v>
      </c>
      <c r="I104" s="71">
        <f t="shared" si="2"/>
        <v>0</v>
      </c>
      <c r="J104" s="69">
        <f t="shared" si="7"/>
        <v>0</v>
      </c>
    </row>
    <row r="105" customHeight="1" spans="1:10">
      <c r="A105" s="68"/>
      <c r="B105" s="69"/>
      <c r="C105" s="70"/>
      <c r="D105" s="71">
        <f>'3-2-26'!I105</f>
        <v>0</v>
      </c>
      <c r="E105" s="69"/>
      <c r="F105" s="69"/>
      <c r="G105" s="69"/>
      <c r="H105" s="71">
        <f t="shared" si="8"/>
        <v>0</v>
      </c>
      <c r="I105" s="71">
        <f t="shared" si="2"/>
        <v>0</v>
      </c>
      <c r="J105" s="69">
        <f t="shared" si="7"/>
        <v>0</v>
      </c>
    </row>
    <row r="106" customHeight="1" spans="1:10">
      <c r="A106" s="68"/>
      <c r="B106" s="69"/>
      <c r="C106" s="70"/>
      <c r="D106" s="71">
        <f>'3-2-26'!I106</f>
        <v>0</v>
      </c>
      <c r="E106" s="69"/>
      <c r="F106" s="69"/>
      <c r="G106" s="69"/>
      <c r="H106" s="71">
        <f t="shared" si="8"/>
        <v>0</v>
      </c>
      <c r="I106" s="71">
        <f t="shared" si="2"/>
        <v>0</v>
      </c>
      <c r="J106" s="69">
        <f t="shared" si="7"/>
        <v>0</v>
      </c>
    </row>
    <row r="107" customHeight="1" spans="1:10">
      <c r="A107" s="68"/>
      <c r="B107" s="69"/>
      <c r="C107" s="70"/>
      <c r="D107" s="71">
        <f>'3-2-26'!I107</f>
        <v>0</v>
      </c>
      <c r="E107" s="69"/>
      <c r="F107" s="69"/>
      <c r="G107" s="69"/>
      <c r="H107" s="71">
        <f t="shared" si="8"/>
        <v>0</v>
      </c>
      <c r="I107" s="71">
        <f t="shared" si="2"/>
        <v>0</v>
      </c>
      <c r="J107" s="69">
        <f t="shared" si="7"/>
        <v>0</v>
      </c>
    </row>
    <row r="108" customHeight="1" spans="1:10">
      <c r="A108" s="68"/>
      <c r="B108" s="69"/>
      <c r="C108" s="70"/>
      <c r="D108" s="71">
        <f>'3-2-26'!I108</f>
        <v>0</v>
      </c>
      <c r="E108" s="69"/>
      <c r="F108" s="69"/>
      <c r="G108" s="69"/>
      <c r="H108" s="71">
        <f t="shared" si="8"/>
        <v>0</v>
      </c>
      <c r="I108" s="71">
        <f t="shared" si="2"/>
        <v>0</v>
      </c>
      <c r="J108" s="69">
        <f t="shared" si="7"/>
        <v>0</v>
      </c>
    </row>
    <row r="109" customHeight="1" spans="1:10">
      <c r="A109" s="68"/>
      <c r="B109" s="69"/>
      <c r="C109" s="70"/>
      <c r="D109" s="71">
        <f>'3-2-26'!I109</f>
        <v>0</v>
      </c>
      <c r="E109" s="69"/>
      <c r="F109" s="69"/>
      <c r="G109" s="69"/>
      <c r="H109" s="71">
        <f t="shared" si="8"/>
        <v>0</v>
      </c>
      <c r="I109" s="71">
        <f t="shared" si="2"/>
        <v>0</v>
      </c>
      <c r="J109" s="69">
        <f t="shared" si="7"/>
        <v>0</v>
      </c>
    </row>
    <row r="110" customHeight="1" spans="1:10">
      <c r="A110" s="68"/>
      <c r="B110" s="69"/>
      <c r="C110" s="70"/>
      <c r="D110" s="71">
        <f>'3-2-26'!I110</f>
        <v>0</v>
      </c>
      <c r="E110" s="69"/>
      <c r="F110" s="69"/>
      <c r="G110" s="69"/>
      <c r="H110" s="71">
        <f t="shared" si="8"/>
        <v>0</v>
      </c>
      <c r="I110" s="71">
        <f t="shared" si="2"/>
        <v>0</v>
      </c>
      <c r="J110" s="69">
        <f t="shared" si="7"/>
        <v>0</v>
      </c>
    </row>
    <row r="111" customHeight="1" spans="1:10">
      <c r="A111" s="68"/>
      <c r="B111" s="69"/>
      <c r="C111" s="70"/>
      <c r="D111" s="71">
        <f>'3-2-26'!I111</f>
        <v>0</v>
      </c>
      <c r="E111" s="69"/>
      <c r="F111" s="69"/>
      <c r="G111" s="69"/>
      <c r="H111" s="71">
        <f t="shared" si="8"/>
        <v>0</v>
      </c>
      <c r="I111" s="71">
        <f t="shared" si="2"/>
        <v>0</v>
      </c>
      <c r="J111" s="69">
        <f t="shared" si="7"/>
        <v>0</v>
      </c>
    </row>
    <row r="112" customHeight="1" spans="1:10">
      <c r="A112" s="68"/>
      <c r="B112" s="69"/>
      <c r="C112" s="70"/>
      <c r="D112" s="71">
        <f>'3-2-26'!I112</f>
        <v>0</v>
      </c>
      <c r="E112" s="69"/>
      <c r="F112" s="69"/>
      <c r="G112" s="69"/>
      <c r="H112" s="71">
        <f t="shared" si="8"/>
        <v>0</v>
      </c>
      <c r="I112" s="71">
        <f t="shared" si="2"/>
        <v>0</v>
      </c>
      <c r="J112" s="69">
        <f t="shared" si="7"/>
        <v>0</v>
      </c>
    </row>
    <row r="113" customHeight="1" spans="1:10">
      <c r="A113" s="68"/>
      <c r="B113" s="69"/>
      <c r="C113" s="70"/>
      <c r="D113" s="71">
        <f>'3-2-26'!I113</f>
        <v>0</v>
      </c>
      <c r="E113" s="69"/>
      <c r="F113" s="69"/>
      <c r="G113" s="69"/>
      <c r="H113" s="71">
        <f t="shared" si="8"/>
        <v>0</v>
      </c>
      <c r="I113" s="71">
        <f t="shared" si="2"/>
        <v>0</v>
      </c>
      <c r="J113" s="69">
        <f t="shared" si="7"/>
        <v>0</v>
      </c>
    </row>
    <row r="114" customHeight="1" spans="1:10">
      <c r="A114" s="68"/>
      <c r="B114" s="69"/>
      <c r="C114" s="70"/>
      <c r="D114" s="71">
        <f>'3-2-26'!I114</f>
        <v>0</v>
      </c>
      <c r="E114" s="69"/>
      <c r="F114" s="69"/>
      <c r="G114" s="69"/>
      <c r="H114" s="71">
        <f t="shared" si="8"/>
        <v>0</v>
      </c>
      <c r="I114" s="71">
        <f t="shared" si="2"/>
        <v>0</v>
      </c>
      <c r="J114" s="69">
        <f t="shared" si="7"/>
        <v>0</v>
      </c>
    </row>
    <row r="115" customHeight="1" spans="1:10">
      <c r="A115" s="68"/>
      <c r="B115" s="69"/>
      <c r="C115" s="70"/>
      <c r="D115" s="71">
        <f>'3-2-26'!I115</f>
        <v>0</v>
      </c>
      <c r="E115" s="69"/>
      <c r="F115" s="69"/>
      <c r="G115" s="69"/>
      <c r="H115" s="71">
        <f t="shared" si="8"/>
        <v>0</v>
      </c>
      <c r="I115" s="71">
        <f t="shared" si="2"/>
        <v>0</v>
      </c>
      <c r="J115" s="69">
        <f t="shared" si="7"/>
        <v>0</v>
      </c>
    </row>
    <row r="116" customHeight="1" spans="1:10">
      <c r="A116" s="68"/>
      <c r="B116" s="69"/>
      <c r="C116" s="70"/>
      <c r="D116" s="71">
        <f>'3-2-26'!I116</f>
        <v>0</v>
      </c>
      <c r="E116" s="69"/>
      <c r="F116" s="69"/>
      <c r="G116" s="69"/>
      <c r="H116" s="71">
        <f t="shared" si="8"/>
        <v>0</v>
      </c>
      <c r="I116" s="71">
        <f t="shared" si="2"/>
        <v>0</v>
      </c>
      <c r="J116" s="69">
        <f t="shared" si="7"/>
        <v>0</v>
      </c>
    </row>
    <row r="117" customHeight="1" spans="1:10">
      <c r="A117" s="68"/>
      <c r="B117" s="69"/>
      <c r="C117" s="70"/>
      <c r="D117" s="71">
        <f>'3-2-26'!I117</f>
        <v>0</v>
      </c>
      <c r="E117" s="69"/>
      <c r="F117" s="69"/>
      <c r="G117" s="69"/>
      <c r="H117" s="71">
        <f t="shared" si="8"/>
        <v>0</v>
      </c>
      <c r="I117" s="71">
        <f t="shared" si="2"/>
        <v>0</v>
      </c>
      <c r="J117" s="69">
        <f t="shared" si="7"/>
        <v>0</v>
      </c>
    </row>
    <row r="118" customHeight="1" spans="1:10">
      <c r="A118" s="68"/>
      <c r="B118" s="69"/>
      <c r="C118" s="70"/>
      <c r="D118" s="71">
        <f>'3-2-26'!I118</f>
        <v>0</v>
      </c>
      <c r="E118" s="69"/>
      <c r="F118" s="69"/>
      <c r="G118" s="69"/>
      <c r="H118" s="71">
        <f t="shared" si="8"/>
        <v>0</v>
      </c>
      <c r="I118" s="71">
        <f t="shared" si="2"/>
        <v>0</v>
      </c>
      <c r="J118" s="69">
        <f t="shared" si="7"/>
        <v>0</v>
      </c>
    </row>
    <row r="119" customHeight="1" spans="1:10">
      <c r="A119" s="68"/>
      <c r="B119" s="69"/>
      <c r="C119" s="70"/>
      <c r="D119" s="71">
        <f>'3-2-26'!I119</f>
        <v>0</v>
      </c>
      <c r="E119" s="69"/>
      <c r="F119" s="69"/>
      <c r="G119" s="69"/>
      <c r="H119" s="71">
        <f t="shared" si="8"/>
        <v>0</v>
      </c>
      <c r="I119" s="71">
        <f t="shared" si="2"/>
        <v>0</v>
      </c>
      <c r="J119" s="69">
        <f t="shared" si="7"/>
        <v>0</v>
      </c>
    </row>
    <row r="120" customHeight="1" spans="1:10">
      <c r="A120" s="68"/>
      <c r="B120" s="69"/>
      <c r="C120" s="70"/>
      <c r="D120" s="71">
        <f>'3-2-26'!I120</f>
        <v>0</v>
      </c>
      <c r="E120" s="69"/>
      <c r="F120" s="69"/>
      <c r="G120" s="69"/>
      <c r="H120" s="71">
        <f t="shared" si="8"/>
        <v>0</v>
      </c>
      <c r="I120" s="71">
        <f t="shared" si="2"/>
        <v>0</v>
      </c>
      <c r="J120" s="69">
        <f t="shared" si="7"/>
        <v>0</v>
      </c>
    </row>
    <row r="121" customHeight="1" spans="1:10">
      <c r="A121" s="68"/>
      <c r="B121" s="69"/>
      <c r="C121" s="70"/>
      <c r="D121" s="71">
        <f>'3-2-26'!I121</f>
        <v>0</v>
      </c>
      <c r="E121" s="69"/>
      <c r="F121" s="69"/>
      <c r="G121" s="69"/>
      <c r="H121" s="71">
        <f t="shared" si="8"/>
        <v>0</v>
      </c>
      <c r="I121" s="71">
        <f t="shared" si="2"/>
        <v>0</v>
      </c>
      <c r="J121" s="69">
        <f t="shared" si="7"/>
        <v>0</v>
      </c>
    </row>
    <row r="122" customHeight="1" spans="1:10">
      <c r="A122" s="68"/>
      <c r="B122" s="69"/>
      <c r="C122" s="70"/>
      <c r="D122" s="71">
        <f>'3-2-26'!I122</f>
        <v>0</v>
      </c>
      <c r="E122" s="69"/>
      <c r="F122" s="69"/>
      <c r="G122" s="69"/>
      <c r="H122" s="71">
        <f t="shared" si="8"/>
        <v>0</v>
      </c>
      <c r="I122" s="71">
        <f t="shared" si="2"/>
        <v>0</v>
      </c>
      <c r="J122" s="69">
        <f t="shared" si="7"/>
        <v>0</v>
      </c>
    </row>
    <row r="123" customHeight="1" spans="1:10">
      <c r="A123" s="68"/>
      <c r="B123" s="69"/>
      <c r="C123" s="70"/>
      <c r="D123" s="71">
        <f>'3-2-26'!I123</f>
        <v>0</v>
      </c>
      <c r="E123" s="69"/>
      <c r="F123" s="69"/>
      <c r="G123" s="69"/>
      <c r="H123" s="71">
        <f t="shared" si="8"/>
        <v>0</v>
      </c>
      <c r="I123" s="71">
        <f t="shared" si="2"/>
        <v>0</v>
      </c>
      <c r="J123" s="69">
        <f t="shared" si="7"/>
        <v>0</v>
      </c>
    </row>
    <row r="124" customHeight="1" spans="1:10">
      <c r="A124" s="68"/>
      <c r="B124" s="69"/>
      <c r="C124" s="70"/>
      <c r="D124" s="71">
        <f>'3-2-26'!I124</f>
        <v>0</v>
      </c>
      <c r="E124" s="69"/>
      <c r="F124" s="69"/>
      <c r="G124" s="69"/>
      <c r="H124" s="71">
        <f t="shared" si="8"/>
        <v>0</v>
      </c>
      <c r="I124" s="71">
        <f t="shared" si="2"/>
        <v>0</v>
      </c>
      <c r="J124" s="69">
        <f t="shared" si="7"/>
        <v>0</v>
      </c>
    </row>
    <row r="125" customHeight="1" spans="1:10">
      <c r="A125" s="68"/>
      <c r="B125" s="69"/>
      <c r="C125" s="70"/>
      <c r="D125" s="71">
        <f>'3-2-26'!I125</f>
        <v>0</v>
      </c>
      <c r="E125" s="69"/>
      <c r="F125" s="69"/>
      <c r="G125" s="69"/>
      <c r="H125" s="71">
        <f t="shared" si="8"/>
        <v>0</v>
      </c>
      <c r="I125" s="71">
        <f t="shared" si="2"/>
        <v>0</v>
      </c>
      <c r="J125" s="69">
        <f t="shared" si="7"/>
        <v>0</v>
      </c>
    </row>
    <row r="126" customHeight="1" spans="1:10">
      <c r="A126" s="68"/>
      <c r="B126" s="69"/>
      <c r="C126" s="70"/>
      <c r="D126" s="71">
        <f>'3-2-26'!I126</f>
        <v>0</v>
      </c>
      <c r="E126" s="69"/>
      <c r="F126" s="69"/>
      <c r="G126" s="69"/>
      <c r="H126" s="71">
        <f t="shared" si="8"/>
        <v>0</v>
      </c>
      <c r="I126" s="71">
        <f t="shared" si="2"/>
        <v>0</v>
      </c>
      <c r="J126" s="69">
        <f t="shared" si="7"/>
        <v>0</v>
      </c>
    </row>
    <row r="127" customHeight="1" spans="1:10">
      <c r="A127" s="68"/>
      <c r="B127" s="69"/>
      <c r="C127" s="70"/>
      <c r="D127" s="71">
        <f>'3-2-26'!I127</f>
        <v>0</v>
      </c>
      <c r="E127" s="69"/>
      <c r="F127" s="69"/>
      <c r="G127" s="69"/>
      <c r="H127" s="71">
        <f t="shared" si="8"/>
        <v>0</v>
      </c>
      <c r="I127" s="71">
        <f t="shared" si="2"/>
        <v>0</v>
      </c>
      <c r="J127" s="69">
        <f t="shared" si="7"/>
        <v>0</v>
      </c>
    </row>
    <row r="128" customHeight="1" spans="1:10">
      <c r="A128" s="68"/>
      <c r="B128" s="69"/>
      <c r="C128" s="70"/>
      <c r="D128" s="71">
        <f>'3-2-26'!I128</f>
        <v>0</v>
      </c>
      <c r="E128" s="69"/>
      <c r="F128" s="69"/>
      <c r="G128" s="69"/>
      <c r="H128" s="71">
        <f t="shared" si="8"/>
        <v>0</v>
      </c>
      <c r="I128" s="71">
        <f t="shared" si="2"/>
        <v>0</v>
      </c>
      <c r="J128" s="69">
        <f t="shared" si="7"/>
        <v>0</v>
      </c>
    </row>
    <row r="129" customHeight="1" spans="1:10">
      <c r="A129" s="68"/>
      <c r="B129" s="69"/>
      <c r="C129" s="70"/>
      <c r="D129" s="71">
        <f>'3-2-26'!I129</f>
        <v>0</v>
      </c>
      <c r="E129" s="69"/>
      <c r="F129" s="69"/>
      <c r="G129" s="69"/>
      <c r="H129" s="71">
        <f t="shared" si="8"/>
        <v>0</v>
      </c>
      <c r="I129" s="71">
        <f t="shared" si="2"/>
        <v>0</v>
      </c>
      <c r="J129" s="69">
        <f t="shared" si="7"/>
        <v>0</v>
      </c>
    </row>
    <row r="130" customHeight="1" spans="1:10">
      <c r="A130" s="68"/>
      <c r="B130" s="69"/>
      <c r="C130" s="70"/>
      <c r="D130" s="71">
        <f>'3-2-26'!I130</f>
        <v>0</v>
      </c>
      <c r="E130" s="69"/>
      <c r="F130" s="69"/>
      <c r="G130" s="69"/>
      <c r="H130" s="71">
        <f t="shared" si="8"/>
        <v>0</v>
      </c>
      <c r="I130" s="71">
        <f t="shared" si="2"/>
        <v>0</v>
      </c>
      <c r="J130" s="69">
        <f t="shared" si="7"/>
        <v>0</v>
      </c>
    </row>
    <row r="131" customHeight="1" spans="1:10">
      <c r="A131" s="68"/>
      <c r="B131" s="69"/>
      <c r="C131" s="70"/>
      <c r="D131" s="71">
        <f>'3-2-26'!I131</f>
        <v>0</v>
      </c>
      <c r="E131" s="69"/>
      <c r="F131" s="69"/>
      <c r="G131" s="69"/>
      <c r="H131" s="71">
        <f t="shared" si="8"/>
        <v>0</v>
      </c>
      <c r="I131" s="71">
        <f t="shared" si="2"/>
        <v>0</v>
      </c>
      <c r="J131" s="69">
        <f t="shared" si="7"/>
        <v>0</v>
      </c>
    </row>
    <row r="132" customHeight="1" spans="1:10">
      <c r="A132" s="68"/>
      <c r="B132" s="69"/>
      <c r="C132" s="70"/>
      <c r="D132" s="71">
        <f>'3-2-26'!I132</f>
        <v>0</v>
      </c>
      <c r="E132" s="69"/>
      <c r="F132" s="69"/>
      <c r="G132" s="69"/>
      <c r="H132" s="71">
        <f t="shared" si="8"/>
        <v>0</v>
      </c>
      <c r="I132" s="71">
        <f t="shared" si="2"/>
        <v>0</v>
      </c>
      <c r="J132" s="69">
        <f t="shared" si="7"/>
        <v>0</v>
      </c>
    </row>
    <row r="133" customHeight="1" spans="1:10">
      <c r="A133" s="68"/>
      <c r="B133" s="69"/>
      <c r="C133" s="70"/>
      <c r="D133" s="71">
        <f>'3-2-26'!I133</f>
        <v>0</v>
      </c>
      <c r="E133" s="69"/>
      <c r="F133" s="69"/>
      <c r="G133" s="69"/>
      <c r="H133" s="71">
        <f t="shared" si="8"/>
        <v>0</v>
      </c>
      <c r="I133" s="71">
        <f t="shared" si="2"/>
        <v>0</v>
      </c>
      <c r="J133" s="69">
        <f t="shared" si="7"/>
        <v>0</v>
      </c>
    </row>
    <row r="134" customHeight="1" spans="1:10">
      <c r="A134" s="68"/>
      <c r="B134" s="69"/>
      <c r="C134" s="70"/>
      <c r="D134" s="71">
        <f>'3-2-26'!I134</f>
        <v>0</v>
      </c>
      <c r="E134" s="69"/>
      <c r="F134" s="69"/>
      <c r="G134" s="69"/>
      <c r="H134" s="71">
        <f t="shared" si="8"/>
        <v>0</v>
      </c>
      <c r="I134" s="71">
        <f t="shared" si="2"/>
        <v>0</v>
      </c>
      <c r="J134" s="69">
        <f t="shared" si="7"/>
        <v>0</v>
      </c>
    </row>
    <row r="135" customHeight="1" spans="1:10">
      <c r="A135" s="68"/>
      <c r="B135" s="69"/>
      <c r="C135" s="70"/>
      <c r="D135" s="71">
        <f>'3-2-26'!I135</f>
        <v>0</v>
      </c>
      <c r="E135" s="69"/>
      <c r="F135" s="69"/>
      <c r="G135" s="69"/>
      <c r="H135" s="71">
        <f t="shared" si="8"/>
        <v>0</v>
      </c>
      <c r="I135" s="71">
        <f t="shared" si="2"/>
        <v>0</v>
      </c>
      <c r="J135" s="69">
        <f t="shared" si="7"/>
        <v>0</v>
      </c>
    </row>
    <row r="136" customHeight="1" spans="1:10">
      <c r="A136" s="68"/>
      <c r="B136" s="69"/>
      <c r="C136" s="70"/>
      <c r="D136" s="71">
        <f>'3-2-26'!I136</f>
        <v>0</v>
      </c>
      <c r="E136" s="69"/>
      <c r="F136" s="69"/>
      <c r="G136" s="69"/>
      <c r="H136" s="71">
        <f t="shared" si="8"/>
        <v>0</v>
      </c>
      <c r="I136" s="71">
        <f t="shared" si="2"/>
        <v>0</v>
      </c>
      <c r="J136" s="69">
        <f t="shared" si="7"/>
        <v>0</v>
      </c>
    </row>
    <row r="137" customHeight="1" spans="1:10">
      <c r="A137" s="68"/>
      <c r="B137" s="69"/>
      <c r="C137" s="70"/>
      <c r="D137" s="71">
        <f>'3-2-26'!I137</f>
        <v>0</v>
      </c>
      <c r="E137" s="69"/>
      <c r="F137" s="69"/>
      <c r="G137" s="69"/>
      <c r="H137" s="71">
        <f t="shared" ref="H137:H186" si="9">SUM(F137:G137)</f>
        <v>0</v>
      </c>
      <c r="I137" s="71">
        <f t="shared" si="2"/>
        <v>0</v>
      </c>
      <c r="J137" s="69">
        <f t="shared" ref="J137:J186" si="10">1/10*G137</f>
        <v>0</v>
      </c>
    </row>
    <row r="138" customHeight="1" spans="1:10">
      <c r="A138" s="68"/>
      <c r="B138" s="69"/>
      <c r="C138" s="70"/>
      <c r="D138" s="71">
        <f>'3-2-26'!I138</f>
        <v>0</v>
      </c>
      <c r="E138" s="69"/>
      <c r="F138" s="69"/>
      <c r="G138" s="69"/>
      <c r="H138" s="71">
        <f t="shared" si="9"/>
        <v>0</v>
      </c>
      <c r="I138" s="71">
        <f t="shared" si="2"/>
        <v>0</v>
      </c>
      <c r="J138" s="69">
        <f t="shared" si="10"/>
        <v>0</v>
      </c>
    </row>
    <row r="139" customHeight="1" spans="1:10">
      <c r="A139" s="68"/>
      <c r="B139" s="69"/>
      <c r="C139" s="70"/>
      <c r="D139" s="71">
        <f>'3-2-26'!I139</f>
        <v>0</v>
      </c>
      <c r="E139" s="69"/>
      <c r="F139" s="69"/>
      <c r="G139" s="69"/>
      <c r="H139" s="71">
        <f t="shared" si="9"/>
        <v>0</v>
      </c>
      <c r="I139" s="71">
        <f t="shared" si="2"/>
        <v>0</v>
      </c>
      <c r="J139" s="69">
        <f t="shared" si="10"/>
        <v>0</v>
      </c>
    </row>
    <row r="140" customHeight="1" spans="1:10">
      <c r="A140" s="68"/>
      <c r="B140" s="69"/>
      <c r="C140" s="70"/>
      <c r="D140" s="71">
        <f>'3-2-26'!I140</f>
        <v>0</v>
      </c>
      <c r="E140" s="69"/>
      <c r="F140" s="69"/>
      <c r="G140" s="69"/>
      <c r="H140" s="71">
        <f t="shared" si="9"/>
        <v>0</v>
      </c>
      <c r="I140" s="71">
        <f t="shared" si="2"/>
        <v>0</v>
      </c>
      <c r="J140" s="69">
        <f t="shared" si="10"/>
        <v>0</v>
      </c>
    </row>
    <row r="141" customHeight="1" spans="1:10">
      <c r="A141" s="68"/>
      <c r="B141" s="69"/>
      <c r="C141" s="70"/>
      <c r="D141" s="71">
        <f>'3-2-26'!I141</f>
        <v>0</v>
      </c>
      <c r="E141" s="69"/>
      <c r="F141" s="69"/>
      <c r="G141" s="69"/>
      <c r="H141" s="71">
        <f t="shared" si="9"/>
        <v>0</v>
      </c>
      <c r="I141" s="71">
        <f t="shared" si="2"/>
        <v>0</v>
      </c>
      <c r="J141" s="69">
        <f t="shared" si="10"/>
        <v>0</v>
      </c>
    </row>
    <row r="142" customHeight="1" spans="1:10">
      <c r="A142" s="68"/>
      <c r="B142" s="69"/>
      <c r="C142" s="70"/>
      <c r="D142" s="71">
        <f>'3-2-26'!I142</f>
        <v>0</v>
      </c>
      <c r="E142" s="69"/>
      <c r="F142" s="69"/>
      <c r="G142" s="69"/>
      <c r="H142" s="71">
        <f t="shared" si="9"/>
        <v>0</v>
      </c>
      <c r="I142" s="71">
        <f t="shared" si="2"/>
        <v>0</v>
      </c>
      <c r="J142" s="69">
        <f t="shared" si="10"/>
        <v>0</v>
      </c>
    </row>
    <row r="143" customHeight="1" spans="1:10">
      <c r="A143" s="68"/>
      <c r="B143" s="69"/>
      <c r="C143" s="70"/>
      <c r="D143" s="71">
        <f>'3-2-26'!I143</f>
        <v>0</v>
      </c>
      <c r="E143" s="69"/>
      <c r="F143" s="69"/>
      <c r="G143" s="69"/>
      <c r="H143" s="71">
        <f t="shared" si="9"/>
        <v>0</v>
      </c>
      <c r="I143" s="71">
        <f t="shared" si="2"/>
        <v>0</v>
      </c>
      <c r="J143" s="69">
        <f t="shared" si="10"/>
        <v>0</v>
      </c>
    </row>
    <row r="144" customHeight="1" spans="1:10">
      <c r="A144" s="68"/>
      <c r="B144" s="69"/>
      <c r="C144" s="70"/>
      <c r="D144" s="71">
        <f>'3-2-26'!I144</f>
        <v>0</v>
      </c>
      <c r="E144" s="69"/>
      <c r="F144" s="69"/>
      <c r="G144" s="69"/>
      <c r="H144" s="71">
        <f t="shared" si="9"/>
        <v>0</v>
      </c>
      <c r="I144" s="71">
        <f t="shared" si="2"/>
        <v>0</v>
      </c>
      <c r="J144" s="69">
        <f t="shared" si="10"/>
        <v>0</v>
      </c>
    </row>
    <row r="145" customHeight="1" spans="1:10">
      <c r="A145" s="68"/>
      <c r="B145" s="69"/>
      <c r="C145" s="70"/>
      <c r="D145" s="71">
        <f>'3-2-26'!I145</f>
        <v>0</v>
      </c>
      <c r="E145" s="69"/>
      <c r="F145" s="69"/>
      <c r="G145" s="69"/>
      <c r="H145" s="71">
        <f t="shared" si="9"/>
        <v>0</v>
      </c>
      <c r="I145" s="71">
        <f t="shared" si="2"/>
        <v>0</v>
      </c>
      <c r="J145" s="69">
        <f t="shared" si="10"/>
        <v>0</v>
      </c>
    </row>
    <row r="146" customHeight="1" spans="1:10">
      <c r="A146" s="68"/>
      <c r="B146" s="69"/>
      <c r="C146" s="70"/>
      <c r="D146" s="71">
        <f>'3-2-26'!I146</f>
        <v>0</v>
      </c>
      <c r="E146" s="69"/>
      <c r="F146" s="69"/>
      <c r="G146" s="69"/>
      <c r="H146" s="71">
        <f t="shared" si="9"/>
        <v>0</v>
      </c>
      <c r="I146" s="71">
        <f t="shared" si="2"/>
        <v>0</v>
      </c>
      <c r="J146" s="69">
        <f t="shared" si="10"/>
        <v>0</v>
      </c>
    </row>
    <row r="147" customHeight="1" spans="1:10">
      <c r="A147" s="68"/>
      <c r="B147" s="69"/>
      <c r="C147" s="70"/>
      <c r="D147" s="71">
        <f>'3-2-26'!I147</f>
        <v>0</v>
      </c>
      <c r="E147" s="69"/>
      <c r="F147" s="69"/>
      <c r="G147" s="69"/>
      <c r="H147" s="71">
        <f t="shared" si="9"/>
        <v>0</v>
      </c>
      <c r="I147" s="71">
        <f t="shared" si="2"/>
        <v>0</v>
      </c>
      <c r="J147" s="69">
        <f t="shared" si="10"/>
        <v>0</v>
      </c>
    </row>
    <row r="148" customHeight="1" spans="1:10">
      <c r="A148" s="68"/>
      <c r="B148" s="69"/>
      <c r="C148" s="70"/>
      <c r="D148" s="71">
        <f>'3-2-26'!I148</f>
        <v>0</v>
      </c>
      <c r="E148" s="69"/>
      <c r="F148" s="69"/>
      <c r="G148" s="69"/>
      <c r="H148" s="71">
        <f t="shared" si="9"/>
        <v>0</v>
      </c>
      <c r="I148" s="71">
        <f t="shared" si="2"/>
        <v>0</v>
      </c>
      <c r="J148" s="69">
        <f t="shared" si="10"/>
        <v>0</v>
      </c>
    </row>
    <row r="149" customHeight="1" spans="1:10">
      <c r="A149" s="68"/>
      <c r="B149" s="69"/>
      <c r="C149" s="70"/>
      <c r="D149" s="71">
        <f>'3-2-26'!I149</f>
        <v>0</v>
      </c>
      <c r="E149" s="69"/>
      <c r="F149" s="69"/>
      <c r="G149" s="69"/>
      <c r="H149" s="71">
        <f t="shared" si="9"/>
        <v>0</v>
      </c>
      <c r="I149" s="71">
        <f t="shared" si="2"/>
        <v>0</v>
      </c>
      <c r="J149" s="69">
        <f t="shared" si="10"/>
        <v>0</v>
      </c>
    </row>
    <row r="150" customHeight="1" spans="1:10">
      <c r="A150" s="68"/>
      <c r="B150" s="69"/>
      <c r="C150" s="70"/>
      <c r="D150" s="71">
        <f>'3-2-26'!I150</f>
        <v>0</v>
      </c>
      <c r="E150" s="69"/>
      <c r="F150" s="69"/>
      <c r="G150" s="69"/>
      <c r="H150" s="71">
        <f t="shared" si="9"/>
        <v>0</v>
      </c>
      <c r="I150" s="71">
        <f t="shared" si="2"/>
        <v>0</v>
      </c>
      <c r="J150" s="69">
        <f t="shared" si="10"/>
        <v>0</v>
      </c>
    </row>
    <row r="151" customHeight="1" spans="1:10">
      <c r="A151" s="68"/>
      <c r="B151" s="69"/>
      <c r="C151" s="70"/>
      <c r="D151" s="71">
        <f>'3-2-26'!I151</f>
        <v>0</v>
      </c>
      <c r="E151" s="69"/>
      <c r="F151" s="69"/>
      <c r="G151" s="69"/>
      <c r="H151" s="71">
        <f t="shared" si="9"/>
        <v>0</v>
      </c>
      <c r="I151" s="71">
        <f t="shared" si="2"/>
        <v>0</v>
      </c>
      <c r="J151" s="69">
        <f t="shared" si="10"/>
        <v>0</v>
      </c>
    </row>
    <row r="152" customHeight="1" spans="1:10">
      <c r="A152" s="68"/>
      <c r="B152" s="69"/>
      <c r="C152" s="70"/>
      <c r="D152" s="71">
        <f>'3-2-26'!I152</f>
        <v>0</v>
      </c>
      <c r="E152" s="69"/>
      <c r="F152" s="69"/>
      <c r="G152" s="69"/>
      <c r="H152" s="71">
        <f t="shared" si="9"/>
        <v>0</v>
      </c>
      <c r="I152" s="71">
        <f t="shared" si="2"/>
        <v>0</v>
      </c>
      <c r="J152" s="69">
        <f t="shared" si="10"/>
        <v>0</v>
      </c>
    </row>
    <row r="153" customHeight="1" spans="1:10">
      <c r="A153" s="68"/>
      <c r="B153" s="69"/>
      <c r="C153" s="70"/>
      <c r="D153" s="71">
        <f>'3-2-26'!I153</f>
        <v>0</v>
      </c>
      <c r="E153" s="69"/>
      <c r="F153" s="69"/>
      <c r="G153" s="69"/>
      <c r="H153" s="71">
        <f t="shared" si="9"/>
        <v>0</v>
      </c>
      <c r="I153" s="71">
        <f t="shared" si="2"/>
        <v>0</v>
      </c>
      <c r="J153" s="69">
        <f t="shared" si="10"/>
        <v>0</v>
      </c>
    </row>
    <row r="154" customHeight="1" spans="1:10">
      <c r="A154" s="68"/>
      <c r="B154" s="69"/>
      <c r="C154" s="70"/>
      <c r="D154" s="71">
        <f>'3-2-26'!I154</f>
        <v>0</v>
      </c>
      <c r="E154" s="69"/>
      <c r="F154" s="69"/>
      <c r="G154" s="69"/>
      <c r="H154" s="71">
        <f t="shared" si="9"/>
        <v>0</v>
      </c>
      <c r="I154" s="71">
        <f t="shared" si="2"/>
        <v>0</v>
      </c>
      <c r="J154" s="69">
        <f t="shared" si="10"/>
        <v>0</v>
      </c>
    </row>
    <row r="155" customHeight="1" spans="1:10">
      <c r="A155" s="68"/>
      <c r="B155" s="69"/>
      <c r="C155" s="70"/>
      <c r="D155" s="71">
        <f>'3-2-26'!I155</f>
        <v>0</v>
      </c>
      <c r="E155" s="69"/>
      <c r="F155" s="69"/>
      <c r="G155" s="69"/>
      <c r="H155" s="71">
        <f t="shared" si="9"/>
        <v>0</v>
      </c>
      <c r="I155" s="71">
        <f t="shared" si="2"/>
        <v>0</v>
      </c>
      <c r="J155" s="69">
        <f t="shared" si="10"/>
        <v>0</v>
      </c>
    </row>
    <row r="156" customHeight="1" spans="1:10">
      <c r="A156" s="68"/>
      <c r="B156" s="69"/>
      <c r="C156" s="70"/>
      <c r="D156" s="71">
        <f>'3-2-26'!I156</f>
        <v>0</v>
      </c>
      <c r="E156" s="69"/>
      <c r="F156" s="69"/>
      <c r="G156" s="69"/>
      <c r="H156" s="71">
        <f t="shared" si="9"/>
        <v>0</v>
      </c>
      <c r="I156" s="71">
        <f t="shared" si="2"/>
        <v>0</v>
      </c>
      <c r="J156" s="69">
        <f t="shared" si="10"/>
        <v>0</v>
      </c>
    </row>
    <row r="157" customHeight="1" spans="1:10">
      <c r="A157" s="68"/>
      <c r="B157" s="69"/>
      <c r="C157" s="70"/>
      <c r="D157" s="71">
        <f>'3-2-26'!I157</f>
        <v>0</v>
      </c>
      <c r="E157" s="69"/>
      <c r="F157" s="69"/>
      <c r="G157" s="69"/>
      <c r="H157" s="71">
        <f t="shared" si="9"/>
        <v>0</v>
      </c>
      <c r="I157" s="71">
        <f t="shared" si="2"/>
        <v>0</v>
      </c>
      <c r="J157" s="69">
        <f t="shared" si="10"/>
        <v>0</v>
      </c>
    </row>
    <row r="158" customHeight="1" spans="1:10">
      <c r="A158" s="68"/>
      <c r="B158" s="69"/>
      <c r="C158" s="70"/>
      <c r="D158" s="71">
        <f>'3-2-26'!I158</f>
        <v>0</v>
      </c>
      <c r="E158" s="69"/>
      <c r="F158" s="69"/>
      <c r="G158" s="69"/>
      <c r="H158" s="71">
        <f t="shared" si="9"/>
        <v>0</v>
      </c>
      <c r="I158" s="71">
        <f t="shared" si="2"/>
        <v>0</v>
      </c>
      <c r="J158" s="69">
        <f t="shared" si="10"/>
        <v>0</v>
      </c>
    </row>
    <row r="159" customHeight="1" spans="1:10">
      <c r="A159" s="68"/>
      <c r="B159" s="69"/>
      <c r="C159" s="70"/>
      <c r="D159" s="71">
        <f>'3-2-26'!I159</f>
        <v>0</v>
      </c>
      <c r="E159" s="69"/>
      <c r="F159" s="69"/>
      <c r="G159" s="69"/>
      <c r="H159" s="71">
        <f t="shared" si="9"/>
        <v>0</v>
      </c>
      <c r="I159" s="71">
        <f t="shared" si="2"/>
        <v>0</v>
      </c>
      <c r="J159" s="69">
        <f t="shared" si="10"/>
        <v>0</v>
      </c>
    </row>
    <row r="160" customHeight="1" spans="1:10">
      <c r="A160" s="68"/>
      <c r="B160" s="69"/>
      <c r="C160" s="70"/>
      <c r="D160" s="71">
        <f>'3-2-26'!I160</f>
        <v>0</v>
      </c>
      <c r="E160" s="69"/>
      <c r="F160" s="69"/>
      <c r="G160" s="69"/>
      <c r="H160" s="71">
        <f t="shared" si="9"/>
        <v>0</v>
      </c>
      <c r="I160" s="71">
        <f t="shared" si="2"/>
        <v>0</v>
      </c>
      <c r="J160" s="69">
        <f t="shared" si="10"/>
        <v>0</v>
      </c>
    </row>
    <row r="161" customHeight="1" spans="1:10">
      <c r="A161" s="68"/>
      <c r="B161" s="69"/>
      <c r="C161" s="70"/>
      <c r="D161" s="71">
        <f>'3-2-26'!I161</f>
        <v>0</v>
      </c>
      <c r="E161" s="69"/>
      <c r="F161" s="69"/>
      <c r="G161" s="69"/>
      <c r="H161" s="71">
        <f t="shared" si="9"/>
        <v>0</v>
      </c>
      <c r="I161" s="71">
        <f t="shared" si="2"/>
        <v>0</v>
      </c>
      <c r="J161" s="69">
        <f t="shared" si="10"/>
        <v>0</v>
      </c>
    </row>
    <row r="162" customHeight="1" spans="1:10">
      <c r="A162" s="68"/>
      <c r="B162" s="69"/>
      <c r="C162" s="70"/>
      <c r="D162" s="71">
        <f>'3-2-26'!I162</f>
        <v>0</v>
      </c>
      <c r="E162" s="69"/>
      <c r="F162" s="69"/>
      <c r="G162" s="69"/>
      <c r="H162" s="71">
        <f t="shared" si="9"/>
        <v>0</v>
      </c>
      <c r="I162" s="71">
        <f t="shared" si="2"/>
        <v>0</v>
      </c>
      <c r="J162" s="69">
        <f t="shared" si="10"/>
        <v>0</v>
      </c>
    </row>
    <row r="163" customHeight="1" spans="1:10">
      <c r="A163" s="68"/>
      <c r="B163" s="69"/>
      <c r="C163" s="70"/>
      <c r="D163" s="71">
        <f>'3-2-26'!I163</f>
        <v>0</v>
      </c>
      <c r="E163" s="69"/>
      <c r="F163" s="69"/>
      <c r="G163" s="69"/>
      <c r="H163" s="71">
        <f t="shared" si="9"/>
        <v>0</v>
      </c>
      <c r="I163" s="71">
        <f t="shared" si="2"/>
        <v>0</v>
      </c>
      <c r="J163" s="69">
        <f t="shared" si="10"/>
        <v>0</v>
      </c>
    </row>
    <row r="164" customHeight="1" spans="1:10">
      <c r="A164" s="68"/>
      <c r="B164" s="69"/>
      <c r="C164" s="70"/>
      <c r="D164" s="71">
        <f>'3-2-26'!I164</f>
        <v>0</v>
      </c>
      <c r="E164" s="69"/>
      <c r="F164" s="69"/>
      <c r="G164" s="69"/>
      <c r="H164" s="71">
        <f t="shared" si="9"/>
        <v>0</v>
      </c>
      <c r="I164" s="71">
        <f t="shared" si="2"/>
        <v>0</v>
      </c>
      <c r="J164" s="69">
        <f t="shared" si="10"/>
        <v>0</v>
      </c>
    </row>
    <row r="165" customHeight="1" spans="1:10">
      <c r="A165" s="68"/>
      <c r="B165" s="69"/>
      <c r="C165" s="70"/>
      <c r="D165" s="71">
        <f>'3-2-26'!I165</f>
        <v>0</v>
      </c>
      <c r="E165" s="69"/>
      <c r="F165" s="69"/>
      <c r="G165" s="69"/>
      <c r="H165" s="71">
        <f t="shared" si="9"/>
        <v>0</v>
      </c>
      <c r="I165" s="71">
        <f t="shared" si="2"/>
        <v>0</v>
      </c>
      <c r="J165" s="69">
        <f t="shared" si="10"/>
        <v>0</v>
      </c>
    </row>
    <row r="166" customHeight="1" spans="1:10">
      <c r="A166" s="68"/>
      <c r="B166" s="69"/>
      <c r="C166" s="70"/>
      <c r="D166" s="71">
        <f>'3-2-26'!I166</f>
        <v>0</v>
      </c>
      <c r="E166" s="69"/>
      <c r="F166" s="69"/>
      <c r="G166" s="69"/>
      <c r="H166" s="71">
        <f t="shared" si="9"/>
        <v>0</v>
      </c>
      <c r="I166" s="71">
        <f t="shared" si="2"/>
        <v>0</v>
      </c>
      <c r="J166" s="69">
        <f t="shared" si="10"/>
        <v>0</v>
      </c>
    </row>
    <row r="167" customHeight="1" spans="1:10">
      <c r="A167" s="68"/>
      <c r="B167" s="69"/>
      <c r="C167" s="70"/>
      <c r="D167" s="71">
        <f>'3-2-26'!I167</f>
        <v>0</v>
      </c>
      <c r="E167" s="69"/>
      <c r="F167" s="69"/>
      <c r="G167" s="69"/>
      <c r="H167" s="71">
        <f t="shared" si="9"/>
        <v>0</v>
      </c>
      <c r="I167" s="71">
        <f t="shared" si="2"/>
        <v>0</v>
      </c>
      <c r="J167" s="69">
        <f t="shared" si="10"/>
        <v>0</v>
      </c>
    </row>
    <row r="168" customHeight="1" spans="1:10">
      <c r="A168" s="68"/>
      <c r="B168" s="69"/>
      <c r="C168" s="70"/>
      <c r="D168" s="71">
        <f>'3-2-26'!I168</f>
        <v>0</v>
      </c>
      <c r="E168" s="69"/>
      <c r="F168" s="69"/>
      <c r="G168" s="69"/>
      <c r="H168" s="71">
        <f t="shared" si="9"/>
        <v>0</v>
      </c>
      <c r="I168" s="71">
        <f t="shared" si="2"/>
        <v>0</v>
      </c>
      <c r="J168" s="69">
        <f t="shared" si="10"/>
        <v>0</v>
      </c>
    </row>
    <row r="169" customHeight="1" spans="1:10">
      <c r="A169" s="68"/>
      <c r="B169" s="69"/>
      <c r="C169" s="70"/>
      <c r="D169" s="71">
        <f>'3-2-26'!I169</f>
        <v>0</v>
      </c>
      <c r="E169" s="69"/>
      <c r="F169" s="69"/>
      <c r="G169" s="69"/>
      <c r="H169" s="71">
        <f t="shared" si="9"/>
        <v>0</v>
      </c>
      <c r="I169" s="71">
        <f t="shared" si="2"/>
        <v>0</v>
      </c>
      <c r="J169" s="69">
        <f t="shared" si="10"/>
        <v>0</v>
      </c>
    </row>
    <row r="170" customHeight="1" spans="1:10">
      <c r="A170" s="68"/>
      <c r="B170" s="69"/>
      <c r="C170" s="70"/>
      <c r="D170" s="71">
        <f>'3-2-26'!I170</f>
        <v>0</v>
      </c>
      <c r="E170" s="69"/>
      <c r="F170" s="69"/>
      <c r="G170" s="69"/>
      <c r="H170" s="71">
        <f t="shared" si="9"/>
        <v>0</v>
      </c>
      <c r="I170" s="71">
        <f t="shared" si="2"/>
        <v>0</v>
      </c>
      <c r="J170" s="69">
        <f t="shared" si="10"/>
        <v>0</v>
      </c>
    </row>
    <row r="171" customHeight="1" spans="1:10">
      <c r="A171" s="68"/>
      <c r="B171" s="69"/>
      <c r="C171" s="70"/>
      <c r="D171" s="71">
        <f>'3-2-26'!I171</f>
        <v>0</v>
      </c>
      <c r="E171" s="69"/>
      <c r="F171" s="69"/>
      <c r="G171" s="69"/>
      <c r="H171" s="71">
        <f t="shared" si="9"/>
        <v>0</v>
      </c>
      <c r="I171" s="71">
        <f t="shared" si="2"/>
        <v>0</v>
      </c>
      <c r="J171" s="69">
        <f t="shared" si="10"/>
        <v>0</v>
      </c>
    </row>
    <row r="172" customHeight="1" spans="1:10">
      <c r="A172" s="68"/>
      <c r="B172" s="69"/>
      <c r="C172" s="70"/>
      <c r="D172" s="71">
        <f>'3-2-26'!I172</f>
        <v>0</v>
      </c>
      <c r="E172" s="69"/>
      <c r="F172" s="69"/>
      <c r="G172" s="69"/>
      <c r="H172" s="71">
        <f t="shared" si="9"/>
        <v>0</v>
      </c>
      <c r="I172" s="71">
        <f t="shared" si="2"/>
        <v>0</v>
      </c>
      <c r="J172" s="69">
        <f t="shared" si="10"/>
        <v>0</v>
      </c>
    </row>
    <row r="173" customHeight="1" spans="1:10">
      <c r="A173" s="68"/>
      <c r="B173" s="69"/>
      <c r="C173" s="70"/>
      <c r="D173" s="71">
        <f>'3-2-26'!I173</f>
        <v>0</v>
      </c>
      <c r="E173" s="69"/>
      <c r="F173" s="69"/>
      <c r="G173" s="69"/>
      <c r="H173" s="71">
        <f t="shared" si="9"/>
        <v>0</v>
      </c>
      <c r="I173" s="71">
        <f t="shared" si="2"/>
        <v>0</v>
      </c>
      <c r="J173" s="69">
        <f t="shared" si="10"/>
        <v>0</v>
      </c>
    </row>
    <row r="174" customHeight="1" spans="1:10">
      <c r="A174" s="68"/>
      <c r="B174" s="69"/>
      <c r="C174" s="70"/>
      <c r="D174" s="71">
        <f>'3-2-26'!I174</f>
        <v>0</v>
      </c>
      <c r="E174" s="69"/>
      <c r="F174" s="69"/>
      <c r="G174" s="69"/>
      <c r="H174" s="71">
        <f t="shared" si="9"/>
        <v>0</v>
      </c>
      <c r="I174" s="71">
        <f t="shared" si="2"/>
        <v>0</v>
      </c>
      <c r="J174" s="69">
        <f t="shared" si="10"/>
        <v>0</v>
      </c>
    </row>
    <row r="175" customHeight="1" spans="1:10">
      <c r="A175" s="68"/>
      <c r="B175" s="69"/>
      <c r="C175" s="70"/>
      <c r="D175" s="71">
        <f>'3-2-26'!I175</f>
        <v>0</v>
      </c>
      <c r="E175" s="69"/>
      <c r="F175" s="69"/>
      <c r="G175" s="69"/>
      <c r="H175" s="71">
        <f t="shared" si="9"/>
        <v>0</v>
      </c>
      <c r="I175" s="71">
        <f t="shared" si="2"/>
        <v>0</v>
      </c>
      <c r="J175" s="69">
        <f t="shared" si="10"/>
        <v>0</v>
      </c>
    </row>
    <row r="176" customHeight="1" spans="1:10">
      <c r="A176" s="68"/>
      <c r="B176" s="69"/>
      <c r="C176" s="70"/>
      <c r="D176" s="71">
        <f>'3-2-26'!I176</f>
        <v>0</v>
      </c>
      <c r="E176" s="69"/>
      <c r="F176" s="69"/>
      <c r="G176" s="69"/>
      <c r="H176" s="71">
        <f t="shared" si="9"/>
        <v>0</v>
      </c>
      <c r="I176" s="71">
        <f t="shared" si="2"/>
        <v>0</v>
      </c>
      <c r="J176" s="69">
        <f t="shared" si="10"/>
        <v>0</v>
      </c>
    </row>
    <row r="177" customHeight="1" spans="1:11">
      <c r="A177" s="68"/>
      <c r="B177" s="69"/>
      <c r="C177" s="70"/>
      <c r="D177" s="71">
        <f>'3-2-26'!I177</f>
        <v>0</v>
      </c>
      <c r="E177" s="69"/>
      <c r="F177" s="69"/>
      <c r="G177" s="69"/>
      <c r="H177" s="71">
        <f t="shared" si="9"/>
        <v>0</v>
      </c>
      <c r="I177" s="71">
        <f t="shared" si="2"/>
        <v>0</v>
      </c>
      <c r="J177" s="69">
        <f t="shared" si="10"/>
        <v>0</v>
      </c>
    </row>
    <row r="178" customHeight="1" spans="1:11">
      <c r="A178" s="68"/>
      <c r="B178" s="69"/>
      <c r="C178" s="70"/>
      <c r="D178" s="71">
        <f>'3-2-26'!I178</f>
        <v>0</v>
      </c>
      <c r="E178" s="69"/>
      <c r="F178" s="69"/>
      <c r="G178" s="69"/>
      <c r="H178" s="71">
        <f t="shared" si="9"/>
        <v>0</v>
      </c>
      <c r="I178" s="71">
        <f t="shared" si="2"/>
        <v>0</v>
      </c>
      <c r="J178" s="69">
        <f t="shared" si="10"/>
        <v>0</v>
      </c>
    </row>
    <row r="179" customHeight="1" spans="1:11">
      <c r="A179" s="68"/>
      <c r="B179" s="69"/>
      <c r="C179" s="70"/>
      <c r="D179" s="71">
        <f>'3-2-26'!I179</f>
        <v>0</v>
      </c>
      <c r="E179" s="69"/>
      <c r="F179" s="69"/>
      <c r="G179" s="69"/>
      <c r="H179" s="71">
        <f t="shared" si="9"/>
        <v>0</v>
      </c>
      <c r="I179" s="71">
        <f t="shared" si="2"/>
        <v>0</v>
      </c>
      <c r="J179" s="69">
        <f t="shared" si="10"/>
        <v>0</v>
      </c>
    </row>
    <row r="180" customHeight="1" spans="1:11">
      <c r="A180" s="68"/>
      <c r="B180" s="69"/>
      <c r="C180" s="70"/>
      <c r="D180" s="71">
        <f>'3-2-26'!I180</f>
        <v>0</v>
      </c>
      <c r="E180" s="69"/>
      <c r="F180" s="69"/>
      <c r="G180" s="69"/>
      <c r="H180" s="71">
        <f t="shared" si="9"/>
        <v>0</v>
      </c>
      <c r="I180" s="71">
        <f t="shared" si="2"/>
        <v>0</v>
      </c>
      <c r="J180" s="69">
        <f t="shared" si="10"/>
        <v>0</v>
      </c>
    </row>
    <row r="181" customHeight="1" spans="1:11">
      <c r="A181" s="68"/>
      <c r="B181" s="69"/>
      <c r="C181" s="70"/>
      <c r="D181" s="71">
        <f>'3-2-26'!I181</f>
        <v>0</v>
      </c>
      <c r="E181" s="69"/>
      <c r="F181" s="69"/>
      <c r="G181" s="69"/>
      <c r="H181" s="71">
        <f t="shared" si="9"/>
        <v>0</v>
      </c>
      <c r="I181" s="71">
        <f t="shared" si="2"/>
        <v>0</v>
      </c>
      <c r="J181" s="69">
        <f t="shared" si="10"/>
        <v>0</v>
      </c>
    </row>
    <row r="182" customHeight="1" spans="1:11">
      <c r="A182" s="68"/>
      <c r="B182" s="69"/>
      <c r="C182" s="70"/>
      <c r="D182" s="71">
        <f>'3-2-26'!I182</f>
        <v>0</v>
      </c>
      <c r="E182" s="69"/>
      <c r="F182" s="69"/>
      <c r="G182" s="69"/>
      <c r="H182" s="71">
        <f t="shared" si="9"/>
        <v>0</v>
      </c>
      <c r="I182" s="71">
        <f t="shared" si="2"/>
        <v>0</v>
      </c>
      <c r="J182" s="69">
        <f t="shared" si="10"/>
        <v>0</v>
      </c>
    </row>
    <row r="183" customHeight="1" spans="1:11">
      <c r="A183" s="68"/>
      <c r="B183" s="69"/>
      <c r="C183" s="70"/>
      <c r="D183" s="71">
        <f>'3-2-26'!I183</f>
        <v>0</v>
      </c>
      <c r="E183" s="69"/>
      <c r="F183" s="69"/>
      <c r="G183" s="69"/>
      <c r="H183" s="71">
        <f t="shared" si="9"/>
        <v>0</v>
      </c>
      <c r="I183" s="71">
        <f t="shared" si="2"/>
        <v>0</v>
      </c>
      <c r="J183" s="69">
        <f t="shared" si="10"/>
        <v>0</v>
      </c>
    </row>
    <row r="184" customHeight="1" spans="1:11">
      <c r="A184" s="68"/>
      <c r="B184" s="69"/>
      <c r="C184" s="70"/>
      <c r="D184" s="71">
        <f>'3-2-26'!I184</f>
        <v>0</v>
      </c>
      <c r="E184" s="69"/>
      <c r="F184" s="69"/>
      <c r="G184" s="69"/>
      <c r="H184" s="71">
        <f t="shared" si="9"/>
        <v>0</v>
      </c>
      <c r="I184" s="71">
        <f t="shared" si="2"/>
        <v>0</v>
      </c>
      <c r="J184" s="69">
        <f t="shared" si="10"/>
        <v>0</v>
      </c>
    </row>
    <row r="185" customHeight="1" spans="1:11">
      <c r="A185" s="68"/>
      <c r="B185" s="69"/>
      <c r="C185" s="70"/>
      <c r="D185" s="71">
        <f>'3-2-26'!I185</f>
        <v>0</v>
      </c>
      <c r="E185" s="69"/>
      <c r="F185" s="69"/>
      <c r="G185" s="69"/>
      <c r="H185" s="71">
        <f t="shared" si="9"/>
        <v>0</v>
      </c>
      <c r="I185" s="71">
        <f t="shared" si="2"/>
        <v>0</v>
      </c>
      <c r="J185" s="69">
        <f t="shared" si="10"/>
        <v>0</v>
      </c>
    </row>
    <row r="186" customHeight="1" spans="1:11">
      <c r="A186" s="68"/>
      <c r="B186" s="69"/>
      <c r="C186" s="74"/>
      <c r="D186" s="71">
        <f>'3-2-26'!I186</f>
        <v>0</v>
      </c>
      <c r="E186" s="69"/>
      <c r="F186" s="69"/>
      <c r="G186" s="69"/>
      <c r="H186" s="71">
        <f t="shared" si="9"/>
        <v>0</v>
      </c>
      <c r="I186" s="71">
        <f t="shared" si="2"/>
        <v>0</v>
      </c>
      <c r="J186" s="69">
        <f t="shared" si="10"/>
        <v>0</v>
      </c>
    </row>
    <row r="187" customHeight="1" spans="1:11">
      <c r="A187" s="75"/>
      <c r="B187" s="76" t="s">
        <v>124</v>
      </c>
      <c r="C187" s="77"/>
      <c r="D187" s="78">
        <f>SUM(D9:D186)</f>
        <v>434622000</v>
      </c>
      <c r="E187" s="78">
        <f t="shared" ref="E187:J187" si="11">SUM(E9:E186)</f>
        <v>54</v>
      </c>
      <c r="F187" s="78">
        <f t="shared" si="11"/>
        <v>1535000</v>
      </c>
      <c r="G187" s="78">
        <f t="shared" si="11"/>
        <v>1080000</v>
      </c>
      <c r="H187" s="78">
        <f t="shared" si="11"/>
        <v>2615000</v>
      </c>
      <c r="I187" s="78">
        <f t="shared" si="11"/>
        <v>433087000</v>
      </c>
      <c r="J187" s="78">
        <f t="shared" si="11"/>
        <v>108000</v>
      </c>
    </row>
    <row r="188" customHeight="1" spans="1:11">
      <c r="A188" s="80"/>
      <c r="B188" s="80"/>
      <c r="C188" s="81"/>
    </row>
    <row r="189" customHeight="1" spans="1:11">
      <c r="A189" s="82"/>
      <c r="B189" s="80" t="s">
        <v>125</v>
      </c>
      <c r="C189" s="83" t="s">
        <v>126</v>
      </c>
      <c r="D189" s="84"/>
      <c r="K189" s="82"/>
    </row>
    <row r="190" customHeight="1" spans="1:11">
      <c r="A190" s="82"/>
      <c r="B190" s="80" t="s">
        <v>127</v>
      </c>
      <c r="C190" s="83" t="s">
        <v>128</v>
      </c>
      <c r="D190" s="80">
        <f>G187</f>
        <v>1080000</v>
      </c>
      <c r="F190" s="129" t="s">
        <v>164</v>
      </c>
      <c r="G190" s="80"/>
      <c r="H190" s="80"/>
      <c r="I190" s="80"/>
      <c r="K190" s="82"/>
    </row>
    <row r="191" customHeight="1" spans="1:11">
      <c r="A191" s="82"/>
      <c r="B191" s="80" t="s">
        <v>130</v>
      </c>
      <c r="C191" s="83" t="s">
        <v>128</v>
      </c>
      <c r="D191" s="80">
        <f>D190/20</f>
        <v>54000</v>
      </c>
      <c r="F191" s="80" t="s">
        <v>131</v>
      </c>
      <c r="G191" s="80"/>
      <c r="H191" s="80"/>
      <c r="I191" s="80"/>
      <c r="K191" s="82"/>
    </row>
    <row r="192" customHeight="1" spans="1:11">
      <c r="A192" s="82"/>
      <c r="B192" s="80" t="s">
        <v>132</v>
      </c>
      <c r="C192" s="83" t="s">
        <v>133</v>
      </c>
      <c r="D192" s="80"/>
      <c r="F192" s="80" t="s">
        <v>134</v>
      </c>
      <c r="G192" s="86"/>
      <c r="H192" s="80" t="s">
        <v>135</v>
      </c>
      <c r="K192" s="82"/>
    </row>
    <row r="193" customHeight="1" spans="1:11">
      <c r="A193" s="82"/>
      <c r="B193" s="80" t="s">
        <v>136</v>
      </c>
      <c r="C193" s="83" t="s">
        <v>128</v>
      </c>
      <c r="D193" s="80">
        <f>11*D191</f>
        <v>594000</v>
      </c>
      <c r="F193" s="80"/>
      <c r="G193" s="86"/>
      <c r="H193" s="80"/>
      <c r="K193" s="82"/>
    </row>
    <row r="194" customHeight="1" spans="1:11">
      <c r="A194" s="82"/>
      <c r="B194" s="80" t="s">
        <v>137</v>
      </c>
      <c r="C194" s="83" t="s">
        <v>128</v>
      </c>
      <c r="D194" s="80">
        <f>1/2*D191</f>
        <v>27000</v>
      </c>
      <c r="F194" s="80"/>
      <c r="G194" s="86"/>
      <c r="H194" s="80"/>
      <c r="K194" s="82"/>
    </row>
    <row r="195" customHeight="1" spans="1:11">
      <c r="A195" s="82"/>
      <c r="B195" s="80" t="s">
        <v>138</v>
      </c>
      <c r="C195" s="83" t="s">
        <v>128</v>
      </c>
      <c r="D195" s="80">
        <f>1/2*D191</f>
        <v>27000</v>
      </c>
      <c r="F195" s="80"/>
      <c r="G195" s="86"/>
      <c r="H195" s="80"/>
      <c r="K195" s="82"/>
    </row>
    <row r="196" customHeight="1" spans="1:11">
      <c r="B196" s="80" t="s">
        <v>139</v>
      </c>
      <c r="C196" s="83" t="s">
        <v>128</v>
      </c>
      <c r="D196" s="80">
        <f>1/2*D191</f>
        <v>27000</v>
      </c>
      <c r="F196" s="80"/>
      <c r="G196" s="86"/>
      <c r="H196" s="80"/>
    </row>
    <row r="197" customHeight="1" spans="1:11">
      <c r="B197" s="80" t="s">
        <v>140</v>
      </c>
      <c r="C197" s="83" t="s">
        <v>128</v>
      </c>
      <c r="D197" s="80">
        <f>1/2*D191</f>
        <v>27000</v>
      </c>
      <c r="F197" s="80" t="s">
        <v>141</v>
      </c>
      <c r="G197" s="86"/>
      <c r="H197" s="80" t="s">
        <v>142</v>
      </c>
    </row>
    <row r="198" customHeight="1" spans="1:11">
      <c r="B198" s="80" t="s">
        <v>10</v>
      </c>
      <c r="C198" s="83" t="s">
        <v>128</v>
      </c>
      <c r="D198" s="80">
        <f>2*D191</f>
        <v>108000</v>
      </c>
      <c r="G198" s="80"/>
      <c r="H198" s="80"/>
      <c r="I198" s="80"/>
    </row>
    <row r="199" customHeight="1" spans="1:11">
      <c r="B199" s="80" t="s">
        <v>143</v>
      </c>
      <c r="C199" s="83" t="s">
        <v>128</v>
      </c>
      <c r="D199" s="80">
        <f>5*D191</f>
        <v>270000</v>
      </c>
    </row>
    <row r="200" customHeight="1" spans="1:11">
      <c r="B200" s="87" t="s">
        <v>124</v>
      </c>
      <c r="C200" s="88" t="s">
        <v>128</v>
      </c>
      <c r="D200" s="87">
        <f>SUM(D193:D199)</f>
        <v>1080000</v>
      </c>
    </row>
    <row r="201" customHeight="1" spans="1:11">
      <c r="E201" s="47"/>
    </row>
    <row r="205" customHeight="1" spans="1:11">
      <c r="D205" s="89"/>
      <c r="E205" s="89"/>
      <c r="F205" s="89"/>
    </row>
  </sheetData>
  <mergeCells count="13">
    <mergeCell ref="A1:J1"/>
    <mergeCell ref="A2:J2"/>
    <mergeCell ref="A3:J3"/>
    <mergeCell ref="A5:J5"/>
    <mergeCell ref="A6:J6"/>
    <mergeCell ref="E7:H7"/>
    <mergeCell ref="B187:C187"/>
    <mergeCell ref="A7:A8"/>
    <mergeCell ref="B7:B8"/>
    <mergeCell ref="C7:C8"/>
    <mergeCell ref="D7:D8"/>
    <mergeCell ref="I7:I8"/>
    <mergeCell ref="J7:J8"/>
  </mergeCells>
  <pageMargins left="0.7" right="0.2" top="0.75" bottom="2.25" header="0.3" footer="0.3"/>
  <pageSetup paperSize="5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6"/>
  <sheetViews>
    <sheetView zoomScale="130" zoomScaleNormal="130" topLeftCell="A185" workbookViewId="0">
      <selection activeCell="D79" sqref="D79:D182"/>
    </sheetView>
  </sheetViews>
  <sheetFormatPr defaultColWidth="9.14285714285714" defaultRowHeight="11.1" customHeight="1"/>
  <cols>
    <col min="1" max="1" width="4.17142857142857" style="45" customWidth="1"/>
    <col min="2" max="2" width="14.5047619047619" style="45" customWidth="1"/>
    <col min="3" max="3" width="9.12380952380952" style="46" customWidth="1"/>
    <col min="4" max="4" width="10.6571428571429" style="45" customWidth="1"/>
    <col min="5" max="5" width="5.04761904761905" style="45" customWidth="1"/>
    <col min="6" max="6" width="8.45714285714286" style="45" customWidth="1"/>
    <col min="7" max="7" width="8.8952380952381" style="45" customWidth="1"/>
    <col min="8" max="8" width="8.78095238095238" style="45" customWidth="1"/>
    <col min="9" max="9" width="11.2" style="45" customWidth="1"/>
    <col min="10" max="10" width="8.01904761904762" style="45" customWidth="1"/>
    <col min="11" max="16384" width="9.14285714285714" style="45"/>
  </cols>
  <sheetData>
    <row r="1" ht="11.25" spans="1:1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3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3">
      <c r="A3" s="50" t="s">
        <v>2</v>
      </c>
      <c r="B3" s="50"/>
      <c r="C3" s="50"/>
      <c r="D3" s="50"/>
      <c r="E3" s="50"/>
      <c r="F3" s="50"/>
      <c r="G3" s="50"/>
      <c r="H3" s="90"/>
      <c r="I3" s="90"/>
      <c r="J3" s="90"/>
    </row>
    <row r="4" ht="12.75" spans="1:13">
      <c r="A4" s="51"/>
      <c r="B4" s="51"/>
      <c r="C4" s="52"/>
      <c r="D4" s="53"/>
      <c r="E4" s="53"/>
      <c r="F4" s="53"/>
      <c r="G4" s="53"/>
    </row>
    <row r="5" ht="11.25" spans="1:13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3">
      <c r="A6" s="55" t="s">
        <v>165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3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  <c r="M7" s="91"/>
    </row>
    <row r="8" ht="12.75" spans="1:13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3">
      <c r="A9" s="68">
        <v>1</v>
      </c>
      <c r="B9" s="69" t="s">
        <v>15</v>
      </c>
      <c r="C9" s="127" t="s">
        <v>16</v>
      </c>
      <c r="D9" s="71">
        <f>'24-2-26'!I9</f>
        <v>5500000</v>
      </c>
      <c r="E9" s="69"/>
      <c r="F9" s="69"/>
      <c r="G9" s="69"/>
      <c r="H9" s="71">
        <f t="shared" ref="H9:H72" si="0">SUM(F9:G9)</f>
        <v>0</v>
      </c>
      <c r="I9" s="71">
        <f t="shared" ref="I9:I67" si="1">D9-F9</f>
        <v>5500000</v>
      </c>
      <c r="J9" s="69">
        <f t="shared" ref="J9:J72" si="2">1/10*G9</f>
        <v>0</v>
      </c>
    </row>
    <row r="10" ht="12.75" spans="1:13">
      <c r="A10" s="68">
        <v>2</v>
      </c>
      <c r="B10" s="69" t="s">
        <v>17</v>
      </c>
      <c r="C10" s="127" t="s">
        <v>18</v>
      </c>
      <c r="D10" s="71">
        <f>'24-2-26'!I10</f>
        <v>1910000</v>
      </c>
      <c r="E10" s="69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ht="12.75" spans="1:13">
      <c r="A11" s="68">
        <v>3</v>
      </c>
      <c r="B11" s="69" t="s">
        <v>19</v>
      </c>
      <c r="C11" s="127" t="s">
        <v>20</v>
      </c>
      <c r="D11" s="71">
        <f>'24-2-26'!I11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ht="12.75" spans="1:13">
      <c r="A12" s="68">
        <v>4</v>
      </c>
      <c r="B12" s="69" t="s">
        <v>21</v>
      </c>
      <c r="C12" s="127" t="s">
        <v>22</v>
      </c>
      <c r="D12" s="71">
        <f>'24-2-26'!I12</f>
        <v>13750000</v>
      </c>
      <c r="E12" s="69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ht="12.75" spans="1:13">
      <c r="A13" s="68">
        <v>5</v>
      </c>
      <c r="B13" s="69" t="s">
        <v>23</v>
      </c>
      <c r="C13" s="127" t="s">
        <v>24</v>
      </c>
      <c r="D13" s="71">
        <f>'24-2-26'!I13</f>
        <v>19950000</v>
      </c>
      <c r="E13" s="69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ht="12.75" spans="1:13">
      <c r="A14" s="68">
        <v>6</v>
      </c>
      <c r="B14" s="69" t="s">
        <v>25</v>
      </c>
      <c r="C14" s="127" t="s">
        <v>26</v>
      </c>
      <c r="D14" s="71">
        <f>'24-2-26'!I14</f>
        <v>100000</v>
      </c>
      <c r="E14" s="69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ht="12.75" spans="1:13">
      <c r="A15" s="68">
        <v>7</v>
      </c>
      <c r="B15" s="69" t="s">
        <v>27</v>
      </c>
      <c r="C15" s="127" t="s">
        <v>28</v>
      </c>
      <c r="D15" s="71">
        <f>'24-2-26'!I15</f>
        <v>10500000</v>
      </c>
      <c r="E15" s="69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ht="12.75" spans="1:13">
      <c r="A16" s="68">
        <v>8</v>
      </c>
      <c r="B16" s="69" t="s">
        <v>29</v>
      </c>
      <c r="C16" s="127" t="s">
        <v>30</v>
      </c>
      <c r="D16" s="71">
        <f>'24-2-26'!I16</f>
        <v>15310000</v>
      </c>
      <c r="E16" s="69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'24-2-26'!I17</f>
        <v>6150000</v>
      </c>
      <c r="E17" s="69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'24-2-26'!I18</f>
        <v>12595000</v>
      </c>
      <c r="E18" s="69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ht="12.75" spans="1:10">
      <c r="A19" s="68">
        <v>11</v>
      </c>
      <c r="B19" s="69" t="s">
        <v>35</v>
      </c>
      <c r="C19" s="128" t="s">
        <v>36</v>
      </c>
      <c r="D19" s="71">
        <f>'24-2-26'!I19</f>
        <v>3750000</v>
      </c>
      <c r="E19" s="69"/>
      <c r="F19" s="69"/>
      <c r="G19" s="69"/>
      <c r="H19" s="71">
        <f t="shared" si="0"/>
        <v>0</v>
      </c>
      <c r="I19" s="71">
        <f t="shared" si="1"/>
        <v>3750000</v>
      </c>
      <c r="J19" s="69">
        <f t="shared" si="2"/>
        <v>0</v>
      </c>
    </row>
    <row r="20" ht="12.75" spans="1:10">
      <c r="A20" s="68">
        <v>12</v>
      </c>
      <c r="B20" s="69" t="s">
        <v>37</v>
      </c>
      <c r="C20" s="128" t="s">
        <v>38</v>
      </c>
      <c r="D20" s="71">
        <f>'24-2-26'!I20</f>
        <v>42000000</v>
      </c>
      <c r="E20" s="69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ht="12.75" spans="1:10">
      <c r="A21" s="68">
        <v>13</v>
      </c>
      <c r="B21" s="69" t="s">
        <v>39</v>
      </c>
      <c r="C21" s="128" t="s">
        <v>40</v>
      </c>
      <c r="D21" s="71">
        <f>'24-2-26'!I21</f>
        <v>12680000</v>
      </c>
      <c r="E21" s="69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ht="12.75" spans="1:10">
      <c r="A22" s="68">
        <v>14</v>
      </c>
      <c r="B22" s="69" t="s">
        <v>41</v>
      </c>
      <c r="C22" s="128" t="s">
        <v>42</v>
      </c>
      <c r="D22" s="71">
        <f>'24-2-26'!I22</f>
        <v>0</v>
      </c>
      <c r="E22" s="69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ht="12.75" spans="1:10">
      <c r="A23" s="68">
        <v>15</v>
      </c>
      <c r="B23" s="69" t="s">
        <v>43</v>
      </c>
      <c r="C23" s="128" t="s">
        <v>42</v>
      </c>
      <c r="D23" s="71">
        <f>'24-2-26'!I23</f>
        <v>1500000</v>
      </c>
      <c r="E23" s="69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ht="12.75" spans="1:10">
      <c r="A24" s="68">
        <v>16</v>
      </c>
      <c r="B24" s="69" t="s">
        <v>44</v>
      </c>
      <c r="C24" s="128" t="s">
        <v>42</v>
      </c>
      <c r="D24" s="71">
        <f>'24-2-26'!I24</f>
        <v>600000</v>
      </c>
      <c r="E24" s="69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ht="12.75" spans="1:10">
      <c r="A25" s="68">
        <v>17</v>
      </c>
      <c r="B25" s="69" t="s">
        <v>45</v>
      </c>
      <c r="C25" s="128" t="s">
        <v>46</v>
      </c>
      <c r="D25" s="71">
        <f>'24-2-26'!I25</f>
        <v>22200000</v>
      </c>
      <c r="E25" s="69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ht="12.75" spans="1:10">
      <c r="A26" s="68">
        <v>18</v>
      </c>
      <c r="B26" s="69" t="s">
        <v>47</v>
      </c>
      <c r="C26" s="128" t="s">
        <v>48</v>
      </c>
      <c r="D26" s="71">
        <f>'24-2-26'!I26</f>
        <v>3800000</v>
      </c>
      <c r="E26" s="69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ht="12.75" spans="1:10">
      <c r="A27" s="68">
        <v>19</v>
      </c>
      <c r="B27" s="69" t="s">
        <v>49</v>
      </c>
      <c r="C27" s="128" t="s">
        <v>50</v>
      </c>
      <c r="D27" s="71">
        <f>'24-2-26'!I27</f>
        <v>760000</v>
      </c>
      <c r="E27" s="69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ht="12.75" spans="1:10">
      <c r="A28" s="68">
        <v>20</v>
      </c>
      <c r="B28" s="69" t="s">
        <v>51</v>
      </c>
      <c r="C28" s="128" t="s">
        <v>52</v>
      </c>
      <c r="D28" s="71">
        <f>'24-2-26'!I28</f>
        <v>0</v>
      </c>
      <c r="E28" s="69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ht="12.75" spans="1:10">
      <c r="A29" s="68">
        <v>21</v>
      </c>
      <c r="B29" s="69" t="s">
        <v>53</v>
      </c>
      <c r="C29" s="128" t="s">
        <v>54</v>
      </c>
      <c r="D29" s="71">
        <f>'24-2-26'!I29</f>
        <v>0</v>
      </c>
      <c r="E29" s="69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ht="12.75" spans="1:10">
      <c r="A30" s="68">
        <v>22</v>
      </c>
      <c r="B30" s="69" t="s">
        <v>55</v>
      </c>
      <c r="C30" s="128" t="s">
        <v>56</v>
      </c>
      <c r="D30" s="71">
        <f>'24-2-26'!I30</f>
        <v>2750000</v>
      </c>
      <c r="E30" s="69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ht="12.75" spans="1:10">
      <c r="A31" s="68">
        <v>23</v>
      </c>
      <c r="B31" s="69" t="s">
        <v>57</v>
      </c>
      <c r="C31" s="128" t="s">
        <v>58</v>
      </c>
      <c r="D31" s="71">
        <f>'24-2-26'!I31</f>
        <v>1000000</v>
      </c>
      <c r="E31" s="69"/>
      <c r="F31" s="69"/>
      <c r="G31" s="69"/>
      <c r="H31" s="71">
        <f t="shared" si="0"/>
        <v>0</v>
      </c>
      <c r="I31" s="71">
        <f t="shared" si="1"/>
        <v>1000000</v>
      </c>
      <c r="J31" s="69">
        <f t="shared" si="2"/>
        <v>0</v>
      </c>
    </row>
    <row r="32" ht="12.75" spans="1:10">
      <c r="A32" s="68">
        <v>24</v>
      </c>
      <c r="B32" s="69" t="s">
        <v>59</v>
      </c>
      <c r="C32" s="128" t="s">
        <v>58</v>
      </c>
      <c r="D32" s="71">
        <f>'24-2-26'!I32</f>
        <v>12000000</v>
      </c>
      <c r="E32" s="69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ht="12.75" spans="1:10">
      <c r="A33" s="68">
        <v>25</v>
      </c>
      <c r="B33" s="69" t="s">
        <v>60</v>
      </c>
      <c r="C33" s="127" t="s">
        <v>61</v>
      </c>
      <c r="D33" s="71">
        <f>'24-2-26'!I33</f>
        <v>600000</v>
      </c>
      <c r="E33" s="69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ht="12.75" spans="1:10">
      <c r="A34" s="68">
        <v>26</v>
      </c>
      <c r="B34" s="69" t="s">
        <v>62</v>
      </c>
      <c r="C34" s="127" t="s">
        <v>63</v>
      </c>
      <c r="D34" s="71">
        <f>'24-2-26'!I34</f>
        <v>2400000</v>
      </c>
      <c r="E34" s="69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ht="12.75" spans="1:10">
      <c r="A35" s="68">
        <v>27</v>
      </c>
      <c r="B35" s="69" t="s">
        <v>64</v>
      </c>
      <c r="C35" s="127" t="s">
        <v>63</v>
      </c>
      <c r="D35" s="71">
        <f>'24-2-26'!I35</f>
        <v>3500000</v>
      </c>
      <c r="E35" s="69"/>
      <c r="F35" s="69"/>
      <c r="G35" s="69"/>
      <c r="H35" s="71">
        <f t="shared" si="0"/>
        <v>0</v>
      </c>
      <c r="I35" s="71">
        <f t="shared" si="1"/>
        <v>3500000</v>
      </c>
      <c r="J35" s="69">
        <f t="shared" si="2"/>
        <v>0</v>
      </c>
    </row>
    <row r="36" ht="12.75" spans="1:10">
      <c r="A36" s="68">
        <v>28</v>
      </c>
      <c r="B36" s="69" t="s">
        <v>65</v>
      </c>
      <c r="C36" s="127" t="s">
        <v>66</v>
      </c>
      <c r="D36" s="71">
        <f>'24-2-26'!I36</f>
        <v>9200000</v>
      </c>
      <c r="E36" s="69"/>
      <c r="F36" s="69"/>
      <c r="G36" s="69"/>
      <c r="H36" s="71">
        <f t="shared" si="0"/>
        <v>0</v>
      </c>
      <c r="I36" s="71">
        <f t="shared" si="1"/>
        <v>9200000</v>
      </c>
      <c r="J36" s="69">
        <f t="shared" si="2"/>
        <v>0</v>
      </c>
    </row>
    <row r="37" ht="12.75" spans="1:10">
      <c r="A37" s="68">
        <v>29</v>
      </c>
      <c r="B37" s="69" t="s">
        <v>67</v>
      </c>
      <c r="C37" s="127" t="s">
        <v>68</v>
      </c>
      <c r="D37" s="71">
        <f>'24-2-26'!I37</f>
        <v>1250000</v>
      </c>
      <c r="E37" s="69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ht="12.75" spans="1:10">
      <c r="A38" s="68">
        <v>30</v>
      </c>
      <c r="B38" s="69" t="s">
        <v>69</v>
      </c>
      <c r="C38" s="127" t="s">
        <v>70</v>
      </c>
      <c r="D38" s="71">
        <f>'24-2-26'!I38</f>
        <v>5800000</v>
      </c>
      <c r="E38" s="69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ht="12.75" spans="1:10">
      <c r="A39" s="68">
        <v>31</v>
      </c>
      <c r="B39" s="69" t="s">
        <v>71</v>
      </c>
      <c r="C39" s="127" t="s">
        <v>72</v>
      </c>
      <c r="D39" s="71">
        <f>'24-2-26'!I39</f>
        <v>14320000</v>
      </c>
      <c r="E39" s="69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ht="12.75" spans="1:10">
      <c r="A40" s="68">
        <v>32</v>
      </c>
      <c r="B40" s="69" t="s">
        <v>73</v>
      </c>
      <c r="C40" s="127" t="s">
        <v>74</v>
      </c>
      <c r="D40" s="71">
        <f>'24-2-26'!I40</f>
        <v>200000</v>
      </c>
      <c r="E40" s="69"/>
      <c r="F40" s="69"/>
      <c r="G40" s="69"/>
      <c r="H40" s="71">
        <f t="shared" si="0"/>
        <v>0</v>
      </c>
      <c r="I40" s="71">
        <f t="shared" si="1"/>
        <v>200000</v>
      </c>
      <c r="J40" s="69">
        <f t="shared" si="2"/>
        <v>0</v>
      </c>
    </row>
    <row r="41" ht="12.75" spans="1:10">
      <c r="A41" s="68">
        <v>33</v>
      </c>
      <c r="B41" s="69" t="s">
        <v>75</v>
      </c>
      <c r="C41" s="127" t="s">
        <v>76</v>
      </c>
      <c r="D41" s="71">
        <f>'24-2-26'!I41</f>
        <v>1800000</v>
      </c>
      <c r="E41" s="69">
        <v>13</v>
      </c>
      <c r="F41" s="69">
        <v>300000</v>
      </c>
      <c r="G41" s="69">
        <v>120000</v>
      </c>
      <c r="H41" s="71">
        <f t="shared" si="0"/>
        <v>420000</v>
      </c>
      <c r="I41" s="71">
        <f t="shared" si="1"/>
        <v>1500000</v>
      </c>
      <c r="J41" s="69">
        <f t="shared" si="2"/>
        <v>12000</v>
      </c>
    </row>
    <row r="42" ht="12.75" spans="1:10">
      <c r="A42" s="68">
        <v>34</v>
      </c>
      <c r="B42" s="69" t="s">
        <v>77</v>
      </c>
      <c r="C42" s="127" t="s">
        <v>78</v>
      </c>
      <c r="D42" s="71">
        <f>'24-2-26'!I42</f>
        <v>1200000</v>
      </c>
      <c r="E42" s="69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ht="12.75" spans="1:10">
      <c r="A43" s="68">
        <v>35</v>
      </c>
      <c r="B43" s="69" t="s">
        <v>79</v>
      </c>
      <c r="C43" s="127" t="s">
        <v>80</v>
      </c>
      <c r="D43" s="71">
        <f>'24-2-26'!I43</f>
        <v>5250000</v>
      </c>
      <c r="E43" s="69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ht="12.75" spans="1:10">
      <c r="A44" s="68">
        <v>36</v>
      </c>
      <c r="B44" s="69" t="s">
        <v>81</v>
      </c>
      <c r="C44" s="127" t="s">
        <v>82</v>
      </c>
      <c r="D44" s="71">
        <f>'24-2-26'!I44</f>
        <v>10320000</v>
      </c>
      <c r="E44" s="69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ht="12.75" spans="1:10">
      <c r="A45" s="68">
        <v>37</v>
      </c>
      <c r="B45" s="69" t="s">
        <v>83</v>
      </c>
      <c r="C45" s="70" t="s">
        <v>84</v>
      </c>
      <c r="D45" s="71">
        <f>'24-2-26'!I45</f>
        <v>10875000</v>
      </c>
      <c r="E45" s="69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ht="12.75" spans="1:10">
      <c r="A46" s="68">
        <v>38</v>
      </c>
      <c r="B46" s="69" t="s">
        <v>85</v>
      </c>
      <c r="C46" s="127" t="s">
        <v>86</v>
      </c>
      <c r="D46" s="71">
        <f>'24-2-26'!I46</f>
        <v>450000</v>
      </c>
      <c r="E46" s="69"/>
      <c r="F46" s="69"/>
      <c r="G46" s="69"/>
      <c r="H46" s="71">
        <f t="shared" si="0"/>
        <v>0</v>
      </c>
      <c r="I46" s="71">
        <f t="shared" si="1"/>
        <v>450000</v>
      </c>
      <c r="J46" s="69">
        <f t="shared" si="2"/>
        <v>0</v>
      </c>
    </row>
    <row r="47" ht="12.75" spans="1:10">
      <c r="A47" s="68">
        <v>39</v>
      </c>
      <c r="B47" s="69" t="s">
        <v>87</v>
      </c>
      <c r="C47" s="127" t="s">
        <v>88</v>
      </c>
      <c r="D47" s="71">
        <f>'24-2-26'!I47</f>
        <v>9600000</v>
      </c>
      <c r="E47" s="69"/>
      <c r="F47" s="69"/>
      <c r="G47" s="69"/>
      <c r="H47" s="71">
        <f t="shared" si="0"/>
        <v>0</v>
      </c>
      <c r="I47" s="71">
        <f t="shared" si="1"/>
        <v>9600000</v>
      </c>
      <c r="J47" s="69">
        <f t="shared" si="2"/>
        <v>0</v>
      </c>
    </row>
    <row r="48" ht="12.75" spans="1:10">
      <c r="A48" s="68">
        <v>40</v>
      </c>
      <c r="B48" s="69" t="s">
        <v>89</v>
      </c>
      <c r="C48" s="127" t="s">
        <v>88</v>
      </c>
      <c r="D48" s="71">
        <f>'24-2-26'!I48</f>
        <v>1000000</v>
      </c>
      <c r="E48" s="69"/>
      <c r="F48" s="69"/>
      <c r="G48" s="69"/>
      <c r="H48" s="71">
        <f t="shared" si="0"/>
        <v>0</v>
      </c>
      <c r="I48" s="71">
        <f t="shared" si="1"/>
        <v>1000000</v>
      </c>
      <c r="J48" s="69">
        <f t="shared" si="2"/>
        <v>0</v>
      </c>
    </row>
    <row r="49" ht="12.75" spans="1:10">
      <c r="A49" s="68">
        <v>41</v>
      </c>
      <c r="B49" s="69" t="s">
        <v>90</v>
      </c>
      <c r="C49" s="127" t="s">
        <v>91</v>
      </c>
      <c r="D49" s="71">
        <f>'24-2-26'!I49</f>
        <v>9600000</v>
      </c>
      <c r="E49" s="69"/>
      <c r="F49" s="69"/>
      <c r="G49" s="69"/>
      <c r="H49" s="71">
        <f t="shared" si="0"/>
        <v>0</v>
      </c>
      <c r="I49" s="71">
        <f t="shared" si="1"/>
        <v>9600000</v>
      </c>
      <c r="J49" s="69">
        <f t="shared" si="2"/>
        <v>0</v>
      </c>
    </row>
    <row r="50" ht="12.75" spans="1:10">
      <c r="A50" s="68">
        <v>42</v>
      </c>
      <c r="B50" s="69" t="s">
        <v>92</v>
      </c>
      <c r="C50" s="127" t="s">
        <v>93</v>
      </c>
      <c r="D50" s="71">
        <f>'24-2-26'!I50</f>
        <v>0</v>
      </c>
      <c r="E50" s="69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ht="12.75" spans="1:10">
      <c r="A51" s="68">
        <v>43</v>
      </c>
      <c r="B51" s="69" t="s">
        <v>94</v>
      </c>
      <c r="C51" s="70" t="s">
        <v>95</v>
      </c>
      <c r="D51" s="71">
        <f>'24-2-26'!I51</f>
        <v>15700000</v>
      </c>
      <c r="E51" s="69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ht="12.75" spans="1:10">
      <c r="A52" s="68">
        <v>44</v>
      </c>
      <c r="B52" s="69" t="s">
        <v>96</v>
      </c>
      <c r="C52" s="70" t="s">
        <v>97</v>
      </c>
      <c r="D52" s="71">
        <f>'24-2-26'!I52</f>
        <v>25000000</v>
      </c>
      <c r="E52" s="69"/>
      <c r="F52" s="69"/>
      <c r="G52" s="69"/>
      <c r="H52" s="71">
        <f t="shared" si="0"/>
        <v>0</v>
      </c>
      <c r="I52" s="71">
        <f t="shared" si="1"/>
        <v>25000000</v>
      </c>
      <c r="J52" s="69">
        <f t="shared" si="2"/>
        <v>0</v>
      </c>
    </row>
    <row r="53" ht="12.75" spans="1:10">
      <c r="A53" s="68">
        <v>45</v>
      </c>
      <c r="B53" s="69" t="s">
        <v>98</v>
      </c>
      <c r="C53" s="127" t="s">
        <v>99</v>
      </c>
      <c r="D53" s="71">
        <f>'24-2-26'!I53</f>
        <v>0</v>
      </c>
      <c r="E53" s="69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ht="12.75" spans="1:10">
      <c r="A54" s="68">
        <v>46</v>
      </c>
      <c r="B54" s="69" t="s">
        <v>100</v>
      </c>
      <c r="C54" s="127" t="s">
        <v>99</v>
      </c>
      <c r="D54" s="71">
        <f>'24-2-26'!I54</f>
        <v>4800000</v>
      </c>
      <c r="E54" s="69"/>
      <c r="F54" s="69"/>
      <c r="G54" s="69"/>
      <c r="H54" s="71">
        <f t="shared" si="0"/>
        <v>0</v>
      </c>
      <c r="I54" s="71">
        <f t="shared" si="1"/>
        <v>4800000</v>
      </c>
      <c r="J54" s="69">
        <f t="shared" si="2"/>
        <v>0</v>
      </c>
    </row>
    <row r="55" ht="12.75" spans="1:10">
      <c r="A55" s="68">
        <v>47</v>
      </c>
      <c r="B55" s="69" t="s">
        <v>101</v>
      </c>
      <c r="C55" s="127" t="s">
        <v>102</v>
      </c>
      <c r="D55" s="71">
        <f>'24-2-26'!I55</f>
        <v>7460000</v>
      </c>
      <c r="E55" s="69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ht="12.75" spans="1:10">
      <c r="A56" s="68">
        <v>48</v>
      </c>
      <c r="B56" s="69" t="s">
        <v>103</v>
      </c>
      <c r="C56" s="127" t="s">
        <v>102</v>
      </c>
      <c r="D56" s="71">
        <f>'24-2-26'!I56</f>
        <v>400000</v>
      </c>
      <c r="E56" s="69"/>
      <c r="F56" s="69"/>
      <c r="G56" s="69"/>
      <c r="H56" s="71">
        <f t="shared" si="0"/>
        <v>0</v>
      </c>
      <c r="I56" s="71">
        <f t="shared" si="1"/>
        <v>400000</v>
      </c>
      <c r="J56" s="69">
        <f t="shared" si="2"/>
        <v>0</v>
      </c>
    </row>
    <row r="57" ht="12.75" spans="1:10">
      <c r="A57" s="68">
        <v>49</v>
      </c>
      <c r="B57" s="69" t="s">
        <v>104</v>
      </c>
      <c r="C57" s="127" t="s">
        <v>102</v>
      </c>
      <c r="D57" s="71">
        <f>'24-2-26'!I57</f>
        <v>20000000</v>
      </c>
      <c r="E57" s="69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ht="12.75" spans="1:10">
      <c r="A58" s="68">
        <v>50</v>
      </c>
      <c r="B58" s="69" t="s">
        <v>105</v>
      </c>
      <c r="C58" s="70" t="s">
        <v>106</v>
      </c>
      <c r="D58" s="71">
        <f>'24-2-26'!I58</f>
        <v>1315000</v>
      </c>
      <c r="E58" s="69"/>
      <c r="F58" s="69"/>
      <c r="G58" s="69"/>
      <c r="H58" s="71">
        <f t="shared" si="0"/>
        <v>0</v>
      </c>
      <c r="I58" s="71">
        <f t="shared" si="1"/>
        <v>1315000</v>
      </c>
      <c r="J58" s="69">
        <f t="shared" si="2"/>
        <v>0</v>
      </c>
    </row>
    <row r="59" ht="12.75" spans="1:10">
      <c r="A59" s="68">
        <v>51</v>
      </c>
      <c r="B59" s="69" t="s">
        <v>107</v>
      </c>
      <c r="C59" s="127" t="s">
        <v>108</v>
      </c>
      <c r="D59" s="71">
        <f>'24-2-26'!I59</f>
        <v>0</v>
      </c>
      <c r="E59" s="69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ht="12.75" spans="1:10">
      <c r="A60" s="68">
        <v>52</v>
      </c>
      <c r="B60" s="69" t="s">
        <v>109</v>
      </c>
      <c r="C60" s="127" t="s">
        <v>110</v>
      </c>
      <c r="D60" s="71">
        <f>'24-2-26'!I60</f>
        <v>3000000</v>
      </c>
      <c r="E60" s="69"/>
      <c r="F60" s="69"/>
      <c r="G60" s="69"/>
      <c r="H60" s="71">
        <f t="shared" si="0"/>
        <v>0</v>
      </c>
      <c r="I60" s="71">
        <f t="shared" si="1"/>
        <v>3000000</v>
      </c>
      <c r="J60" s="69">
        <f t="shared" si="2"/>
        <v>0</v>
      </c>
    </row>
    <row r="61" ht="12.75" spans="1:10">
      <c r="A61" s="68">
        <v>53</v>
      </c>
      <c r="B61" s="69" t="s">
        <v>111</v>
      </c>
      <c r="C61" s="70" t="s">
        <v>112</v>
      </c>
      <c r="D61" s="71">
        <f>'24-2-26'!I61</f>
        <v>230000</v>
      </c>
      <c r="E61" s="69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ht="12.75" spans="1:10">
      <c r="A62" s="68">
        <v>54</v>
      </c>
      <c r="B62" s="69" t="s">
        <v>113</v>
      </c>
      <c r="C62" s="127" t="s">
        <v>114</v>
      </c>
      <c r="D62" s="71">
        <f>'24-2-26'!I62</f>
        <v>0</v>
      </c>
      <c r="E62" s="69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ht="12.75" spans="1:10">
      <c r="A63" s="68">
        <v>55</v>
      </c>
      <c r="B63" s="69" t="s">
        <v>115</v>
      </c>
      <c r="C63" s="127" t="s">
        <v>116</v>
      </c>
      <c r="D63" s="71">
        <f>'24-2-26'!I63</f>
        <v>600000</v>
      </c>
      <c r="E63" s="69"/>
      <c r="F63" s="69"/>
      <c r="G63" s="69"/>
      <c r="H63" s="71">
        <f t="shared" si="0"/>
        <v>0</v>
      </c>
      <c r="I63" s="71">
        <f t="shared" si="1"/>
        <v>600000</v>
      </c>
      <c r="J63" s="69">
        <f t="shared" si="2"/>
        <v>0</v>
      </c>
    </row>
    <row r="64" ht="12.75" spans="1:10">
      <c r="A64" s="68">
        <v>56</v>
      </c>
      <c r="B64" s="69" t="s">
        <v>117</v>
      </c>
      <c r="C64" s="127" t="s">
        <v>118</v>
      </c>
      <c r="D64" s="71">
        <f>'24-2-26'!I64</f>
        <v>1350000</v>
      </c>
      <c r="E64" s="69"/>
      <c r="F64" s="69"/>
      <c r="G64" s="69"/>
      <c r="H64" s="71">
        <f t="shared" si="0"/>
        <v>0</v>
      </c>
      <c r="I64" s="71">
        <f t="shared" si="1"/>
        <v>1350000</v>
      </c>
      <c r="J64" s="69">
        <f t="shared" si="2"/>
        <v>0</v>
      </c>
    </row>
    <row r="65" ht="12.75" spans="1:10">
      <c r="A65" s="68">
        <v>57</v>
      </c>
      <c r="B65" s="69" t="s">
        <v>119</v>
      </c>
      <c r="C65" s="127" t="s">
        <v>120</v>
      </c>
      <c r="D65" s="71">
        <f>'24-2-26'!I65</f>
        <v>5862000</v>
      </c>
      <c r="E65" s="69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ht="12.75" spans="1:10">
      <c r="A66" s="68">
        <v>58</v>
      </c>
      <c r="B66" s="69" t="s">
        <v>121</v>
      </c>
      <c r="C66" s="127" t="s">
        <v>120</v>
      </c>
      <c r="D66" s="71">
        <f>'24-2-26'!I66</f>
        <v>200000</v>
      </c>
      <c r="E66" s="69"/>
      <c r="F66" s="69"/>
      <c r="G66" s="69"/>
      <c r="H66" s="71">
        <f t="shared" si="0"/>
        <v>0</v>
      </c>
      <c r="I66" s="71">
        <f t="shared" si="1"/>
        <v>200000</v>
      </c>
      <c r="J66" s="69">
        <f t="shared" si="2"/>
        <v>0</v>
      </c>
    </row>
    <row r="67" ht="12.75" customHeight="1" spans="1:10">
      <c r="A67" s="68">
        <v>59</v>
      </c>
      <c r="B67" s="69" t="s">
        <v>122</v>
      </c>
      <c r="C67" s="127" t="s">
        <v>123</v>
      </c>
      <c r="D67" s="71">
        <f>'24-2-26'!I67</f>
        <v>0</v>
      </c>
      <c r="E67" s="69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ht="12.75" customHeight="1" spans="1:10">
      <c r="A68" s="68">
        <v>60</v>
      </c>
      <c r="B68" s="69" t="s">
        <v>159</v>
      </c>
      <c r="C68" s="127" t="s">
        <v>160</v>
      </c>
      <c r="D68" s="71">
        <f>'24-2-26'!I68</f>
        <v>10000000</v>
      </c>
      <c r="E68" s="69"/>
      <c r="F68" s="69"/>
      <c r="G68" s="69"/>
      <c r="H68" s="71">
        <f t="shared" si="0"/>
        <v>0</v>
      </c>
      <c r="I68" s="71">
        <f t="shared" ref="I68:I75" si="3">D68-F68</f>
        <v>10000000</v>
      </c>
      <c r="J68" s="69">
        <f t="shared" si="2"/>
        <v>0</v>
      </c>
    </row>
    <row r="69" ht="12.75" customHeight="1" spans="1:10">
      <c r="A69" s="68">
        <v>61</v>
      </c>
      <c r="B69" s="69" t="s">
        <v>161</v>
      </c>
      <c r="C69" s="127" t="s">
        <v>160</v>
      </c>
      <c r="D69" s="71">
        <f>'24-2-26'!I69</f>
        <v>50000000</v>
      </c>
      <c r="E69" s="69"/>
      <c r="F69" s="69"/>
      <c r="G69" s="69"/>
      <c r="H69" s="71">
        <f t="shared" si="0"/>
        <v>0</v>
      </c>
      <c r="I69" s="71">
        <f t="shared" si="3"/>
        <v>50000000</v>
      </c>
      <c r="J69" s="69">
        <f t="shared" si="2"/>
        <v>0</v>
      </c>
    </row>
    <row r="70" ht="12.75" customHeight="1" spans="1:10">
      <c r="A70" s="68">
        <v>62</v>
      </c>
      <c r="B70" s="69" t="s">
        <v>141</v>
      </c>
      <c r="C70" s="127" t="s">
        <v>160</v>
      </c>
      <c r="D70" s="71">
        <f>'24-2-26'!I70</f>
        <v>1000000</v>
      </c>
      <c r="E70" s="69"/>
      <c r="F70" s="69"/>
      <c r="G70" s="69"/>
      <c r="H70" s="71">
        <f t="shared" si="0"/>
        <v>0</v>
      </c>
      <c r="I70" s="71">
        <f t="shared" si="3"/>
        <v>1000000</v>
      </c>
      <c r="J70" s="69">
        <f t="shared" si="2"/>
        <v>0</v>
      </c>
    </row>
    <row r="71" ht="12.75" customHeight="1" spans="1:10">
      <c r="A71" s="68">
        <v>63</v>
      </c>
      <c r="B71" s="69" t="s">
        <v>162</v>
      </c>
      <c r="C71" s="127" t="s">
        <v>160</v>
      </c>
      <c r="D71" s="71">
        <f>'24-2-26'!I71</f>
        <v>3000000</v>
      </c>
      <c r="E71" s="69"/>
      <c r="F71" s="69"/>
      <c r="G71" s="69"/>
      <c r="H71" s="71">
        <f t="shared" si="0"/>
        <v>0</v>
      </c>
      <c r="I71" s="71">
        <f t="shared" si="3"/>
        <v>3000000</v>
      </c>
      <c r="J71" s="69">
        <f t="shared" si="2"/>
        <v>0</v>
      </c>
    </row>
    <row r="72" ht="12.75" customHeight="1" spans="1:10">
      <c r="A72" s="68">
        <v>64</v>
      </c>
      <c r="B72" s="69" t="s">
        <v>98</v>
      </c>
      <c r="C72" s="127" t="s">
        <v>160</v>
      </c>
      <c r="D72" s="71">
        <f>'24-2-26'!I72</f>
        <v>2000000</v>
      </c>
      <c r="E72" s="69"/>
      <c r="F72" s="69"/>
      <c r="G72" s="69"/>
      <c r="H72" s="71">
        <f t="shared" si="0"/>
        <v>0</v>
      </c>
      <c r="I72" s="71">
        <f t="shared" si="3"/>
        <v>2000000</v>
      </c>
      <c r="J72" s="69">
        <f t="shared" si="2"/>
        <v>0</v>
      </c>
    </row>
    <row r="73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>SUM(F73:G73)</f>
        <v>0</v>
      </c>
      <c r="I73" s="71">
        <f t="shared" si="3"/>
        <v>5000000</v>
      </c>
      <c r="J73" s="69">
        <f>1/10*G73</f>
        <v>0</v>
      </c>
    </row>
    <row r="74" ht="12.75" customHeight="1" spans="1:10">
      <c r="A74" s="68">
        <v>66</v>
      </c>
      <c r="B74" s="69" t="s">
        <v>166</v>
      </c>
      <c r="C74" s="127" t="s">
        <v>167</v>
      </c>
      <c r="D74" s="71">
        <v>4000000</v>
      </c>
      <c r="E74" s="69"/>
      <c r="F74" s="69"/>
      <c r="G74" s="69"/>
      <c r="H74" s="71">
        <f>SUM(F74:G74)</f>
        <v>0</v>
      </c>
      <c r="I74" s="71">
        <f t="shared" si="3"/>
        <v>4000000</v>
      </c>
      <c r="J74" s="69">
        <f>1/10*G74</f>
        <v>0</v>
      </c>
    </row>
    <row r="75" ht="12.75" customHeight="1" spans="1:10">
      <c r="A75" s="68">
        <v>67</v>
      </c>
      <c r="B75" s="69" t="s">
        <v>53</v>
      </c>
      <c r="C75" s="127" t="s">
        <v>167</v>
      </c>
      <c r="D75" s="71">
        <v>3000000</v>
      </c>
      <c r="E75" s="69"/>
      <c r="F75" s="69"/>
      <c r="G75" s="69"/>
      <c r="H75" s="71">
        <f>SUM(F75:G75)</f>
        <v>0</v>
      </c>
      <c r="I75" s="71">
        <f t="shared" si="3"/>
        <v>3000000</v>
      </c>
      <c r="J75" s="69">
        <f>1/10*G75</f>
        <v>0</v>
      </c>
    </row>
    <row r="76" ht="12.75" customHeight="1" spans="1:10">
      <c r="A76" s="68"/>
      <c r="B76" s="69"/>
      <c r="C76" s="70"/>
      <c r="D76" s="71">
        <f>'3-2-26'!I75</f>
        <v>0</v>
      </c>
      <c r="E76" s="69"/>
      <c r="F76" s="69"/>
      <c r="G76" s="69"/>
      <c r="H76" s="71">
        <f t="shared" ref="H74:H137" si="4">SUM(F76:G76)</f>
        <v>0</v>
      </c>
      <c r="I76" s="71">
        <f t="shared" ref="I74:I187" si="5">D76-F76</f>
        <v>0</v>
      </c>
      <c r="J76" s="69">
        <f t="shared" ref="J74:J137" si="6">1/10*G76</f>
        <v>0</v>
      </c>
    </row>
    <row r="77" ht="12.75" customHeight="1" spans="1:10">
      <c r="A77" s="68"/>
      <c r="B77" s="69"/>
      <c r="C77" s="70"/>
      <c r="D77" s="71">
        <f>'3-2-26'!I76</f>
        <v>0</v>
      </c>
      <c r="E77" s="69"/>
      <c r="F77" s="69"/>
      <c r="G77" s="69"/>
      <c r="H77" s="71">
        <f t="shared" si="4"/>
        <v>0</v>
      </c>
      <c r="I77" s="71">
        <f t="shared" si="5"/>
        <v>0</v>
      </c>
      <c r="J77" s="69">
        <f t="shared" si="6"/>
        <v>0</v>
      </c>
    </row>
    <row r="78" ht="12.75" customHeight="1" spans="1:10">
      <c r="A78" s="68"/>
      <c r="B78" s="69"/>
      <c r="C78" s="70"/>
      <c r="D78" s="71">
        <f>'3-2-26'!I77</f>
        <v>0</v>
      </c>
      <c r="E78" s="69"/>
      <c r="F78" s="69"/>
      <c r="G78" s="69"/>
      <c r="H78" s="71">
        <f t="shared" si="4"/>
        <v>0</v>
      </c>
      <c r="I78" s="71">
        <f t="shared" si="5"/>
        <v>0</v>
      </c>
      <c r="J78" s="69">
        <f t="shared" si="6"/>
        <v>0</v>
      </c>
    </row>
    <row r="79" ht="1.75" customHeight="1" spans="1:10">
      <c r="A79" s="68"/>
      <c r="B79" s="69"/>
      <c r="C79" s="70"/>
      <c r="D79" s="71">
        <f>'3-2-26'!I78</f>
        <v>0</v>
      </c>
      <c r="E79" s="69"/>
      <c r="F79" s="69"/>
      <c r="G79" s="69"/>
      <c r="H79" s="71">
        <f t="shared" si="4"/>
        <v>0</v>
      </c>
      <c r="I79" s="71">
        <f t="shared" si="5"/>
        <v>0</v>
      </c>
      <c r="J79" s="69">
        <f t="shared" si="6"/>
        <v>0</v>
      </c>
    </row>
    <row r="80" ht="1.75" customHeight="1" spans="1:10">
      <c r="A80" s="68"/>
      <c r="B80" s="69"/>
      <c r="C80" s="70"/>
      <c r="D80" s="71">
        <f>'3-2-26'!I79</f>
        <v>0</v>
      </c>
      <c r="E80" s="69"/>
      <c r="F80" s="69"/>
      <c r="G80" s="69"/>
      <c r="H80" s="71">
        <f t="shared" si="4"/>
        <v>0</v>
      </c>
      <c r="I80" s="71">
        <f t="shared" si="5"/>
        <v>0</v>
      </c>
      <c r="J80" s="69">
        <f t="shared" si="6"/>
        <v>0</v>
      </c>
    </row>
    <row r="81" ht="1.75" customHeight="1" spans="1:10">
      <c r="A81" s="68"/>
      <c r="B81" s="69"/>
      <c r="C81" s="70"/>
      <c r="D81" s="71">
        <f>'3-2-26'!I80</f>
        <v>0</v>
      </c>
      <c r="E81" s="69"/>
      <c r="F81" s="69"/>
      <c r="G81" s="69"/>
      <c r="H81" s="71">
        <f t="shared" si="4"/>
        <v>0</v>
      </c>
      <c r="I81" s="71">
        <f t="shared" si="5"/>
        <v>0</v>
      </c>
      <c r="J81" s="69">
        <f t="shared" si="6"/>
        <v>0</v>
      </c>
    </row>
    <row r="82" ht="1.75" customHeight="1" spans="1:10">
      <c r="A82" s="68"/>
      <c r="B82" s="69"/>
      <c r="C82" s="70"/>
      <c r="D82" s="71">
        <f>'3-2-26'!I81</f>
        <v>0</v>
      </c>
      <c r="E82" s="69"/>
      <c r="F82" s="69"/>
      <c r="G82" s="69"/>
      <c r="H82" s="71">
        <f t="shared" si="4"/>
        <v>0</v>
      </c>
      <c r="I82" s="71">
        <f t="shared" si="5"/>
        <v>0</v>
      </c>
      <c r="J82" s="69">
        <f t="shared" si="6"/>
        <v>0</v>
      </c>
    </row>
    <row r="83" ht="1.75" customHeight="1" spans="1:10">
      <c r="A83" s="68"/>
      <c r="B83" s="69"/>
      <c r="C83" s="70"/>
      <c r="D83" s="71">
        <f>'3-2-26'!I82</f>
        <v>0</v>
      </c>
      <c r="E83" s="69"/>
      <c r="F83" s="69"/>
      <c r="G83" s="69"/>
      <c r="H83" s="71">
        <f t="shared" si="4"/>
        <v>0</v>
      </c>
      <c r="I83" s="71">
        <f t="shared" si="5"/>
        <v>0</v>
      </c>
      <c r="J83" s="69">
        <f t="shared" si="6"/>
        <v>0</v>
      </c>
    </row>
    <row r="84" ht="1.75" customHeight="1" spans="1:10">
      <c r="A84" s="68"/>
      <c r="B84" s="69"/>
      <c r="C84" s="70"/>
      <c r="D84" s="71">
        <f>'3-2-26'!I83</f>
        <v>0</v>
      </c>
      <c r="E84" s="69"/>
      <c r="F84" s="69"/>
      <c r="G84" s="69"/>
      <c r="H84" s="71">
        <f t="shared" si="4"/>
        <v>0</v>
      </c>
      <c r="I84" s="71">
        <f t="shared" si="5"/>
        <v>0</v>
      </c>
      <c r="J84" s="69">
        <f t="shared" si="6"/>
        <v>0</v>
      </c>
    </row>
    <row r="85" ht="1.75" customHeight="1" spans="1:10">
      <c r="A85" s="68"/>
      <c r="B85" s="69"/>
      <c r="C85" s="70"/>
      <c r="D85" s="71">
        <f>'3-2-26'!I84</f>
        <v>0</v>
      </c>
      <c r="E85" s="69"/>
      <c r="F85" s="69"/>
      <c r="G85" s="69"/>
      <c r="H85" s="71">
        <f t="shared" si="4"/>
        <v>0</v>
      </c>
      <c r="I85" s="71">
        <f t="shared" si="5"/>
        <v>0</v>
      </c>
      <c r="J85" s="69">
        <f t="shared" si="6"/>
        <v>0</v>
      </c>
    </row>
    <row r="86" ht="1.75" customHeight="1" spans="1:10">
      <c r="A86" s="68"/>
      <c r="B86" s="69"/>
      <c r="C86" s="70"/>
      <c r="D86" s="71">
        <f>'3-2-26'!I85</f>
        <v>0</v>
      </c>
      <c r="E86" s="69"/>
      <c r="F86" s="69"/>
      <c r="G86" s="69"/>
      <c r="H86" s="71">
        <f t="shared" si="4"/>
        <v>0</v>
      </c>
      <c r="I86" s="71">
        <f t="shared" si="5"/>
        <v>0</v>
      </c>
      <c r="J86" s="69">
        <f t="shared" si="6"/>
        <v>0</v>
      </c>
    </row>
    <row r="87" ht="1.75" customHeight="1" spans="1:10">
      <c r="A87" s="68"/>
      <c r="B87" s="69"/>
      <c r="C87" s="70"/>
      <c r="D87" s="71">
        <f>'3-2-26'!I86</f>
        <v>0</v>
      </c>
      <c r="E87" s="69"/>
      <c r="F87" s="69"/>
      <c r="G87" s="69"/>
      <c r="H87" s="71">
        <f t="shared" si="4"/>
        <v>0</v>
      </c>
      <c r="I87" s="71">
        <f t="shared" si="5"/>
        <v>0</v>
      </c>
      <c r="J87" s="69">
        <f t="shared" si="6"/>
        <v>0</v>
      </c>
    </row>
    <row r="88" ht="1.75" customHeight="1" spans="1:10">
      <c r="A88" s="68"/>
      <c r="B88" s="69"/>
      <c r="C88" s="70"/>
      <c r="D88" s="71">
        <f>'3-2-26'!I87</f>
        <v>0</v>
      </c>
      <c r="E88" s="69"/>
      <c r="F88" s="69"/>
      <c r="G88" s="69"/>
      <c r="H88" s="71">
        <f t="shared" si="4"/>
        <v>0</v>
      </c>
      <c r="I88" s="71">
        <f t="shared" si="5"/>
        <v>0</v>
      </c>
      <c r="J88" s="69">
        <f t="shared" si="6"/>
        <v>0</v>
      </c>
    </row>
    <row r="89" ht="1.75" customHeight="1" spans="1:10">
      <c r="A89" s="68"/>
      <c r="B89" s="69"/>
      <c r="C89" s="70"/>
      <c r="D89" s="71">
        <f>'3-2-26'!I88</f>
        <v>0</v>
      </c>
      <c r="E89" s="69"/>
      <c r="F89" s="69"/>
      <c r="G89" s="69"/>
      <c r="H89" s="71">
        <f t="shared" si="4"/>
        <v>0</v>
      </c>
      <c r="I89" s="71">
        <f t="shared" si="5"/>
        <v>0</v>
      </c>
      <c r="J89" s="69">
        <f t="shared" si="6"/>
        <v>0</v>
      </c>
    </row>
    <row r="90" ht="1.75" customHeight="1" spans="1:10">
      <c r="A90" s="68"/>
      <c r="B90" s="69"/>
      <c r="C90" s="70"/>
      <c r="D90" s="71">
        <f>'3-2-26'!I89</f>
        <v>0</v>
      </c>
      <c r="E90" s="69"/>
      <c r="F90" s="69"/>
      <c r="G90" s="69"/>
      <c r="H90" s="71">
        <f t="shared" si="4"/>
        <v>0</v>
      </c>
      <c r="I90" s="71">
        <f t="shared" si="5"/>
        <v>0</v>
      </c>
      <c r="J90" s="69">
        <f t="shared" si="6"/>
        <v>0</v>
      </c>
    </row>
    <row r="91" ht="1.75" customHeight="1" spans="1:10">
      <c r="A91" s="68"/>
      <c r="B91" s="69"/>
      <c r="C91" s="70"/>
      <c r="D91" s="71">
        <f>'3-2-26'!I90</f>
        <v>0</v>
      </c>
      <c r="E91" s="69"/>
      <c r="F91" s="69"/>
      <c r="G91" s="69"/>
      <c r="H91" s="71">
        <f t="shared" si="4"/>
        <v>0</v>
      </c>
      <c r="I91" s="71">
        <f t="shared" si="5"/>
        <v>0</v>
      </c>
      <c r="J91" s="69">
        <f t="shared" si="6"/>
        <v>0</v>
      </c>
    </row>
    <row r="92" ht="1.75" customHeight="1" spans="1:10">
      <c r="A92" s="68"/>
      <c r="B92" s="69"/>
      <c r="C92" s="70"/>
      <c r="D92" s="71">
        <f>'3-2-26'!I91</f>
        <v>0</v>
      </c>
      <c r="E92" s="69"/>
      <c r="F92" s="69"/>
      <c r="G92" s="69"/>
      <c r="H92" s="71">
        <f t="shared" si="4"/>
        <v>0</v>
      </c>
      <c r="I92" s="71">
        <f t="shared" si="5"/>
        <v>0</v>
      </c>
      <c r="J92" s="69">
        <f t="shared" si="6"/>
        <v>0</v>
      </c>
    </row>
    <row r="93" ht="1.75" customHeight="1" spans="1:10">
      <c r="A93" s="68"/>
      <c r="B93" s="69"/>
      <c r="C93" s="70"/>
      <c r="D93" s="71">
        <f>'3-2-26'!I92</f>
        <v>0</v>
      </c>
      <c r="E93" s="69"/>
      <c r="F93" s="69"/>
      <c r="G93" s="69"/>
      <c r="H93" s="71">
        <f t="shared" si="4"/>
        <v>0</v>
      </c>
      <c r="I93" s="71">
        <f t="shared" si="5"/>
        <v>0</v>
      </c>
      <c r="J93" s="69">
        <f t="shared" si="6"/>
        <v>0</v>
      </c>
    </row>
    <row r="94" ht="1.75" customHeight="1" spans="1:10">
      <c r="A94" s="68"/>
      <c r="B94" s="69"/>
      <c r="C94" s="70"/>
      <c r="D94" s="71">
        <f>'3-2-26'!I93</f>
        <v>0</v>
      </c>
      <c r="E94" s="69"/>
      <c r="F94" s="69"/>
      <c r="G94" s="69"/>
      <c r="H94" s="71">
        <f t="shared" si="4"/>
        <v>0</v>
      </c>
      <c r="I94" s="71">
        <f t="shared" si="5"/>
        <v>0</v>
      </c>
      <c r="J94" s="69">
        <f t="shared" si="6"/>
        <v>0</v>
      </c>
    </row>
    <row r="95" ht="1.75" customHeight="1" spans="1:10">
      <c r="A95" s="68"/>
      <c r="B95" s="69"/>
      <c r="C95" s="70"/>
      <c r="D95" s="71">
        <f>'3-2-26'!I94</f>
        <v>0</v>
      </c>
      <c r="E95" s="69"/>
      <c r="F95" s="69"/>
      <c r="G95" s="69"/>
      <c r="H95" s="71">
        <f t="shared" si="4"/>
        <v>0</v>
      </c>
      <c r="I95" s="71">
        <f t="shared" si="5"/>
        <v>0</v>
      </c>
      <c r="J95" s="69">
        <f t="shared" si="6"/>
        <v>0</v>
      </c>
    </row>
    <row r="96" ht="1.75" customHeight="1" spans="1:10">
      <c r="A96" s="68"/>
      <c r="B96" s="69"/>
      <c r="C96" s="70"/>
      <c r="D96" s="71">
        <f>'3-2-26'!I95</f>
        <v>0</v>
      </c>
      <c r="E96" s="69"/>
      <c r="F96" s="69"/>
      <c r="G96" s="69"/>
      <c r="H96" s="71">
        <f t="shared" si="4"/>
        <v>0</v>
      </c>
      <c r="I96" s="71">
        <f t="shared" si="5"/>
        <v>0</v>
      </c>
      <c r="J96" s="69">
        <f t="shared" si="6"/>
        <v>0</v>
      </c>
    </row>
    <row r="97" ht="1.75" customHeight="1" spans="1:10">
      <c r="A97" s="68"/>
      <c r="B97" s="69"/>
      <c r="C97" s="70"/>
      <c r="D97" s="71">
        <f>'3-2-26'!I96</f>
        <v>0</v>
      </c>
      <c r="E97" s="69"/>
      <c r="F97" s="69"/>
      <c r="G97" s="69"/>
      <c r="H97" s="71">
        <f t="shared" si="4"/>
        <v>0</v>
      </c>
      <c r="I97" s="71">
        <f t="shared" si="5"/>
        <v>0</v>
      </c>
      <c r="J97" s="69">
        <f t="shared" si="6"/>
        <v>0</v>
      </c>
    </row>
    <row r="98" ht="1.75" customHeight="1" spans="1:10">
      <c r="A98" s="68"/>
      <c r="B98" s="69"/>
      <c r="C98" s="70"/>
      <c r="D98" s="71">
        <f>'3-2-26'!I97</f>
        <v>0</v>
      </c>
      <c r="E98" s="69"/>
      <c r="F98" s="69"/>
      <c r="G98" s="69"/>
      <c r="H98" s="71">
        <f t="shared" si="4"/>
        <v>0</v>
      </c>
      <c r="I98" s="71">
        <f t="shared" si="5"/>
        <v>0</v>
      </c>
      <c r="J98" s="69">
        <f t="shared" si="6"/>
        <v>0</v>
      </c>
    </row>
    <row r="99" ht="1.75" customHeight="1" spans="1:10">
      <c r="A99" s="68"/>
      <c r="B99" s="69"/>
      <c r="C99" s="70"/>
      <c r="D99" s="71">
        <f>'3-2-26'!I98</f>
        <v>0</v>
      </c>
      <c r="E99" s="69"/>
      <c r="F99" s="69"/>
      <c r="G99" s="69"/>
      <c r="H99" s="71">
        <f t="shared" si="4"/>
        <v>0</v>
      </c>
      <c r="I99" s="71">
        <f t="shared" si="5"/>
        <v>0</v>
      </c>
      <c r="J99" s="69">
        <f t="shared" si="6"/>
        <v>0</v>
      </c>
    </row>
    <row r="100" ht="1.75" customHeight="1" spans="1:10">
      <c r="A100" s="68"/>
      <c r="B100" s="69"/>
      <c r="C100" s="70"/>
      <c r="D100" s="71">
        <f>'3-2-26'!I99</f>
        <v>0</v>
      </c>
      <c r="E100" s="69"/>
      <c r="F100" s="69"/>
      <c r="G100" s="69"/>
      <c r="H100" s="71">
        <f t="shared" si="4"/>
        <v>0</v>
      </c>
      <c r="I100" s="71">
        <f t="shared" si="5"/>
        <v>0</v>
      </c>
      <c r="J100" s="69">
        <f t="shared" si="6"/>
        <v>0</v>
      </c>
    </row>
    <row r="101" ht="1.75" customHeight="1" spans="1:10">
      <c r="A101" s="68"/>
      <c r="B101" s="69"/>
      <c r="C101" s="70"/>
      <c r="D101" s="71">
        <f>'3-2-26'!I100</f>
        <v>0</v>
      </c>
      <c r="E101" s="69"/>
      <c r="F101" s="69"/>
      <c r="G101" s="69"/>
      <c r="H101" s="71">
        <f t="shared" si="4"/>
        <v>0</v>
      </c>
      <c r="I101" s="71">
        <f t="shared" si="5"/>
        <v>0</v>
      </c>
      <c r="J101" s="69">
        <f t="shared" si="6"/>
        <v>0</v>
      </c>
    </row>
    <row r="102" ht="1.75" customHeight="1" spans="1:10">
      <c r="A102" s="68"/>
      <c r="B102" s="69"/>
      <c r="C102" s="70"/>
      <c r="D102" s="71">
        <f>'3-2-26'!I101</f>
        <v>0</v>
      </c>
      <c r="E102" s="69"/>
      <c r="F102" s="69"/>
      <c r="G102" s="69"/>
      <c r="H102" s="71">
        <f t="shared" si="4"/>
        <v>0</v>
      </c>
      <c r="I102" s="71">
        <f t="shared" si="5"/>
        <v>0</v>
      </c>
      <c r="J102" s="69">
        <f t="shared" si="6"/>
        <v>0</v>
      </c>
    </row>
    <row r="103" ht="1.75" customHeight="1" spans="1:10">
      <c r="A103" s="68"/>
      <c r="B103" s="69"/>
      <c r="C103" s="70"/>
      <c r="D103" s="71">
        <f>'3-2-26'!I102</f>
        <v>0</v>
      </c>
      <c r="E103" s="69"/>
      <c r="F103" s="69"/>
      <c r="G103" s="69"/>
      <c r="H103" s="71">
        <f t="shared" si="4"/>
        <v>0</v>
      </c>
      <c r="I103" s="71">
        <f t="shared" si="5"/>
        <v>0</v>
      </c>
      <c r="J103" s="69">
        <f t="shared" si="6"/>
        <v>0</v>
      </c>
    </row>
    <row r="104" ht="1.75" customHeight="1" spans="1:10">
      <c r="A104" s="68"/>
      <c r="B104" s="69"/>
      <c r="C104" s="70"/>
      <c r="D104" s="71">
        <f>'3-2-26'!I103</f>
        <v>0</v>
      </c>
      <c r="E104" s="69"/>
      <c r="F104" s="69"/>
      <c r="G104" s="69"/>
      <c r="H104" s="71">
        <f t="shared" si="4"/>
        <v>0</v>
      </c>
      <c r="I104" s="71">
        <f t="shared" si="5"/>
        <v>0</v>
      </c>
      <c r="J104" s="69">
        <f t="shared" si="6"/>
        <v>0</v>
      </c>
    </row>
    <row r="105" ht="1.75" customHeight="1" spans="1:10">
      <c r="A105" s="68"/>
      <c r="B105" s="69"/>
      <c r="C105" s="70"/>
      <c r="D105" s="71">
        <f>'3-2-26'!I104</f>
        <v>0</v>
      </c>
      <c r="E105" s="69"/>
      <c r="F105" s="69"/>
      <c r="G105" s="69"/>
      <c r="H105" s="71">
        <f t="shared" si="4"/>
        <v>0</v>
      </c>
      <c r="I105" s="71">
        <f t="shared" si="5"/>
        <v>0</v>
      </c>
      <c r="J105" s="69">
        <f t="shared" si="6"/>
        <v>0</v>
      </c>
    </row>
    <row r="106" ht="1.75" customHeight="1" spans="1:10">
      <c r="A106" s="68"/>
      <c r="B106" s="69"/>
      <c r="C106" s="70"/>
      <c r="D106" s="71">
        <f>'3-2-26'!I105</f>
        <v>0</v>
      </c>
      <c r="E106" s="69"/>
      <c r="F106" s="69"/>
      <c r="G106" s="69"/>
      <c r="H106" s="71">
        <f t="shared" si="4"/>
        <v>0</v>
      </c>
      <c r="I106" s="71">
        <f t="shared" si="5"/>
        <v>0</v>
      </c>
      <c r="J106" s="69">
        <f t="shared" si="6"/>
        <v>0</v>
      </c>
    </row>
    <row r="107" ht="1.75" customHeight="1" spans="1:10">
      <c r="A107" s="68"/>
      <c r="B107" s="69"/>
      <c r="C107" s="70"/>
      <c r="D107" s="71">
        <f>'3-2-26'!I106</f>
        <v>0</v>
      </c>
      <c r="E107" s="69"/>
      <c r="F107" s="69"/>
      <c r="G107" s="69"/>
      <c r="H107" s="71">
        <f t="shared" si="4"/>
        <v>0</v>
      </c>
      <c r="I107" s="71">
        <f t="shared" si="5"/>
        <v>0</v>
      </c>
      <c r="J107" s="69">
        <f t="shared" si="6"/>
        <v>0</v>
      </c>
    </row>
    <row r="108" ht="1.75" customHeight="1" spans="1:10">
      <c r="A108" s="68"/>
      <c r="B108" s="69"/>
      <c r="C108" s="70"/>
      <c r="D108" s="71">
        <f>'3-2-26'!I107</f>
        <v>0</v>
      </c>
      <c r="E108" s="69"/>
      <c r="F108" s="69"/>
      <c r="G108" s="69"/>
      <c r="H108" s="71">
        <f t="shared" si="4"/>
        <v>0</v>
      </c>
      <c r="I108" s="71">
        <f t="shared" si="5"/>
        <v>0</v>
      </c>
      <c r="J108" s="69">
        <f t="shared" si="6"/>
        <v>0</v>
      </c>
    </row>
    <row r="109" ht="1.75" customHeight="1" spans="1:10">
      <c r="A109" s="68"/>
      <c r="B109" s="69"/>
      <c r="C109" s="70"/>
      <c r="D109" s="71">
        <f>'3-2-26'!I108</f>
        <v>0</v>
      </c>
      <c r="E109" s="69"/>
      <c r="F109" s="69"/>
      <c r="G109" s="69"/>
      <c r="H109" s="71">
        <f t="shared" si="4"/>
        <v>0</v>
      </c>
      <c r="I109" s="71">
        <f t="shared" si="5"/>
        <v>0</v>
      </c>
      <c r="J109" s="69">
        <f t="shared" si="6"/>
        <v>0</v>
      </c>
    </row>
    <row r="110" ht="1.75" customHeight="1" spans="1:10">
      <c r="A110" s="68"/>
      <c r="B110" s="69"/>
      <c r="C110" s="70"/>
      <c r="D110" s="71">
        <f>'3-2-26'!I109</f>
        <v>0</v>
      </c>
      <c r="E110" s="69"/>
      <c r="F110" s="69"/>
      <c r="G110" s="69"/>
      <c r="H110" s="71">
        <f t="shared" si="4"/>
        <v>0</v>
      </c>
      <c r="I110" s="71">
        <f t="shared" si="5"/>
        <v>0</v>
      </c>
      <c r="J110" s="69">
        <f t="shared" si="6"/>
        <v>0</v>
      </c>
    </row>
    <row r="111" ht="1.75" customHeight="1" spans="1:10">
      <c r="A111" s="68"/>
      <c r="B111" s="69"/>
      <c r="C111" s="70"/>
      <c r="D111" s="71">
        <f>'3-2-26'!I110</f>
        <v>0</v>
      </c>
      <c r="E111" s="69"/>
      <c r="F111" s="69"/>
      <c r="G111" s="69"/>
      <c r="H111" s="71">
        <f t="shared" si="4"/>
        <v>0</v>
      </c>
      <c r="I111" s="71">
        <f t="shared" si="5"/>
        <v>0</v>
      </c>
      <c r="J111" s="69">
        <f t="shared" si="6"/>
        <v>0</v>
      </c>
    </row>
    <row r="112" ht="1.75" customHeight="1" spans="1:10">
      <c r="A112" s="68"/>
      <c r="B112" s="69"/>
      <c r="C112" s="70"/>
      <c r="D112" s="71">
        <f>'3-2-26'!I111</f>
        <v>0</v>
      </c>
      <c r="E112" s="69"/>
      <c r="F112" s="69"/>
      <c r="G112" s="69"/>
      <c r="H112" s="71">
        <f t="shared" si="4"/>
        <v>0</v>
      </c>
      <c r="I112" s="71">
        <f t="shared" si="5"/>
        <v>0</v>
      </c>
      <c r="J112" s="69">
        <f t="shared" si="6"/>
        <v>0</v>
      </c>
    </row>
    <row r="113" ht="1.75" customHeight="1" spans="1:10">
      <c r="A113" s="68"/>
      <c r="B113" s="69"/>
      <c r="C113" s="70"/>
      <c r="D113" s="71">
        <f>'3-2-26'!I112</f>
        <v>0</v>
      </c>
      <c r="E113" s="69"/>
      <c r="F113" s="69"/>
      <c r="G113" s="69"/>
      <c r="H113" s="71">
        <f t="shared" si="4"/>
        <v>0</v>
      </c>
      <c r="I113" s="71">
        <f t="shared" si="5"/>
        <v>0</v>
      </c>
      <c r="J113" s="69">
        <f t="shared" si="6"/>
        <v>0</v>
      </c>
    </row>
    <row r="114" ht="1.75" customHeight="1" spans="1:10">
      <c r="A114" s="68"/>
      <c r="B114" s="69"/>
      <c r="C114" s="70"/>
      <c r="D114" s="71">
        <f>'3-2-26'!I113</f>
        <v>0</v>
      </c>
      <c r="E114" s="69"/>
      <c r="F114" s="69"/>
      <c r="G114" s="69"/>
      <c r="H114" s="71">
        <f t="shared" si="4"/>
        <v>0</v>
      </c>
      <c r="I114" s="71">
        <f t="shared" si="5"/>
        <v>0</v>
      </c>
      <c r="J114" s="69">
        <f t="shared" si="6"/>
        <v>0</v>
      </c>
    </row>
    <row r="115" ht="1.75" customHeight="1" spans="1:10">
      <c r="A115" s="68"/>
      <c r="B115" s="69"/>
      <c r="C115" s="70"/>
      <c r="D115" s="71">
        <f>'3-2-26'!I114</f>
        <v>0</v>
      </c>
      <c r="E115" s="69"/>
      <c r="F115" s="69"/>
      <c r="G115" s="69"/>
      <c r="H115" s="71">
        <f t="shared" si="4"/>
        <v>0</v>
      </c>
      <c r="I115" s="71">
        <f t="shared" si="5"/>
        <v>0</v>
      </c>
      <c r="J115" s="69">
        <f t="shared" si="6"/>
        <v>0</v>
      </c>
    </row>
    <row r="116" ht="1.75" customHeight="1" spans="1:10">
      <c r="A116" s="68"/>
      <c r="B116" s="69"/>
      <c r="C116" s="70"/>
      <c r="D116" s="71">
        <f>'3-2-26'!I115</f>
        <v>0</v>
      </c>
      <c r="E116" s="69"/>
      <c r="F116" s="69"/>
      <c r="G116" s="69"/>
      <c r="H116" s="71">
        <f t="shared" si="4"/>
        <v>0</v>
      </c>
      <c r="I116" s="71">
        <f t="shared" si="5"/>
        <v>0</v>
      </c>
      <c r="J116" s="69">
        <f t="shared" si="6"/>
        <v>0</v>
      </c>
    </row>
    <row r="117" ht="1.75" customHeight="1" spans="1:10">
      <c r="A117" s="68"/>
      <c r="B117" s="69"/>
      <c r="C117" s="70"/>
      <c r="D117" s="71">
        <f>'3-2-26'!I116</f>
        <v>0</v>
      </c>
      <c r="E117" s="69"/>
      <c r="F117" s="69"/>
      <c r="G117" s="69"/>
      <c r="H117" s="71">
        <f t="shared" si="4"/>
        <v>0</v>
      </c>
      <c r="I117" s="71">
        <f t="shared" si="5"/>
        <v>0</v>
      </c>
      <c r="J117" s="69">
        <f t="shared" si="6"/>
        <v>0</v>
      </c>
    </row>
    <row r="118" ht="1.75" customHeight="1" spans="1:10">
      <c r="A118" s="68"/>
      <c r="B118" s="69"/>
      <c r="C118" s="70"/>
      <c r="D118" s="71">
        <f>'3-2-26'!I117</f>
        <v>0</v>
      </c>
      <c r="E118" s="69"/>
      <c r="F118" s="69"/>
      <c r="G118" s="69"/>
      <c r="H118" s="71">
        <f t="shared" si="4"/>
        <v>0</v>
      </c>
      <c r="I118" s="71">
        <f t="shared" si="5"/>
        <v>0</v>
      </c>
      <c r="J118" s="69">
        <f t="shared" si="6"/>
        <v>0</v>
      </c>
    </row>
    <row r="119" ht="1.75" customHeight="1" spans="1:10">
      <c r="A119" s="68"/>
      <c r="B119" s="69"/>
      <c r="C119" s="70"/>
      <c r="D119" s="71">
        <f>'3-2-26'!I118</f>
        <v>0</v>
      </c>
      <c r="E119" s="69"/>
      <c r="F119" s="69"/>
      <c r="G119" s="69"/>
      <c r="H119" s="71">
        <f t="shared" si="4"/>
        <v>0</v>
      </c>
      <c r="I119" s="71">
        <f t="shared" si="5"/>
        <v>0</v>
      </c>
      <c r="J119" s="69">
        <f t="shared" si="6"/>
        <v>0</v>
      </c>
    </row>
    <row r="120" ht="1.75" customHeight="1" spans="1:10">
      <c r="A120" s="68"/>
      <c r="B120" s="69"/>
      <c r="C120" s="70"/>
      <c r="D120" s="71">
        <f>'3-2-26'!I119</f>
        <v>0</v>
      </c>
      <c r="E120" s="69"/>
      <c r="F120" s="69"/>
      <c r="G120" s="69"/>
      <c r="H120" s="71">
        <f t="shared" si="4"/>
        <v>0</v>
      </c>
      <c r="I120" s="71">
        <f t="shared" si="5"/>
        <v>0</v>
      </c>
      <c r="J120" s="69">
        <f t="shared" si="6"/>
        <v>0</v>
      </c>
    </row>
    <row r="121" ht="1.75" customHeight="1" spans="1:10">
      <c r="A121" s="68"/>
      <c r="B121" s="69"/>
      <c r="C121" s="70"/>
      <c r="D121" s="71">
        <f>'3-2-26'!I120</f>
        <v>0</v>
      </c>
      <c r="E121" s="69"/>
      <c r="F121" s="69"/>
      <c r="G121" s="69"/>
      <c r="H121" s="71">
        <f t="shared" si="4"/>
        <v>0</v>
      </c>
      <c r="I121" s="71">
        <f t="shared" si="5"/>
        <v>0</v>
      </c>
      <c r="J121" s="69">
        <f t="shared" si="6"/>
        <v>0</v>
      </c>
    </row>
    <row r="122" ht="1.75" customHeight="1" spans="1:10">
      <c r="A122" s="68"/>
      <c r="B122" s="69"/>
      <c r="C122" s="70"/>
      <c r="D122" s="71">
        <f>'3-2-26'!I121</f>
        <v>0</v>
      </c>
      <c r="E122" s="69"/>
      <c r="F122" s="69"/>
      <c r="G122" s="69"/>
      <c r="H122" s="71">
        <f t="shared" si="4"/>
        <v>0</v>
      </c>
      <c r="I122" s="71">
        <f t="shared" si="5"/>
        <v>0</v>
      </c>
      <c r="J122" s="69">
        <f t="shared" si="6"/>
        <v>0</v>
      </c>
    </row>
    <row r="123" ht="1.75" customHeight="1" spans="1:10">
      <c r="A123" s="68"/>
      <c r="B123" s="69"/>
      <c r="C123" s="70"/>
      <c r="D123" s="71">
        <f>'3-2-26'!I122</f>
        <v>0</v>
      </c>
      <c r="E123" s="69"/>
      <c r="F123" s="69"/>
      <c r="G123" s="69"/>
      <c r="H123" s="71">
        <f t="shared" si="4"/>
        <v>0</v>
      </c>
      <c r="I123" s="71">
        <f t="shared" si="5"/>
        <v>0</v>
      </c>
      <c r="J123" s="69">
        <f t="shared" si="6"/>
        <v>0</v>
      </c>
    </row>
    <row r="124" ht="1.75" customHeight="1" spans="1:10">
      <c r="A124" s="68"/>
      <c r="B124" s="69"/>
      <c r="C124" s="70"/>
      <c r="D124" s="71">
        <f>'3-2-26'!I123</f>
        <v>0</v>
      </c>
      <c r="E124" s="69"/>
      <c r="F124" s="69"/>
      <c r="G124" s="69"/>
      <c r="H124" s="71">
        <f t="shared" si="4"/>
        <v>0</v>
      </c>
      <c r="I124" s="71">
        <f t="shared" si="5"/>
        <v>0</v>
      </c>
      <c r="J124" s="69">
        <f t="shared" si="6"/>
        <v>0</v>
      </c>
    </row>
    <row r="125" ht="1.75" customHeight="1" spans="1:10">
      <c r="A125" s="68"/>
      <c r="B125" s="69"/>
      <c r="C125" s="70"/>
      <c r="D125" s="71">
        <f>'3-2-26'!I124</f>
        <v>0</v>
      </c>
      <c r="E125" s="69"/>
      <c r="F125" s="69"/>
      <c r="G125" s="69"/>
      <c r="H125" s="71">
        <f t="shared" si="4"/>
        <v>0</v>
      </c>
      <c r="I125" s="71">
        <f t="shared" si="5"/>
        <v>0</v>
      </c>
      <c r="J125" s="69">
        <f t="shared" si="6"/>
        <v>0</v>
      </c>
    </row>
    <row r="126" ht="1.75" customHeight="1" spans="1:10">
      <c r="A126" s="68"/>
      <c r="B126" s="69"/>
      <c r="C126" s="70"/>
      <c r="D126" s="71">
        <f>'3-2-26'!I125</f>
        <v>0</v>
      </c>
      <c r="E126" s="69"/>
      <c r="F126" s="69"/>
      <c r="G126" s="69"/>
      <c r="H126" s="71">
        <f t="shared" si="4"/>
        <v>0</v>
      </c>
      <c r="I126" s="71">
        <f t="shared" si="5"/>
        <v>0</v>
      </c>
      <c r="J126" s="69">
        <f t="shared" si="6"/>
        <v>0</v>
      </c>
    </row>
    <row r="127" ht="1.75" customHeight="1" spans="1:10">
      <c r="A127" s="68"/>
      <c r="B127" s="69"/>
      <c r="C127" s="70"/>
      <c r="D127" s="71">
        <f>'3-2-26'!I126</f>
        <v>0</v>
      </c>
      <c r="E127" s="69"/>
      <c r="F127" s="69"/>
      <c r="G127" s="69"/>
      <c r="H127" s="71">
        <f t="shared" si="4"/>
        <v>0</v>
      </c>
      <c r="I127" s="71">
        <f t="shared" si="5"/>
        <v>0</v>
      </c>
      <c r="J127" s="69">
        <f t="shared" si="6"/>
        <v>0</v>
      </c>
    </row>
    <row r="128" ht="1.75" customHeight="1" spans="1:10">
      <c r="A128" s="68"/>
      <c r="B128" s="69"/>
      <c r="C128" s="70"/>
      <c r="D128" s="71">
        <f>'3-2-26'!I127</f>
        <v>0</v>
      </c>
      <c r="E128" s="69"/>
      <c r="F128" s="69"/>
      <c r="G128" s="69"/>
      <c r="H128" s="71">
        <f t="shared" si="4"/>
        <v>0</v>
      </c>
      <c r="I128" s="71">
        <f t="shared" si="5"/>
        <v>0</v>
      </c>
      <c r="J128" s="69">
        <f t="shared" si="6"/>
        <v>0</v>
      </c>
    </row>
    <row r="129" ht="1.75" customHeight="1" spans="1:10">
      <c r="A129" s="68"/>
      <c r="B129" s="69"/>
      <c r="C129" s="70"/>
      <c r="D129" s="71">
        <f>'3-2-26'!I128</f>
        <v>0</v>
      </c>
      <c r="E129" s="69"/>
      <c r="F129" s="69"/>
      <c r="G129" s="69"/>
      <c r="H129" s="71">
        <f t="shared" si="4"/>
        <v>0</v>
      </c>
      <c r="I129" s="71">
        <f t="shared" si="5"/>
        <v>0</v>
      </c>
      <c r="J129" s="69">
        <f t="shared" si="6"/>
        <v>0</v>
      </c>
    </row>
    <row r="130" ht="1.75" customHeight="1" spans="1:10">
      <c r="A130" s="68"/>
      <c r="B130" s="69"/>
      <c r="C130" s="70"/>
      <c r="D130" s="71">
        <f>'3-2-26'!I129</f>
        <v>0</v>
      </c>
      <c r="E130" s="69"/>
      <c r="F130" s="69"/>
      <c r="G130" s="69"/>
      <c r="H130" s="71">
        <f t="shared" si="4"/>
        <v>0</v>
      </c>
      <c r="I130" s="71">
        <f t="shared" si="5"/>
        <v>0</v>
      </c>
      <c r="J130" s="69">
        <f t="shared" si="6"/>
        <v>0</v>
      </c>
    </row>
    <row r="131" ht="1.75" customHeight="1" spans="1:10">
      <c r="A131" s="68"/>
      <c r="B131" s="69"/>
      <c r="C131" s="70"/>
      <c r="D131" s="71">
        <f>'3-2-26'!I130</f>
        <v>0</v>
      </c>
      <c r="E131" s="69"/>
      <c r="F131" s="69"/>
      <c r="G131" s="69"/>
      <c r="H131" s="71">
        <f t="shared" si="4"/>
        <v>0</v>
      </c>
      <c r="I131" s="71">
        <f t="shared" si="5"/>
        <v>0</v>
      </c>
      <c r="J131" s="69">
        <f t="shared" si="6"/>
        <v>0</v>
      </c>
    </row>
    <row r="132" ht="1.75" customHeight="1" spans="1:10">
      <c r="A132" s="68"/>
      <c r="B132" s="69"/>
      <c r="C132" s="70"/>
      <c r="D132" s="71">
        <f>'3-2-26'!I131</f>
        <v>0</v>
      </c>
      <c r="E132" s="69"/>
      <c r="F132" s="69"/>
      <c r="G132" s="69"/>
      <c r="H132" s="71">
        <f t="shared" si="4"/>
        <v>0</v>
      </c>
      <c r="I132" s="71">
        <f t="shared" si="5"/>
        <v>0</v>
      </c>
      <c r="J132" s="69">
        <f t="shared" si="6"/>
        <v>0</v>
      </c>
    </row>
    <row r="133" ht="1.75" customHeight="1" spans="1:10">
      <c r="A133" s="68"/>
      <c r="B133" s="69"/>
      <c r="C133" s="70"/>
      <c r="D133" s="71">
        <f>'3-2-26'!I132</f>
        <v>0</v>
      </c>
      <c r="E133" s="69"/>
      <c r="F133" s="69"/>
      <c r="G133" s="69"/>
      <c r="H133" s="71">
        <f t="shared" si="4"/>
        <v>0</v>
      </c>
      <c r="I133" s="71">
        <f t="shared" si="5"/>
        <v>0</v>
      </c>
      <c r="J133" s="69">
        <f t="shared" si="6"/>
        <v>0</v>
      </c>
    </row>
    <row r="134" ht="1.75" customHeight="1" spans="1:10">
      <c r="A134" s="68"/>
      <c r="B134" s="69"/>
      <c r="C134" s="70"/>
      <c r="D134" s="71">
        <f>'3-2-26'!I133</f>
        <v>0</v>
      </c>
      <c r="E134" s="69"/>
      <c r="F134" s="69"/>
      <c r="G134" s="69"/>
      <c r="H134" s="71">
        <f t="shared" si="4"/>
        <v>0</v>
      </c>
      <c r="I134" s="71">
        <f t="shared" si="5"/>
        <v>0</v>
      </c>
      <c r="J134" s="69">
        <f t="shared" si="6"/>
        <v>0</v>
      </c>
    </row>
    <row r="135" ht="1.75" customHeight="1" spans="1:10">
      <c r="A135" s="68"/>
      <c r="B135" s="69"/>
      <c r="C135" s="70"/>
      <c r="D135" s="71">
        <f>'3-2-26'!I134</f>
        <v>0</v>
      </c>
      <c r="E135" s="69"/>
      <c r="F135" s="69"/>
      <c r="G135" s="69"/>
      <c r="H135" s="71">
        <f t="shared" si="4"/>
        <v>0</v>
      </c>
      <c r="I135" s="71">
        <f t="shared" si="5"/>
        <v>0</v>
      </c>
      <c r="J135" s="69">
        <f t="shared" si="6"/>
        <v>0</v>
      </c>
    </row>
    <row r="136" ht="1.75" customHeight="1" spans="1:10">
      <c r="A136" s="68"/>
      <c r="B136" s="69"/>
      <c r="C136" s="70"/>
      <c r="D136" s="71">
        <f>'3-2-26'!I135</f>
        <v>0</v>
      </c>
      <c r="E136" s="69"/>
      <c r="F136" s="69"/>
      <c r="G136" s="69"/>
      <c r="H136" s="71">
        <f t="shared" si="4"/>
        <v>0</v>
      </c>
      <c r="I136" s="71">
        <f t="shared" si="5"/>
        <v>0</v>
      </c>
      <c r="J136" s="69">
        <f t="shared" si="6"/>
        <v>0</v>
      </c>
    </row>
    <row r="137" ht="1.75" customHeight="1" spans="1:10">
      <c r="A137" s="68"/>
      <c r="B137" s="69"/>
      <c r="C137" s="70"/>
      <c r="D137" s="71">
        <f>'3-2-26'!I136</f>
        <v>0</v>
      </c>
      <c r="E137" s="69"/>
      <c r="F137" s="69"/>
      <c r="G137" s="69"/>
      <c r="H137" s="71">
        <f t="shared" si="4"/>
        <v>0</v>
      </c>
      <c r="I137" s="71">
        <f t="shared" si="5"/>
        <v>0</v>
      </c>
      <c r="J137" s="69">
        <f t="shared" si="6"/>
        <v>0</v>
      </c>
    </row>
    <row r="138" ht="1.75" customHeight="1" spans="1:10">
      <c r="A138" s="68"/>
      <c r="B138" s="69"/>
      <c r="C138" s="70"/>
      <c r="D138" s="71">
        <f>'3-2-26'!I137</f>
        <v>0</v>
      </c>
      <c r="E138" s="69"/>
      <c r="F138" s="69"/>
      <c r="G138" s="69"/>
      <c r="H138" s="71">
        <f t="shared" ref="H138:H187" si="7">SUM(F138:G138)</f>
        <v>0</v>
      </c>
      <c r="I138" s="71">
        <f t="shared" si="5"/>
        <v>0</v>
      </c>
      <c r="J138" s="69">
        <f t="shared" ref="J138:J187" si="8">1/10*G138</f>
        <v>0</v>
      </c>
    </row>
    <row r="139" ht="1.75" customHeight="1" spans="1:10">
      <c r="A139" s="68"/>
      <c r="B139" s="69"/>
      <c r="C139" s="70"/>
      <c r="D139" s="71">
        <f>'3-2-26'!I138</f>
        <v>0</v>
      </c>
      <c r="E139" s="69"/>
      <c r="F139" s="69"/>
      <c r="G139" s="69"/>
      <c r="H139" s="71">
        <f t="shared" si="7"/>
        <v>0</v>
      </c>
      <c r="I139" s="71">
        <f t="shared" si="5"/>
        <v>0</v>
      </c>
      <c r="J139" s="69">
        <f t="shared" si="8"/>
        <v>0</v>
      </c>
    </row>
    <row r="140" ht="1.75" customHeight="1" spans="1:10">
      <c r="A140" s="68"/>
      <c r="B140" s="69"/>
      <c r="C140" s="70"/>
      <c r="D140" s="71">
        <f>'3-2-26'!I139</f>
        <v>0</v>
      </c>
      <c r="E140" s="69"/>
      <c r="F140" s="69"/>
      <c r="G140" s="69"/>
      <c r="H140" s="71">
        <f t="shared" si="7"/>
        <v>0</v>
      </c>
      <c r="I140" s="71">
        <f t="shared" si="5"/>
        <v>0</v>
      </c>
      <c r="J140" s="69">
        <f t="shared" si="8"/>
        <v>0</v>
      </c>
    </row>
    <row r="141" ht="1.75" customHeight="1" spans="1:10">
      <c r="A141" s="68"/>
      <c r="B141" s="69"/>
      <c r="C141" s="70"/>
      <c r="D141" s="71">
        <f>'3-2-26'!I140</f>
        <v>0</v>
      </c>
      <c r="E141" s="69"/>
      <c r="F141" s="69"/>
      <c r="G141" s="69"/>
      <c r="H141" s="71">
        <f t="shared" si="7"/>
        <v>0</v>
      </c>
      <c r="I141" s="71">
        <f t="shared" si="5"/>
        <v>0</v>
      </c>
      <c r="J141" s="69">
        <f t="shared" si="8"/>
        <v>0</v>
      </c>
    </row>
    <row r="142" ht="1.75" customHeight="1" spans="1:10">
      <c r="A142" s="68"/>
      <c r="B142" s="69"/>
      <c r="C142" s="70"/>
      <c r="D142" s="71">
        <f>'3-2-26'!I141</f>
        <v>0</v>
      </c>
      <c r="E142" s="69"/>
      <c r="F142" s="69"/>
      <c r="G142" s="69"/>
      <c r="H142" s="71">
        <f t="shared" si="7"/>
        <v>0</v>
      </c>
      <c r="I142" s="71">
        <f t="shared" si="5"/>
        <v>0</v>
      </c>
      <c r="J142" s="69">
        <f t="shared" si="8"/>
        <v>0</v>
      </c>
    </row>
    <row r="143" ht="1.75" customHeight="1" spans="1:10">
      <c r="A143" s="68"/>
      <c r="B143" s="69"/>
      <c r="C143" s="70"/>
      <c r="D143" s="71">
        <f>'3-2-26'!I142</f>
        <v>0</v>
      </c>
      <c r="E143" s="69"/>
      <c r="F143" s="69"/>
      <c r="G143" s="69"/>
      <c r="H143" s="71">
        <f t="shared" si="7"/>
        <v>0</v>
      </c>
      <c r="I143" s="71">
        <f t="shared" si="5"/>
        <v>0</v>
      </c>
      <c r="J143" s="69">
        <f t="shared" si="8"/>
        <v>0</v>
      </c>
    </row>
    <row r="144" ht="1.75" customHeight="1" spans="1:10">
      <c r="A144" s="68"/>
      <c r="B144" s="69"/>
      <c r="C144" s="70"/>
      <c r="D144" s="71">
        <f>'3-2-26'!I143</f>
        <v>0</v>
      </c>
      <c r="E144" s="69"/>
      <c r="F144" s="69"/>
      <c r="G144" s="69"/>
      <c r="H144" s="71">
        <f t="shared" si="7"/>
        <v>0</v>
      </c>
      <c r="I144" s="71">
        <f t="shared" si="5"/>
        <v>0</v>
      </c>
      <c r="J144" s="69">
        <f t="shared" si="8"/>
        <v>0</v>
      </c>
    </row>
    <row r="145" ht="1.75" customHeight="1" spans="1:10">
      <c r="A145" s="68"/>
      <c r="B145" s="69"/>
      <c r="C145" s="70"/>
      <c r="D145" s="71">
        <f>'3-2-26'!I144</f>
        <v>0</v>
      </c>
      <c r="E145" s="69"/>
      <c r="F145" s="69"/>
      <c r="G145" s="69"/>
      <c r="H145" s="71">
        <f t="shared" si="7"/>
        <v>0</v>
      </c>
      <c r="I145" s="71">
        <f t="shared" si="5"/>
        <v>0</v>
      </c>
      <c r="J145" s="69">
        <f t="shared" si="8"/>
        <v>0</v>
      </c>
    </row>
    <row r="146" ht="1.75" customHeight="1" spans="1:10">
      <c r="A146" s="68"/>
      <c r="B146" s="69"/>
      <c r="C146" s="70"/>
      <c r="D146" s="71">
        <f>'3-2-26'!I145</f>
        <v>0</v>
      </c>
      <c r="E146" s="69"/>
      <c r="F146" s="69"/>
      <c r="G146" s="69"/>
      <c r="H146" s="71">
        <f t="shared" si="7"/>
        <v>0</v>
      </c>
      <c r="I146" s="71">
        <f t="shared" si="5"/>
        <v>0</v>
      </c>
      <c r="J146" s="69">
        <f t="shared" si="8"/>
        <v>0</v>
      </c>
    </row>
    <row r="147" ht="1.75" customHeight="1" spans="1:10">
      <c r="A147" s="68"/>
      <c r="B147" s="69"/>
      <c r="C147" s="70"/>
      <c r="D147" s="71">
        <f>'3-2-26'!I146</f>
        <v>0</v>
      </c>
      <c r="E147" s="69"/>
      <c r="F147" s="69"/>
      <c r="G147" s="69"/>
      <c r="H147" s="71">
        <f t="shared" si="7"/>
        <v>0</v>
      </c>
      <c r="I147" s="71">
        <f t="shared" si="5"/>
        <v>0</v>
      </c>
      <c r="J147" s="69">
        <f t="shared" si="8"/>
        <v>0</v>
      </c>
    </row>
    <row r="148" ht="1.75" customHeight="1" spans="1:10">
      <c r="A148" s="68"/>
      <c r="B148" s="69"/>
      <c r="C148" s="70"/>
      <c r="D148" s="71">
        <f>'3-2-26'!I147</f>
        <v>0</v>
      </c>
      <c r="E148" s="69"/>
      <c r="F148" s="69"/>
      <c r="G148" s="69"/>
      <c r="H148" s="71">
        <f t="shared" si="7"/>
        <v>0</v>
      </c>
      <c r="I148" s="71">
        <f t="shared" si="5"/>
        <v>0</v>
      </c>
      <c r="J148" s="69">
        <f t="shared" si="8"/>
        <v>0</v>
      </c>
    </row>
    <row r="149" ht="1.75" customHeight="1" spans="1:10">
      <c r="A149" s="68"/>
      <c r="B149" s="69"/>
      <c r="C149" s="70"/>
      <c r="D149" s="71">
        <f>'3-2-26'!I148</f>
        <v>0</v>
      </c>
      <c r="E149" s="69"/>
      <c r="F149" s="69"/>
      <c r="G149" s="69"/>
      <c r="H149" s="71">
        <f t="shared" si="7"/>
        <v>0</v>
      </c>
      <c r="I149" s="71">
        <f t="shared" si="5"/>
        <v>0</v>
      </c>
      <c r="J149" s="69">
        <f t="shared" si="8"/>
        <v>0</v>
      </c>
    </row>
    <row r="150" ht="1.75" customHeight="1" spans="1:10">
      <c r="A150" s="68"/>
      <c r="B150" s="69"/>
      <c r="C150" s="70"/>
      <c r="D150" s="71">
        <f>'3-2-26'!I149</f>
        <v>0</v>
      </c>
      <c r="E150" s="69"/>
      <c r="F150" s="69"/>
      <c r="G150" s="69"/>
      <c r="H150" s="71">
        <f t="shared" si="7"/>
        <v>0</v>
      </c>
      <c r="I150" s="71">
        <f t="shared" si="5"/>
        <v>0</v>
      </c>
      <c r="J150" s="69">
        <f t="shared" si="8"/>
        <v>0</v>
      </c>
    </row>
    <row r="151" ht="1.75" customHeight="1" spans="1:10">
      <c r="A151" s="68"/>
      <c r="B151" s="69"/>
      <c r="C151" s="70"/>
      <c r="D151" s="71">
        <f>'3-2-26'!I150</f>
        <v>0</v>
      </c>
      <c r="E151" s="69"/>
      <c r="F151" s="69"/>
      <c r="G151" s="69"/>
      <c r="H151" s="71">
        <f t="shared" si="7"/>
        <v>0</v>
      </c>
      <c r="I151" s="71">
        <f t="shared" si="5"/>
        <v>0</v>
      </c>
      <c r="J151" s="69">
        <f t="shared" si="8"/>
        <v>0</v>
      </c>
    </row>
    <row r="152" ht="1.75" customHeight="1" spans="1:10">
      <c r="A152" s="68"/>
      <c r="B152" s="69"/>
      <c r="C152" s="70"/>
      <c r="D152" s="71">
        <f>'3-2-26'!I151</f>
        <v>0</v>
      </c>
      <c r="E152" s="69"/>
      <c r="F152" s="69"/>
      <c r="G152" s="69"/>
      <c r="H152" s="71">
        <f t="shared" si="7"/>
        <v>0</v>
      </c>
      <c r="I152" s="71">
        <f t="shared" si="5"/>
        <v>0</v>
      </c>
      <c r="J152" s="69">
        <f t="shared" si="8"/>
        <v>0</v>
      </c>
    </row>
    <row r="153" ht="1.75" customHeight="1" spans="1:10">
      <c r="A153" s="68"/>
      <c r="B153" s="69"/>
      <c r="C153" s="70"/>
      <c r="D153" s="71">
        <f>'3-2-26'!I152</f>
        <v>0</v>
      </c>
      <c r="E153" s="69"/>
      <c r="F153" s="69"/>
      <c r="G153" s="69"/>
      <c r="H153" s="71">
        <f t="shared" si="7"/>
        <v>0</v>
      </c>
      <c r="I153" s="71">
        <f t="shared" si="5"/>
        <v>0</v>
      </c>
      <c r="J153" s="69">
        <f t="shared" si="8"/>
        <v>0</v>
      </c>
    </row>
    <row r="154" ht="1.75" customHeight="1" spans="1:10">
      <c r="A154" s="68"/>
      <c r="B154" s="69"/>
      <c r="C154" s="70"/>
      <c r="D154" s="71">
        <f>'3-2-26'!I153</f>
        <v>0</v>
      </c>
      <c r="E154" s="69"/>
      <c r="F154" s="69"/>
      <c r="G154" s="69"/>
      <c r="H154" s="71">
        <f t="shared" si="7"/>
        <v>0</v>
      </c>
      <c r="I154" s="71">
        <f t="shared" si="5"/>
        <v>0</v>
      </c>
      <c r="J154" s="69">
        <f t="shared" si="8"/>
        <v>0</v>
      </c>
    </row>
    <row r="155" ht="1.75" customHeight="1" spans="1:10">
      <c r="A155" s="68"/>
      <c r="B155" s="69"/>
      <c r="C155" s="70"/>
      <c r="D155" s="71">
        <f>'3-2-26'!I154</f>
        <v>0</v>
      </c>
      <c r="E155" s="69"/>
      <c r="F155" s="69"/>
      <c r="G155" s="69"/>
      <c r="H155" s="71">
        <f t="shared" si="7"/>
        <v>0</v>
      </c>
      <c r="I155" s="71">
        <f t="shared" si="5"/>
        <v>0</v>
      </c>
      <c r="J155" s="69">
        <f t="shared" si="8"/>
        <v>0</v>
      </c>
    </row>
    <row r="156" ht="1.75" customHeight="1" spans="1:10">
      <c r="A156" s="68"/>
      <c r="B156" s="69"/>
      <c r="C156" s="70"/>
      <c r="D156" s="71">
        <f>'3-2-26'!I155</f>
        <v>0</v>
      </c>
      <c r="E156" s="69"/>
      <c r="F156" s="69"/>
      <c r="G156" s="69"/>
      <c r="H156" s="71">
        <f t="shared" si="7"/>
        <v>0</v>
      </c>
      <c r="I156" s="71">
        <f t="shared" si="5"/>
        <v>0</v>
      </c>
      <c r="J156" s="69">
        <f t="shared" si="8"/>
        <v>0</v>
      </c>
    </row>
    <row r="157" ht="1.75" customHeight="1" spans="1:10">
      <c r="A157" s="68"/>
      <c r="B157" s="69"/>
      <c r="C157" s="70"/>
      <c r="D157" s="71">
        <f>'3-2-26'!I156</f>
        <v>0</v>
      </c>
      <c r="E157" s="69"/>
      <c r="F157" s="69"/>
      <c r="G157" s="69"/>
      <c r="H157" s="71">
        <f t="shared" si="7"/>
        <v>0</v>
      </c>
      <c r="I157" s="71">
        <f t="shared" si="5"/>
        <v>0</v>
      </c>
      <c r="J157" s="69">
        <f t="shared" si="8"/>
        <v>0</v>
      </c>
    </row>
    <row r="158" ht="1.75" customHeight="1" spans="1:10">
      <c r="A158" s="68"/>
      <c r="B158" s="69"/>
      <c r="C158" s="70"/>
      <c r="D158" s="71">
        <f>'3-2-26'!I157</f>
        <v>0</v>
      </c>
      <c r="E158" s="69"/>
      <c r="F158" s="69"/>
      <c r="G158" s="69"/>
      <c r="H158" s="71">
        <f t="shared" si="7"/>
        <v>0</v>
      </c>
      <c r="I158" s="71">
        <f t="shared" si="5"/>
        <v>0</v>
      </c>
      <c r="J158" s="69">
        <f t="shared" si="8"/>
        <v>0</v>
      </c>
    </row>
    <row r="159" ht="1.75" customHeight="1" spans="1:10">
      <c r="A159" s="68"/>
      <c r="B159" s="69"/>
      <c r="C159" s="70"/>
      <c r="D159" s="71">
        <f>'3-2-26'!I158</f>
        <v>0</v>
      </c>
      <c r="E159" s="69"/>
      <c r="F159" s="69"/>
      <c r="G159" s="69"/>
      <c r="H159" s="71">
        <f t="shared" si="7"/>
        <v>0</v>
      </c>
      <c r="I159" s="71">
        <f t="shared" si="5"/>
        <v>0</v>
      </c>
      <c r="J159" s="69">
        <f t="shared" si="8"/>
        <v>0</v>
      </c>
    </row>
    <row r="160" ht="1.75" customHeight="1" spans="1:10">
      <c r="A160" s="68"/>
      <c r="B160" s="69"/>
      <c r="C160" s="70"/>
      <c r="D160" s="71">
        <f>'3-2-26'!I159</f>
        <v>0</v>
      </c>
      <c r="E160" s="69"/>
      <c r="F160" s="69"/>
      <c r="G160" s="69"/>
      <c r="H160" s="71">
        <f t="shared" si="7"/>
        <v>0</v>
      </c>
      <c r="I160" s="71">
        <f t="shared" si="5"/>
        <v>0</v>
      </c>
      <c r="J160" s="69">
        <f t="shared" si="8"/>
        <v>0</v>
      </c>
    </row>
    <row r="161" ht="1.75" customHeight="1" spans="1:10">
      <c r="A161" s="68"/>
      <c r="B161" s="69"/>
      <c r="C161" s="70"/>
      <c r="D161" s="71">
        <f>'3-2-26'!I160</f>
        <v>0</v>
      </c>
      <c r="E161" s="69"/>
      <c r="F161" s="69"/>
      <c r="G161" s="69"/>
      <c r="H161" s="71">
        <f t="shared" si="7"/>
        <v>0</v>
      </c>
      <c r="I161" s="71">
        <f t="shared" si="5"/>
        <v>0</v>
      </c>
      <c r="J161" s="69">
        <f t="shared" si="8"/>
        <v>0</v>
      </c>
    </row>
    <row r="162" ht="1.75" customHeight="1" spans="1:10">
      <c r="A162" s="68"/>
      <c r="B162" s="69"/>
      <c r="C162" s="70"/>
      <c r="D162" s="71">
        <f>'3-2-26'!I161</f>
        <v>0</v>
      </c>
      <c r="E162" s="69"/>
      <c r="F162" s="69"/>
      <c r="G162" s="69"/>
      <c r="H162" s="71">
        <f t="shared" si="7"/>
        <v>0</v>
      </c>
      <c r="I162" s="71">
        <f t="shared" si="5"/>
        <v>0</v>
      </c>
      <c r="J162" s="69">
        <f t="shared" si="8"/>
        <v>0</v>
      </c>
    </row>
    <row r="163" ht="1.75" customHeight="1" spans="1:10">
      <c r="A163" s="68"/>
      <c r="B163" s="69"/>
      <c r="C163" s="70"/>
      <c r="D163" s="71">
        <f>'3-2-26'!I162</f>
        <v>0</v>
      </c>
      <c r="E163" s="69"/>
      <c r="F163" s="69"/>
      <c r="G163" s="69"/>
      <c r="H163" s="71">
        <f t="shared" si="7"/>
        <v>0</v>
      </c>
      <c r="I163" s="71">
        <f t="shared" si="5"/>
        <v>0</v>
      </c>
      <c r="J163" s="69">
        <f t="shared" si="8"/>
        <v>0</v>
      </c>
    </row>
    <row r="164" ht="1.75" customHeight="1" spans="1:10">
      <c r="A164" s="68"/>
      <c r="B164" s="69"/>
      <c r="C164" s="70"/>
      <c r="D164" s="71">
        <f>'3-2-26'!I163</f>
        <v>0</v>
      </c>
      <c r="E164" s="69"/>
      <c r="F164" s="69"/>
      <c r="G164" s="69"/>
      <c r="H164" s="71">
        <f t="shared" si="7"/>
        <v>0</v>
      </c>
      <c r="I164" s="71">
        <f t="shared" si="5"/>
        <v>0</v>
      </c>
      <c r="J164" s="69">
        <f t="shared" si="8"/>
        <v>0</v>
      </c>
    </row>
    <row r="165" ht="1.75" customHeight="1" spans="1:10">
      <c r="A165" s="68"/>
      <c r="B165" s="69"/>
      <c r="C165" s="70"/>
      <c r="D165" s="71">
        <f>'3-2-26'!I164</f>
        <v>0</v>
      </c>
      <c r="E165" s="69"/>
      <c r="F165" s="69"/>
      <c r="G165" s="69"/>
      <c r="H165" s="71">
        <f t="shared" si="7"/>
        <v>0</v>
      </c>
      <c r="I165" s="71">
        <f t="shared" si="5"/>
        <v>0</v>
      </c>
      <c r="J165" s="69">
        <f t="shared" si="8"/>
        <v>0</v>
      </c>
    </row>
    <row r="166" ht="1.75" customHeight="1" spans="1:10">
      <c r="A166" s="68"/>
      <c r="B166" s="69"/>
      <c r="C166" s="70"/>
      <c r="D166" s="71">
        <f>'3-2-26'!I165</f>
        <v>0</v>
      </c>
      <c r="E166" s="69"/>
      <c r="F166" s="69"/>
      <c r="G166" s="69"/>
      <c r="H166" s="71">
        <f t="shared" si="7"/>
        <v>0</v>
      </c>
      <c r="I166" s="71">
        <f t="shared" si="5"/>
        <v>0</v>
      </c>
      <c r="J166" s="69">
        <f t="shared" si="8"/>
        <v>0</v>
      </c>
    </row>
    <row r="167" ht="1.75" customHeight="1" spans="1:10">
      <c r="A167" s="68"/>
      <c r="B167" s="69"/>
      <c r="C167" s="70"/>
      <c r="D167" s="71">
        <f>'3-2-26'!I166</f>
        <v>0</v>
      </c>
      <c r="E167" s="69"/>
      <c r="F167" s="69"/>
      <c r="G167" s="69"/>
      <c r="H167" s="71">
        <f t="shared" si="7"/>
        <v>0</v>
      </c>
      <c r="I167" s="71">
        <f t="shared" si="5"/>
        <v>0</v>
      </c>
      <c r="J167" s="69">
        <f t="shared" si="8"/>
        <v>0</v>
      </c>
    </row>
    <row r="168" ht="1.75" customHeight="1" spans="1:10">
      <c r="A168" s="68"/>
      <c r="B168" s="69"/>
      <c r="C168" s="70"/>
      <c r="D168" s="71">
        <f>'3-2-26'!I167</f>
        <v>0</v>
      </c>
      <c r="E168" s="69"/>
      <c r="F168" s="69"/>
      <c r="G168" s="69"/>
      <c r="H168" s="71">
        <f t="shared" si="7"/>
        <v>0</v>
      </c>
      <c r="I168" s="71">
        <f t="shared" si="5"/>
        <v>0</v>
      </c>
      <c r="J168" s="69">
        <f t="shared" si="8"/>
        <v>0</v>
      </c>
    </row>
    <row r="169" ht="1.75" customHeight="1" spans="1:10">
      <c r="A169" s="68"/>
      <c r="B169" s="69"/>
      <c r="C169" s="70"/>
      <c r="D169" s="71">
        <f>'3-2-26'!I168</f>
        <v>0</v>
      </c>
      <c r="E169" s="69"/>
      <c r="F169" s="69"/>
      <c r="G169" s="69"/>
      <c r="H169" s="71">
        <f t="shared" si="7"/>
        <v>0</v>
      </c>
      <c r="I169" s="71">
        <f t="shared" si="5"/>
        <v>0</v>
      </c>
      <c r="J169" s="69">
        <f t="shared" si="8"/>
        <v>0</v>
      </c>
    </row>
    <row r="170" ht="1.75" customHeight="1" spans="1:10">
      <c r="A170" s="68"/>
      <c r="B170" s="69"/>
      <c r="C170" s="70"/>
      <c r="D170" s="71">
        <f>'3-2-26'!I169</f>
        <v>0</v>
      </c>
      <c r="E170" s="69"/>
      <c r="F170" s="69"/>
      <c r="G170" s="69"/>
      <c r="H170" s="71">
        <f t="shared" si="7"/>
        <v>0</v>
      </c>
      <c r="I170" s="71">
        <f t="shared" si="5"/>
        <v>0</v>
      </c>
      <c r="J170" s="69">
        <f t="shared" si="8"/>
        <v>0</v>
      </c>
    </row>
    <row r="171" ht="1.75" customHeight="1" spans="1:10">
      <c r="A171" s="68"/>
      <c r="B171" s="69"/>
      <c r="C171" s="70"/>
      <c r="D171" s="71">
        <f>'3-2-26'!I170</f>
        <v>0</v>
      </c>
      <c r="E171" s="69"/>
      <c r="F171" s="69"/>
      <c r="G171" s="69"/>
      <c r="H171" s="71">
        <f t="shared" si="7"/>
        <v>0</v>
      </c>
      <c r="I171" s="71">
        <f t="shared" si="5"/>
        <v>0</v>
      </c>
      <c r="J171" s="69">
        <f t="shared" si="8"/>
        <v>0</v>
      </c>
    </row>
    <row r="172" ht="1.75" customHeight="1" spans="1:10">
      <c r="A172" s="68"/>
      <c r="B172" s="69"/>
      <c r="C172" s="70"/>
      <c r="D172" s="71">
        <f>'3-2-26'!I171</f>
        <v>0</v>
      </c>
      <c r="E172" s="69"/>
      <c r="F172" s="69"/>
      <c r="G172" s="69"/>
      <c r="H172" s="71">
        <f t="shared" si="7"/>
        <v>0</v>
      </c>
      <c r="I172" s="71">
        <f t="shared" si="5"/>
        <v>0</v>
      </c>
      <c r="J172" s="69">
        <f t="shared" si="8"/>
        <v>0</v>
      </c>
    </row>
    <row r="173" ht="1.75" customHeight="1" spans="1:10">
      <c r="A173" s="68"/>
      <c r="B173" s="69"/>
      <c r="C173" s="70"/>
      <c r="D173" s="71">
        <f>'3-2-26'!I172</f>
        <v>0</v>
      </c>
      <c r="E173" s="69"/>
      <c r="F173" s="69"/>
      <c r="G173" s="69"/>
      <c r="H173" s="71">
        <f t="shared" si="7"/>
        <v>0</v>
      </c>
      <c r="I173" s="71">
        <f t="shared" si="5"/>
        <v>0</v>
      </c>
      <c r="J173" s="69">
        <f t="shared" si="8"/>
        <v>0</v>
      </c>
    </row>
    <row r="174" ht="1.75" customHeight="1" spans="1:10">
      <c r="A174" s="68"/>
      <c r="B174" s="69"/>
      <c r="C174" s="70"/>
      <c r="D174" s="71">
        <f>'3-2-26'!I173</f>
        <v>0</v>
      </c>
      <c r="E174" s="69"/>
      <c r="F174" s="69"/>
      <c r="G174" s="69"/>
      <c r="H174" s="71">
        <f t="shared" si="7"/>
        <v>0</v>
      </c>
      <c r="I174" s="71">
        <f t="shared" si="5"/>
        <v>0</v>
      </c>
      <c r="J174" s="69">
        <f t="shared" si="8"/>
        <v>0</v>
      </c>
    </row>
    <row r="175" ht="1.75" customHeight="1" spans="1:10">
      <c r="A175" s="68"/>
      <c r="B175" s="69"/>
      <c r="C175" s="70"/>
      <c r="D175" s="71">
        <f>'3-2-26'!I174</f>
        <v>0</v>
      </c>
      <c r="E175" s="69"/>
      <c r="F175" s="69"/>
      <c r="G175" s="69"/>
      <c r="H175" s="71">
        <f t="shared" si="7"/>
        <v>0</v>
      </c>
      <c r="I175" s="71">
        <f t="shared" si="5"/>
        <v>0</v>
      </c>
      <c r="J175" s="69">
        <f t="shared" si="8"/>
        <v>0</v>
      </c>
    </row>
    <row r="176" ht="1.75" customHeight="1" spans="1:10">
      <c r="A176" s="68"/>
      <c r="B176" s="69"/>
      <c r="C176" s="70"/>
      <c r="D176" s="71">
        <f>'3-2-26'!I175</f>
        <v>0</v>
      </c>
      <c r="E176" s="69"/>
      <c r="F176" s="69"/>
      <c r="G176" s="69"/>
      <c r="H176" s="71">
        <f t="shared" si="7"/>
        <v>0</v>
      </c>
      <c r="I176" s="71">
        <f t="shared" si="5"/>
        <v>0</v>
      </c>
      <c r="J176" s="69">
        <f t="shared" si="8"/>
        <v>0</v>
      </c>
    </row>
    <row r="177" ht="1.75" customHeight="1" spans="1:11">
      <c r="A177" s="68"/>
      <c r="B177" s="69"/>
      <c r="C177" s="70"/>
      <c r="D177" s="71">
        <f>'3-2-26'!I176</f>
        <v>0</v>
      </c>
      <c r="E177" s="69"/>
      <c r="F177" s="69"/>
      <c r="G177" s="69"/>
      <c r="H177" s="71">
        <f t="shared" si="7"/>
        <v>0</v>
      </c>
      <c r="I177" s="71">
        <f t="shared" si="5"/>
        <v>0</v>
      </c>
      <c r="J177" s="69">
        <f t="shared" si="8"/>
        <v>0</v>
      </c>
    </row>
    <row r="178" ht="1.75" customHeight="1" spans="1:11">
      <c r="A178" s="68"/>
      <c r="B178" s="69"/>
      <c r="C178" s="70"/>
      <c r="D178" s="71">
        <f>'3-2-26'!I177</f>
        <v>0</v>
      </c>
      <c r="E178" s="69"/>
      <c r="F178" s="69"/>
      <c r="G178" s="69"/>
      <c r="H178" s="71">
        <f t="shared" si="7"/>
        <v>0</v>
      </c>
      <c r="I178" s="71">
        <f t="shared" si="5"/>
        <v>0</v>
      </c>
      <c r="J178" s="69">
        <f t="shared" si="8"/>
        <v>0</v>
      </c>
    </row>
    <row r="179" ht="1.75" customHeight="1" spans="1:11">
      <c r="A179" s="68"/>
      <c r="B179" s="69"/>
      <c r="C179" s="70"/>
      <c r="D179" s="71">
        <f>'3-2-26'!I178</f>
        <v>0</v>
      </c>
      <c r="E179" s="69"/>
      <c r="F179" s="69"/>
      <c r="G179" s="69"/>
      <c r="H179" s="71">
        <f t="shared" si="7"/>
        <v>0</v>
      </c>
      <c r="I179" s="71">
        <f t="shared" si="5"/>
        <v>0</v>
      </c>
      <c r="J179" s="69">
        <f t="shared" si="8"/>
        <v>0</v>
      </c>
    </row>
    <row r="180" ht="1.75" customHeight="1" spans="1:11">
      <c r="A180" s="68"/>
      <c r="B180" s="69"/>
      <c r="C180" s="70"/>
      <c r="D180" s="71">
        <f>'3-2-26'!I179</f>
        <v>0</v>
      </c>
      <c r="E180" s="69"/>
      <c r="F180" s="69"/>
      <c r="G180" s="69"/>
      <c r="H180" s="71">
        <f t="shared" si="7"/>
        <v>0</v>
      </c>
      <c r="I180" s="71">
        <f t="shared" si="5"/>
        <v>0</v>
      </c>
      <c r="J180" s="69">
        <f t="shared" si="8"/>
        <v>0</v>
      </c>
    </row>
    <row r="181" ht="1.75" customHeight="1" spans="1:11">
      <c r="A181" s="68"/>
      <c r="B181" s="69"/>
      <c r="C181" s="70"/>
      <c r="D181" s="71">
        <f>'3-2-26'!I180</f>
        <v>0</v>
      </c>
      <c r="E181" s="69"/>
      <c r="F181" s="69"/>
      <c r="G181" s="69"/>
      <c r="H181" s="71">
        <f t="shared" si="7"/>
        <v>0</v>
      </c>
      <c r="I181" s="71">
        <f t="shared" si="5"/>
        <v>0</v>
      </c>
      <c r="J181" s="69">
        <f t="shared" si="8"/>
        <v>0</v>
      </c>
    </row>
    <row r="182" ht="1.75" customHeight="1" spans="1:11">
      <c r="A182" s="68"/>
      <c r="B182" s="69"/>
      <c r="C182" s="70"/>
      <c r="D182" s="71">
        <f>'3-2-26'!I181</f>
        <v>0</v>
      </c>
      <c r="E182" s="69"/>
      <c r="F182" s="69"/>
      <c r="G182" s="69"/>
      <c r="H182" s="71">
        <f t="shared" si="7"/>
        <v>0</v>
      </c>
      <c r="I182" s="71">
        <f t="shared" si="5"/>
        <v>0</v>
      </c>
      <c r="J182" s="69">
        <f t="shared" si="8"/>
        <v>0</v>
      </c>
    </row>
    <row r="183" ht="12.75" customHeight="1" spans="1:11">
      <c r="A183" s="68"/>
      <c r="B183" s="69"/>
      <c r="C183" s="70"/>
      <c r="D183" s="71">
        <f>'3-2-26'!I182</f>
        <v>0</v>
      </c>
      <c r="E183" s="69"/>
      <c r="F183" s="69"/>
      <c r="G183" s="69"/>
      <c r="H183" s="71">
        <f t="shared" si="7"/>
        <v>0</v>
      </c>
      <c r="I183" s="71">
        <f t="shared" si="5"/>
        <v>0</v>
      </c>
      <c r="J183" s="69">
        <f t="shared" si="8"/>
        <v>0</v>
      </c>
    </row>
    <row r="184" ht="12.75" customHeight="1" spans="1:11">
      <c r="A184" s="68"/>
      <c r="B184" s="69"/>
      <c r="C184" s="70"/>
      <c r="D184" s="71">
        <f>'3-2-26'!I183</f>
        <v>0</v>
      </c>
      <c r="E184" s="69"/>
      <c r="F184" s="69"/>
      <c r="G184" s="69"/>
      <c r="H184" s="71">
        <f t="shared" si="7"/>
        <v>0</v>
      </c>
      <c r="I184" s="71">
        <f t="shared" si="5"/>
        <v>0</v>
      </c>
      <c r="J184" s="69">
        <f t="shared" si="8"/>
        <v>0</v>
      </c>
    </row>
    <row r="185" ht="12.75" customHeight="1" spans="1:11">
      <c r="A185" s="68"/>
      <c r="B185" s="69"/>
      <c r="C185" s="70"/>
      <c r="D185" s="71">
        <f>'3-2-26'!I184</f>
        <v>0</v>
      </c>
      <c r="E185" s="69"/>
      <c r="F185" s="69"/>
      <c r="G185" s="69"/>
      <c r="H185" s="71">
        <f t="shared" si="7"/>
        <v>0</v>
      </c>
      <c r="I185" s="71">
        <f t="shared" si="5"/>
        <v>0</v>
      </c>
      <c r="J185" s="69">
        <f t="shared" si="8"/>
        <v>0</v>
      </c>
    </row>
    <row r="186" ht="12.75" customHeight="1" spans="1:11">
      <c r="A186" s="68"/>
      <c r="B186" s="69"/>
      <c r="C186" s="70"/>
      <c r="D186" s="71">
        <f>'3-2-26'!I185</f>
        <v>0</v>
      </c>
      <c r="E186" s="69"/>
      <c r="F186" s="69"/>
      <c r="G186" s="69"/>
      <c r="H186" s="71">
        <f t="shared" si="7"/>
        <v>0</v>
      </c>
      <c r="I186" s="71">
        <f t="shared" si="5"/>
        <v>0</v>
      </c>
      <c r="J186" s="69">
        <f t="shared" si="8"/>
        <v>0</v>
      </c>
    </row>
    <row r="187" ht="12.75" spans="1:11">
      <c r="A187" s="68"/>
      <c r="B187" s="69"/>
      <c r="C187" s="74"/>
      <c r="D187" s="71">
        <f>'3-2-26'!I186</f>
        <v>0</v>
      </c>
      <c r="E187" s="69"/>
      <c r="F187" s="69"/>
      <c r="G187" s="69"/>
      <c r="H187" s="71">
        <f t="shared" si="7"/>
        <v>0</v>
      </c>
      <c r="I187" s="71">
        <f t="shared" si="5"/>
        <v>0</v>
      </c>
      <c r="J187" s="69">
        <f t="shared" si="8"/>
        <v>0</v>
      </c>
    </row>
    <row r="188" ht="11.25" spans="1:11">
      <c r="A188" s="75"/>
      <c r="B188" s="76" t="s">
        <v>124</v>
      </c>
      <c r="C188" s="77"/>
      <c r="D188" s="78">
        <f>SUM(D9:D187)</f>
        <v>440087000</v>
      </c>
      <c r="E188" s="78">
        <f t="shared" ref="E188:J188" si="9">SUM(E9:E187)</f>
        <v>13</v>
      </c>
      <c r="F188" s="78">
        <f t="shared" si="9"/>
        <v>300000</v>
      </c>
      <c r="G188" s="78">
        <f t="shared" si="9"/>
        <v>120000</v>
      </c>
      <c r="H188" s="78">
        <f t="shared" si="9"/>
        <v>420000</v>
      </c>
      <c r="I188" s="78">
        <f t="shared" si="9"/>
        <v>439787000</v>
      </c>
      <c r="J188" s="78">
        <f t="shared" si="9"/>
        <v>12000</v>
      </c>
    </row>
    <row r="189" ht="12.75" spans="1:11">
      <c r="A189" s="80"/>
      <c r="B189" s="80"/>
      <c r="C189" s="81"/>
    </row>
    <row r="190" customHeight="1" spans="1:11">
      <c r="A190" s="82"/>
      <c r="B190" s="80" t="s">
        <v>125</v>
      </c>
      <c r="C190" s="83" t="s">
        <v>126</v>
      </c>
      <c r="D190" s="84"/>
      <c r="K190" s="82"/>
    </row>
    <row r="191" customHeight="1" spans="1:11">
      <c r="A191" s="82"/>
      <c r="B191" s="80" t="s">
        <v>127</v>
      </c>
      <c r="C191" s="83" t="s">
        <v>128</v>
      </c>
      <c r="D191" s="80">
        <f>G188</f>
        <v>120000</v>
      </c>
      <c r="F191" s="129" t="s">
        <v>168</v>
      </c>
      <c r="G191" s="80"/>
      <c r="H191" s="80"/>
      <c r="I191" s="80"/>
      <c r="K191" s="82"/>
    </row>
    <row r="192" customHeight="1" spans="1:11">
      <c r="A192" s="82"/>
      <c r="B192" s="80" t="s">
        <v>130</v>
      </c>
      <c r="C192" s="83" t="s">
        <v>128</v>
      </c>
      <c r="D192" s="80">
        <f>D191/20</f>
        <v>6000</v>
      </c>
      <c r="F192" s="80" t="s">
        <v>131</v>
      </c>
      <c r="G192" s="80"/>
      <c r="H192" s="80"/>
      <c r="I192" s="80"/>
      <c r="K192" s="82"/>
    </row>
    <row r="193" customHeight="1" spans="1:11">
      <c r="A193" s="82"/>
      <c r="B193" s="80" t="s">
        <v>132</v>
      </c>
      <c r="C193" s="83" t="s">
        <v>133</v>
      </c>
      <c r="D193" s="80"/>
      <c r="F193" s="80" t="s">
        <v>134</v>
      </c>
      <c r="G193" s="86"/>
      <c r="H193" s="80" t="s">
        <v>135</v>
      </c>
      <c r="K193" s="82"/>
    </row>
    <row r="194" customHeight="1" spans="1:11">
      <c r="A194" s="82"/>
      <c r="B194" s="80" t="s">
        <v>136</v>
      </c>
      <c r="C194" s="83" t="s">
        <v>128</v>
      </c>
      <c r="D194" s="80">
        <f>11*D192</f>
        <v>66000</v>
      </c>
      <c r="F194" s="80"/>
      <c r="G194" s="86"/>
      <c r="H194" s="80"/>
      <c r="K194" s="82"/>
    </row>
    <row r="195" customHeight="1" spans="1:11">
      <c r="A195" s="82"/>
      <c r="B195" s="80" t="s">
        <v>137</v>
      </c>
      <c r="C195" s="83" t="s">
        <v>128</v>
      </c>
      <c r="D195" s="80">
        <f>1/2*D192</f>
        <v>3000</v>
      </c>
      <c r="F195" s="80"/>
      <c r="G195" s="86"/>
      <c r="H195" s="80"/>
      <c r="K195" s="82"/>
    </row>
    <row r="196" customHeight="1" spans="1:11">
      <c r="A196" s="82"/>
      <c r="B196" s="80" t="s">
        <v>138</v>
      </c>
      <c r="C196" s="83" t="s">
        <v>128</v>
      </c>
      <c r="D196" s="80">
        <f>1/2*D192</f>
        <v>3000</v>
      </c>
      <c r="F196" s="80"/>
      <c r="G196" s="86"/>
      <c r="H196" s="80"/>
      <c r="K196" s="82"/>
    </row>
    <row r="197" customHeight="1" spans="1:11">
      <c r="B197" s="80" t="s">
        <v>139</v>
      </c>
      <c r="C197" s="83" t="s">
        <v>128</v>
      </c>
      <c r="D197" s="80">
        <f>1/2*D192</f>
        <v>3000</v>
      </c>
      <c r="F197" s="80"/>
      <c r="G197" s="86"/>
      <c r="H197" s="80"/>
    </row>
    <row r="198" customHeight="1" spans="1:11">
      <c r="B198" s="80" t="s">
        <v>140</v>
      </c>
      <c r="C198" s="83" t="s">
        <v>128</v>
      </c>
      <c r="D198" s="80">
        <f>1/2*D192</f>
        <v>3000</v>
      </c>
      <c r="F198" s="80" t="s">
        <v>141</v>
      </c>
      <c r="G198" s="86"/>
      <c r="H198" s="80" t="s">
        <v>142</v>
      </c>
    </row>
    <row r="199" customHeight="1" spans="1:11">
      <c r="B199" s="80" t="s">
        <v>10</v>
      </c>
      <c r="C199" s="83" t="s">
        <v>128</v>
      </c>
      <c r="D199" s="80">
        <f>2*D192</f>
        <v>12000</v>
      </c>
      <c r="G199" s="80"/>
      <c r="H199" s="80"/>
      <c r="I199" s="80"/>
    </row>
    <row r="200" customHeight="1" spans="1:11">
      <c r="B200" s="80" t="s">
        <v>143</v>
      </c>
      <c r="C200" s="83" t="s">
        <v>128</v>
      </c>
      <c r="D200" s="80">
        <f>5*D192</f>
        <v>30000</v>
      </c>
    </row>
    <row r="201" customHeight="1" spans="1:11">
      <c r="B201" s="87" t="s">
        <v>124</v>
      </c>
      <c r="C201" s="88" t="s">
        <v>128</v>
      </c>
      <c r="D201" s="87">
        <f>SUM(D194:D200)</f>
        <v>120000</v>
      </c>
    </row>
    <row r="202" customHeight="1" spans="1:11">
      <c r="E202" s="47"/>
    </row>
    <row r="206" ht="12.75" spans="1:11">
      <c r="D206" s="89"/>
      <c r="E206" s="89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1.2" right="0.2" top="0.75" bottom="2.24930555555556" header="0.3" footer="0.3"/>
  <pageSetup paperSize="5" orientation="portrait" horizontalDpi="600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20" zoomScaleNormal="120" topLeftCell="A50" workbookViewId="0">
      <selection activeCell="F81" sqref="F81:F184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9.28571428571429" style="46" customWidth="1"/>
    <col min="4" max="4" width="11.0666666666667" style="45" customWidth="1"/>
    <col min="5" max="5" width="5.6" style="47" customWidth="1"/>
    <col min="6" max="6" width="8.69523809523809" style="45" customWidth="1"/>
    <col min="7" max="7" width="8.92380952380952" style="45" customWidth="1"/>
    <col min="8" max="8" width="9.52380952380952" style="45" customWidth="1"/>
    <col min="9" max="9" width="10.352380952381" style="45" customWidth="1"/>
    <col min="10" max="10" width="7.73333333333333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4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169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'4-3-26'!I9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67" si="1">D9-F9</f>
        <v>5500000</v>
      </c>
      <c r="J9" s="69">
        <f t="shared" ref="J9:J72" si="2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'4-3-26'!I10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'4-3-26'!I11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'4-3-26'!I12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'4-3-26'!I13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'4-3-26'!I14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'4-3-26'!I15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'4-3-26'!I16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'4-3-26'!I17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'4-3-26'!I18</f>
        <v>12595000</v>
      </c>
      <c r="E18" s="68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ht="12.75" spans="1:10">
      <c r="A19" s="68">
        <v>11</v>
      </c>
      <c r="B19" s="69" t="s">
        <v>35</v>
      </c>
      <c r="C19" s="128" t="s">
        <v>36</v>
      </c>
      <c r="D19" s="71">
        <f>'4-3-26'!I19</f>
        <v>3750000</v>
      </c>
      <c r="E19" s="68"/>
      <c r="F19" s="69"/>
      <c r="G19" s="69"/>
      <c r="H19" s="71">
        <f t="shared" si="0"/>
        <v>0</v>
      </c>
      <c r="I19" s="71">
        <f t="shared" si="1"/>
        <v>3750000</v>
      </c>
      <c r="J19" s="69">
        <f t="shared" si="2"/>
        <v>0</v>
      </c>
    </row>
    <row r="20" ht="12.75" spans="1:10">
      <c r="A20" s="68">
        <v>12</v>
      </c>
      <c r="B20" s="69" t="s">
        <v>37</v>
      </c>
      <c r="C20" s="128" t="s">
        <v>38</v>
      </c>
      <c r="D20" s="71">
        <f>'4-3-26'!I20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ht="12.75" spans="1:10">
      <c r="A21" s="68">
        <v>13</v>
      </c>
      <c r="B21" s="69" t="s">
        <v>39</v>
      </c>
      <c r="C21" s="128" t="s">
        <v>40</v>
      </c>
      <c r="D21" s="71">
        <f>'4-3-26'!I21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ht="12.75" spans="1:10">
      <c r="A22" s="68">
        <v>14</v>
      </c>
      <c r="B22" s="69" t="s">
        <v>41</v>
      </c>
      <c r="C22" s="128" t="s">
        <v>42</v>
      </c>
      <c r="D22" s="71">
        <f>'4-3-26'!I22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ht="12.75" spans="1:10">
      <c r="A23" s="68">
        <v>15</v>
      </c>
      <c r="B23" s="69" t="s">
        <v>43</v>
      </c>
      <c r="C23" s="128" t="s">
        <v>42</v>
      </c>
      <c r="D23" s="71">
        <f>'4-3-26'!I23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ht="12.75" spans="1:10">
      <c r="A24" s="68">
        <v>16</v>
      </c>
      <c r="B24" s="69" t="s">
        <v>44</v>
      </c>
      <c r="C24" s="128" t="s">
        <v>42</v>
      </c>
      <c r="D24" s="71">
        <f>'4-3-26'!I24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ht="12.75" spans="1:10">
      <c r="A25" s="68">
        <v>17</v>
      </c>
      <c r="B25" s="69" t="s">
        <v>45</v>
      </c>
      <c r="C25" s="128" t="s">
        <v>46</v>
      </c>
      <c r="D25" s="71">
        <f>'4-3-26'!I25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ht="12.75" spans="1:10">
      <c r="A26" s="68">
        <v>18</v>
      </c>
      <c r="B26" s="69" t="s">
        <v>47</v>
      </c>
      <c r="C26" s="128" t="s">
        <v>48</v>
      </c>
      <c r="D26" s="71">
        <f>'4-3-26'!I26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ht="12.75" spans="1:10">
      <c r="A27" s="68">
        <v>19</v>
      </c>
      <c r="B27" s="69" t="s">
        <v>49</v>
      </c>
      <c r="C27" s="128" t="s">
        <v>50</v>
      </c>
      <c r="D27" s="71">
        <f>'4-3-26'!I27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ht="12.75" spans="1:10">
      <c r="A28" s="68">
        <v>20</v>
      </c>
      <c r="B28" s="69" t="s">
        <v>51</v>
      </c>
      <c r="C28" s="128" t="s">
        <v>52</v>
      </c>
      <c r="D28" s="71">
        <f>'4-3-26'!I28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ht="12.75" spans="1:10">
      <c r="A29" s="68">
        <v>21</v>
      </c>
      <c r="B29" s="69" t="s">
        <v>53</v>
      </c>
      <c r="C29" s="128" t="s">
        <v>54</v>
      </c>
      <c r="D29" s="71">
        <f>'4-3-26'!I29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ht="12.75" spans="1:10">
      <c r="A30" s="68">
        <v>22</v>
      </c>
      <c r="B30" s="69" t="s">
        <v>55</v>
      </c>
      <c r="C30" s="128" t="s">
        <v>56</v>
      </c>
      <c r="D30" s="71">
        <f>'4-3-26'!I30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ht="12.75" spans="1:10">
      <c r="A31" s="68">
        <v>23</v>
      </c>
      <c r="B31" s="69" t="s">
        <v>57</v>
      </c>
      <c r="C31" s="128" t="s">
        <v>58</v>
      </c>
      <c r="D31" s="71">
        <f>'4-3-26'!I31</f>
        <v>1000000</v>
      </c>
      <c r="E31" s="68"/>
      <c r="F31" s="69"/>
      <c r="G31" s="69"/>
      <c r="H31" s="71">
        <f t="shared" si="0"/>
        <v>0</v>
      </c>
      <c r="I31" s="71">
        <f t="shared" si="1"/>
        <v>1000000</v>
      </c>
      <c r="J31" s="69">
        <f t="shared" si="2"/>
        <v>0</v>
      </c>
    </row>
    <row r="32" ht="12.75" spans="1:10">
      <c r="A32" s="68">
        <v>24</v>
      </c>
      <c r="B32" s="69" t="s">
        <v>59</v>
      </c>
      <c r="C32" s="128" t="s">
        <v>58</v>
      </c>
      <c r="D32" s="71">
        <f>'4-3-26'!I32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ht="12.75" spans="1:10">
      <c r="A33" s="68">
        <v>25</v>
      </c>
      <c r="B33" s="69" t="s">
        <v>60</v>
      </c>
      <c r="C33" s="127" t="s">
        <v>61</v>
      </c>
      <c r="D33" s="71">
        <f>'4-3-26'!I33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ht="12.75" spans="1:10">
      <c r="A34" s="68">
        <v>26</v>
      </c>
      <c r="B34" s="69" t="s">
        <v>62</v>
      </c>
      <c r="C34" s="127" t="s">
        <v>63</v>
      </c>
      <c r="D34" s="71">
        <f>'4-3-26'!I34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ht="12.75" spans="1:10">
      <c r="A35" s="68">
        <v>27</v>
      </c>
      <c r="B35" s="69" t="s">
        <v>64</v>
      </c>
      <c r="C35" s="127" t="s">
        <v>63</v>
      </c>
      <c r="D35" s="71">
        <f>'4-3-26'!I35</f>
        <v>3500000</v>
      </c>
      <c r="E35" s="68"/>
      <c r="F35" s="69"/>
      <c r="G35" s="69"/>
      <c r="H35" s="71">
        <f t="shared" si="0"/>
        <v>0</v>
      </c>
      <c r="I35" s="71">
        <f t="shared" si="1"/>
        <v>3500000</v>
      </c>
      <c r="J35" s="69">
        <f t="shared" si="2"/>
        <v>0</v>
      </c>
    </row>
    <row r="36" ht="12.75" spans="1:10">
      <c r="A36" s="68">
        <v>28</v>
      </c>
      <c r="B36" s="69" t="s">
        <v>65</v>
      </c>
      <c r="C36" s="127" t="s">
        <v>66</v>
      </c>
      <c r="D36" s="71">
        <f>'4-3-26'!I36</f>
        <v>9200000</v>
      </c>
      <c r="E36" s="68"/>
      <c r="F36" s="69"/>
      <c r="G36" s="69"/>
      <c r="H36" s="71">
        <f t="shared" si="0"/>
        <v>0</v>
      </c>
      <c r="I36" s="71">
        <f t="shared" si="1"/>
        <v>9200000</v>
      </c>
      <c r="J36" s="69">
        <f t="shared" si="2"/>
        <v>0</v>
      </c>
    </row>
    <row r="37" ht="12.75" spans="1:10">
      <c r="A37" s="68">
        <v>29</v>
      </c>
      <c r="B37" s="69" t="s">
        <v>67</v>
      </c>
      <c r="C37" s="127" t="s">
        <v>68</v>
      </c>
      <c r="D37" s="71">
        <f>'4-3-26'!I37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ht="12.75" spans="1:10">
      <c r="A38" s="68">
        <v>30</v>
      </c>
      <c r="B38" s="69" t="s">
        <v>69</v>
      </c>
      <c r="C38" s="127" t="s">
        <v>70</v>
      </c>
      <c r="D38" s="71">
        <f>'4-3-26'!I38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ht="12.75" spans="1:10">
      <c r="A39" s="68">
        <v>31</v>
      </c>
      <c r="B39" s="69" t="s">
        <v>71</v>
      </c>
      <c r="C39" s="127" t="s">
        <v>72</v>
      </c>
      <c r="D39" s="71">
        <f>'4-3-26'!I39</f>
        <v>14320000</v>
      </c>
      <c r="E39" s="68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ht="12.75" spans="1:10">
      <c r="A40" s="68">
        <v>32</v>
      </c>
      <c r="B40" s="69" t="s">
        <v>73</v>
      </c>
      <c r="C40" s="127" t="s">
        <v>74</v>
      </c>
      <c r="D40" s="71">
        <f>'4-3-26'!I40</f>
        <v>200000</v>
      </c>
      <c r="E40" s="68">
        <v>15</v>
      </c>
      <c r="F40" s="69">
        <v>200000</v>
      </c>
      <c r="G40" s="69">
        <v>60000</v>
      </c>
      <c r="H40" s="71">
        <f t="shared" si="0"/>
        <v>260000</v>
      </c>
      <c r="I40" s="71">
        <f t="shared" si="1"/>
        <v>0</v>
      </c>
      <c r="J40" s="69">
        <f t="shared" si="2"/>
        <v>6000</v>
      </c>
    </row>
    <row r="41" ht="12.75" spans="1:10">
      <c r="A41" s="68">
        <v>33</v>
      </c>
      <c r="B41" s="69" t="s">
        <v>75</v>
      </c>
      <c r="C41" s="127" t="s">
        <v>76</v>
      </c>
      <c r="D41" s="71">
        <f>'4-3-26'!I41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ht="12.75" spans="1:10">
      <c r="A42" s="68">
        <v>34</v>
      </c>
      <c r="B42" s="69" t="s">
        <v>77</v>
      </c>
      <c r="C42" s="127" t="s">
        <v>78</v>
      </c>
      <c r="D42" s="71">
        <f>'4-3-26'!I42</f>
        <v>1200000</v>
      </c>
      <c r="E42" s="68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ht="12.75" spans="1:10">
      <c r="A43" s="68">
        <v>35</v>
      </c>
      <c r="B43" s="69" t="s">
        <v>79</v>
      </c>
      <c r="C43" s="127" t="s">
        <v>80</v>
      </c>
      <c r="D43" s="71">
        <f>'4-3-26'!I43</f>
        <v>5250000</v>
      </c>
      <c r="E43" s="68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ht="12.75" spans="1:10">
      <c r="A44" s="68">
        <v>36</v>
      </c>
      <c r="B44" s="69" t="s">
        <v>81</v>
      </c>
      <c r="C44" s="127" t="s">
        <v>82</v>
      </c>
      <c r="D44" s="71">
        <f>'4-3-26'!I44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ht="12.75" spans="1:10">
      <c r="A45" s="68">
        <v>37</v>
      </c>
      <c r="B45" s="69" t="s">
        <v>83</v>
      </c>
      <c r="C45" s="70" t="s">
        <v>84</v>
      </c>
      <c r="D45" s="71">
        <f>'4-3-26'!I45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ht="12.75" spans="1:10">
      <c r="A46" s="68">
        <v>38</v>
      </c>
      <c r="B46" s="69" t="s">
        <v>85</v>
      </c>
      <c r="C46" s="127" t="s">
        <v>86</v>
      </c>
      <c r="D46" s="71">
        <f>'4-3-26'!I46</f>
        <v>450000</v>
      </c>
      <c r="E46" s="68"/>
      <c r="F46" s="69"/>
      <c r="G46" s="69"/>
      <c r="H46" s="71">
        <f t="shared" si="0"/>
        <v>0</v>
      </c>
      <c r="I46" s="71">
        <f t="shared" si="1"/>
        <v>450000</v>
      </c>
      <c r="J46" s="69">
        <f t="shared" si="2"/>
        <v>0</v>
      </c>
    </row>
    <row r="47" ht="12.75" spans="1:10">
      <c r="A47" s="68">
        <v>39</v>
      </c>
      <c r="B47" s="69" t="s">
        <v>87</v>
      </c>
      <c r="C47" s="127" t="s">
        <v>88</v>
      </c>
      <c r="D47" s="71">
        <f>'4-3-26'!I47</f>
        <v>9600000</v>
      </c>
      <c r="E47" s="68">
        <v>9</v>
      </c>
      <c r="F47" s="69">
        <v>300000</v>
      </c>
      <c r="G47" s="69">
        <v>240000</v>
      </c>
      <c r="H47" s="71">
        <f t="shared" si="0"/>
        <v>540000</v>
      </c>
      <c r="I47" s="71">
        <f t="shared" si="1"/>
        <v>9300000</v>
      </c>
      <c r="J47" s="69">
        <f t="shared" si="2"/>
        <v>24000</v>
      </c>
    </row>
    <row r="48" ht="12.75" spans="1:10">
      <c r="A48" s="68">
        <v>40</v>
      </c>
      <c r="B48" s="69" t="s">
        <v>89</v>
      </c>
      <c r="C48" s="127" t="s">
        <v>88</v>
      </c>
      <c r="D48" s="71">
        <f>'4-3-26'!I48</f>
        <v>1000000</v>
      </c>
      <c r="E48" s="68"/>
      <c r="F48" s="69"/>
      <c r="G48" s="69"/>
      <c r="H48" s="71">
        <f t="shared" si="0"/>
        <v>0</v>
      </c>
      <c r="I48" s="71">
        <f t="shared" si="1"/>
        <v>1000000</v>
      </c>
      <c r="J48" s="69">
        <f t="shared" si="2"/>
        <v>0</v>
      </c>
    </row>
    <row r="49" ht="12.75" spans="1:10">
      <c r="A49" s="68">
        <v>41</v>
      </c>
      <c r="B49" s="69" t="s">
        <v>90</v>
      </c>
      <c r="C49" s="127" t="s">
        <v>91</v>
      </c>
      <c r="D49" s="71">
        <f>'4-3-26'!I49</f>
        <v>9600000</v>
      </c>
      <c r="E49" s="68"/>
      <c r="F49" s="69"/>
      <c r="G49" s="69"/>
      <c r="H49" s="71">
        <f t="shared" si="0"/>
        <v>0</v>
      </c>
      <c r="I49" s="71">
        <f t="shared" si="1"/>
        <v>9600000</v>
      </c>
      <c r="J49" s="69">
        <f t="shared" si="2"/>
        <v>0</v>
      </c>
    </row>
    <row r="50" ht="12.75" spans="1:10">
      <c r="A50" s="68">
        <v>42</v>
      </c>
      <c r="B50" s="69" t="s">
        <v>92</v>
      </c>
      <c r="C50" s="127" t="s">
        <v>93</v>
      </c>
      <c r="D50" s="71">
        <f>'4-3-26'!I50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ht="12.75" spans="1:10">
      <c r="A51" s="68">
        <v>43</v>
      </c>
      <c r="B51" s="69" t="s">
        <v>94</v>
      </c>
      <c r="C51" s="70" t="s">
        <v>95</v>
      </c>
      <c r="D51" s="71">
        <f>'4-3-26'!I51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ht="12.75" spans="1:10">
      <c r="A52" s="68">
        <v>44</v>
      </c>
      <c r="B52" s="69" t="s">
        <v>96</v>
      </c>
      <c r="C52" s="70" t="s">
        <v>97</v>
      </c>
      <c r="D52" s="71">
        <f>'4-3-26'!I52</f>
        <v>25000000</v>
      </c>
      <c r="E52" s="68"/>
      <c r="F52" s="69"/>
      <c r="G52" s="69"/>
      <c r="H52" s="71">
        <f t="shared" si="0"/>
        <v>0</v>
      </c>
      <c r="I52" s="71">
        <f t="shared" si="1"/>
        <v>25000000</v>
      </c>
      <c r="J52" s="69">
        <f t="shared" si="2"/>
        <v>0</v>
      </c>
    </row>
    <row r="53" ht="12.75" spans="1:10">
      <c r="A53" s="68">
        <v>45</v>
      </c>
      <c r="B53" s="69" t="s">
        <v>98</v>
      </c>
      <c r="C53" s="127" t="s">
        <v>99</v>
      </c>
      <c r="D53" s="71">
        <f>'4-3-26'!I53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ht="12.75" spans="1:10">
      <c r="A54" s="68">
        <v>46</v>
      </c>
      <c r="B54" s="69" t="s">
        <v>100</v>
      </c>
      <c r="C54" s="127" t="s">
        <v>99</v>
      </c>
      <c r="D54" s="71">
        <f>'4-3-26'!I54</f>
        <v>4800000</v>
      </c>
      <c r="E54" s="68"/>
      <c r="F54" s="69"/>
      <c r="G54" s="69"/>
      <c r="H54" s="71">
        <f t="shared" si="0"/>
        <v>0</v>
      </c>
      <c r="I54" s="71">
        <f t="shared" si="1"/>
        <v>4800000</v>
      </c>
      <c r="J54" s="69">
        <f t="shared" si="2"/>
        <v>0</v>
      </c>
    </row>
    <row r="55" ht="12.75" spans="1:10">
      <c r="A55" s="68">
        <v>47</v>
      </c>
      <c r="B55" s="69" t="s">
        <v>101</v>
      </c>
      <c r="C55" s="127" t="s">
        <v>102</v>
      </c>
      <c r="D55" s="71">
        <f>'4-3-26'!I55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ht="12.75" spans="1:10">
      <c r="A56" s="68">
        <v>48</v>
      </c>
      <c r="B56" s="69" t="s">
        <v>103</v>
      </c>
      <c r="C56" s="127" t="s">
        <v>102</v>
      </c>
      <c r="D56" s="71">
        <f>'4-3-26'!I56</f>
        <v>400000</v>
      </c>
      <c r="E56" s="68"/>
      <c r="F56" s="69"/>
      <c r="G56" s="69"/>
      <c r="H56" s="71">
        <f t="shared" si="0"/>
        <v>0</v>
      </c>
      <c r="I56" s="71">
        <f t="shared" si="1"/>
        <v>400000</v>
      </c>
      <c r="J56" s="69">
        <f t="shared" si="2"/>
        <v>0</v>
      </c>
    </row>
    <row r="57" ht="12.75" spans="1:10">
      <c r="A57" s="68">
        <v>49</v>
      </c>
      <c r="B57" s="69" t="s">
        <v>104</v>
      </c>
      <c r="C57" s="127" t="s">
        <v>102</v>
      </c>
      <c r="D57" s="71">
        <f>'4-3-26'!I57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ht="12.75" spans="1:10">
      <c r="A58" s="68">
        <v>50</v>
      </c>
      <c r="B58" s="69" t="s">
        <v>105</v>
      </c>
      <c r="C58" s="70" t="s">
        <v>106</v>
      </c>
      <c r="D58" s="71">
        <f>'4-3-26'!I58</f>
        <v>1315000</v>
      </c>
      <c r="E58" s="68"/>
      <c r="F58" s="69"/>
      <c r="G58" s="69"/>
      <c r="H58" s="71">
        <f t="shared" si="0"/>
        <v>0</v>
      </c>
      <c r="I58" s="71">
        <f t="shared" si="1"/>
        <v>1315000</v>
      </c>
      <c r="J58" s="69">
        <f t="shared" si="2"/>
        <v>0</v>
      </c>
    </row>
    <row r="59" ht="12.75" spans="1:10">
      <c r="A59" s="68">
        <v>51</v>
      </c>
      <c r="B59" s="69" t="s">
        <v>107</v>
      </c>
      <c r="C59" s="127" t="s">
        <v>108</v>
      </c>
      <c r="D59" s="71">
        <f>'4-3-26'!I59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ht="12.75" spans="1:10">
      <c r="A60" s="68">
        <v>52</v>
      </c>
      <c r="B60" s="69" t="s">
        <v>109</v>
      </c>
      <c r="C60" s="127" t="s">
        <v>110</v>
      </c>
      <c r="D60" s="71">
        <f>'4-3-26'!I60</f>
        <v>3000000</v>
      </c>
      <c r="E60" s="68"/>
      <c r="F60" s="69"/>
      <c r="G60" s="69"/>
      <c r="H60" s="71">
        <f t="shared" si="0"/>
        <v>0</v>
      </c>
      <c r="I60" s="71">
        <f t="shared" si="1"/>
        <v>3000000</v>
      </c>
      <c r="J60" s="69">
        <f t="shared" si="2"/>
        <v>0</v>
      </c>
    </row>
    <row r="61" ht="12.75" spans="1:10">
      <c r="A61" s="68">
        <v>53</v>
      </c>
      <c r="B61" s="69" t="s">
        <v>111</v>
      </c>
      <c r="C61" s="70" t="s">
        <v>112</v>
      </c>
      <c r="D61" s="71">
        <f>'4-3-26'!I61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ht="12.75" spans="1:10">
      <c r="A62" s="68">
        <v>54</v>
      </c>
      <c r="B62" s="69" t="s">
        <v>113</v>
      </c>
      <c r="C62" s="127" t="s">
        <v>114</v>
      </c>
      <c r="D62" s="71">
        <f>'4-3-26'!I62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ht="12.75" spans="1:10">
      <c r="A63" s="68">
        <v>55</v>
      </c>
      <c r="B63" s="69" t="s">
        <v>115</v>
      </c>
      <c r="C63" s="127" t="s">
        <v>116</v>
      </c>
      <c r="D63" s="71">
        <f>'4-3-26'!I63</f>
        <v>600000</v>
      </c>
      <c r="E63" s="68"/>
      <c r="F63" s="69"/>
      <c r="G63" s="69"/>
      <c r="H63" s="71">
        <f t="shared" si="0"/>
        <v>0</v>
      </c>
      <c r="I63" s="71">
        <f t="shared" si="1"/>
        <v>600000</v>
      </c>
      <c r="J63" s="69">
        <f t="shared" si="2"/>
        <v>0</v>
      </c>
    </row>
    <row r="64" ht="12.75" spans="1:10">
      <c r="A64" s="68">
        <v>56</v>
      </c>
      <c r="B64" s="69" t="s">
        <v>117</v>
      </c>
      <c r="C64" s="127" t="s">
        <v>118</v>
      </c>
      <c r="D64" s="71">
        <f>'4-3-26'!I64</f>
        <v>1350000</v>
      </c>
      <c r="E64" s="68"/>
      <c r="F64" s="69"/>
      <c r="G64" s="69"/>
      <c r="H64" s="71">
        <f t="shared" si="0"/>
        <v>0</v>
      </c>
      <c r="I64" s="71">
        <f t="shared" si="1"/>
        <v>1350000</v>
      </c>
      <c r="J64" s="69">
        <f t="shared" si="2"/>
        <v>0</v>
      </c>
    </row>
    <row r="65" ht="12.75" spans="1:10">
      <c r="A65" s="68">
        <v>57</v>
      </c>
      <c r="B65" s="69" t="s">
        <v>119</v>
      </c>
      <c r="C65" s="127" t="s">
        <v>120</v>
      </c>
      <c r="D65" s="71">
        <f>'4-3-26'!I65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ht="12.75" spans="1:10">
      <c r="A66" s="68">
        <v>58</v>
      </c>
      <c r="B66" s="69" t="s">
        <v>121</v>
      </c>
      <c r="C66" s="127" t="s">
        <v>120</v>
      </c>
      <c r="D66" s="71">
        <f>'4-3-26'!I66</f>
        <v>200000</v>
      </c>
      <c r="E66" s="68"/>
      <c r="F66" s="69"/>
      <c r="G66" s="69"/>
      <c r="H66" s="71">
        <f t="shared" si="0"/>
        <v>0</v>
      </c>
      <c r="I66" s="71">
        <f t="shared" si="1"/>
        <v>200000</v>
      </c>
      <c r="J66" s="69">
        <f t="shared" si="2"/>
        <v>0</v>
      </c>
    </row>
    <row r="67" ht="12.75" customHeight="1" spans="1:10">
      <c r="A67" s="68">
        <v>59</v>
      </c>
      <c r="B67" s="69" t="s">
        <v>122</v>
      </c>
      <c r="C67" s="127" t="s">
        <v>123</v>
      </c>
      <c r="D67" s="71">
        <f>'4-3-26'!I67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ht="12.75" customHeight="1" spans="1:10">
      <c r="A68" s="68">
        <v>60</v>
      </c>
      <c r="B68" s="69" t="s">
        <v>159</v>
      </c>
      <c r="C68" s="127" t="s">
        <v>160</v>
      </c>
      <c r="D68" s="71">
        <f>'4-3-26'!I68</f>
        <v>10000000</v>
      </c>
      <c r="E68" s="68"/>
      <c r="F68" s="69"/>
      <c r="G68" s="69"/>
      <c r="H68" s="71">
        <f t="shared" si="0"/>
        <v>0</v>
      </c>
      <c r="I68" s="71">
        <f t="shared" ref="I68:I77" si="3">D68-F68</f>
        <v>10000000</v>
      </c>
      <c r="J68" s="69">
        <f t="shared" si="2"/>
        <v>0</v>
      </c>
    </row>
    <row r="69" ht="12.75" customHeight="1" spans="1:10">
      <c r="A69" s="68">
        <v>61</v>
      </c>
      <c r="B69" s="69" t="s">
        <v>161</v>
      </c>
      <c r="C69" s="127" t="s">
        <v>160</v>
      </c>
      <c r="D69" s="71">
        <f>'4-3-26'!I69</f>
        <v>50000000</v>
      </c>
      <c r="E69" s="68"/>
      <c r="F69" s="69"/>
      <c r="G69" s="69"/>
      <c r="H69" s="71">
        <f t="shared" si="0"/>
        <v>0</v>
      </c>
      <c r="I69" s="71">
        <f t="shared" si="3"/>
        <v>50000000</v>
      </c>
      <c r="J69" s="69">
        <f t="shared" si="2"/>
        <v>0</v>
      </c>
    </row>
    <row r="70" ht="12.75" customHeight="1" spans="1:10">
      <c r="A70" s="68">
        <v>62</v>
      </c>
      <c r="B70" s="69" t="s">
        <v>141</v>
      </c>
      <c r="C70" s="127" t="s">
        <v>160</v>
      </c>
      <c r="D70" s="71">
        <f>'4-3-26'!I70</f>
        <v>1000000</v>
      </c>
      <c r="E70" s="68"/>
      <c r="F70" s="69"/>
      <c r="G70" s="69"/>
      <c r="H70" s="71">
        <f t="shared" si="0"/>
        <v>0</v>
      </c>
      <c r="I70" s="71">
        <f t="shared" si="3"/>
        <v>1000000</v>
      </c>
      <c r="J70" s="69">
        <f t="shared" si="2"/>
        <v>0</v>
      </c>
    </row>
    <row r="71" ht="12.75" customHeight="1" spans="1:10">
      <c r="A71" s="68">
        <v>63</v>
      </c>
      <c r="B71" s="69" t="s">
        <v>162</v>
      </c>
      <c r="C71" s="127" t="s">
        <v>160</v>
      </c>
      <c r="D71" s="71">
        <f>'4-3-26'!I71</f>
        <v>3000000</v>
      </c>
      <c r="E71" s="68">
        <v>1</v>
      </c>
      <c r="F71" s="69">
        <v>500000</v>
      </c>
      <c r="G71" s="69">
        <v>60000</v>
      </c>
      <c r="H71" s="71">
        <f t="shared" si="0"/>
        <v>560000</v>
      </c>
      <c r="I71" s="71">
        <f t="shared" si="3"/>
        <v>2500000</v>
      </c>
      <c r="J71" s="69">
        <f t="shared" si="2"/>
        <v>6000</v>
      </c>
    </row>
    <row r="72" ht="12.75" customHeight="1" spans="1:10">
      <c r="A72" s="68">
        <v>64</v>
      </c>
      <c r="B72" s="69" t="s">
        <v>98</v>
      </c>
      <c r="C72" s="127" t="s">
        <v>160</v>
      </c>
      <c r="D72" s="71">
        <f>'4-3-26'!I72</f>
        <v>2000000</v>
      </c>
      <c r="E72" s="68"/>
      <c r="F72" s="69"/>
      <c r="G72" s="69"/>
      <c r="H72" s="71">
        <f t="shared" si="0"/>
        <v>0</v>
      </c>
      <c r="I72" s="71">
        <f t="shared" si="3"/>
        <v>2000000</v>
      </c>
      <c r="J72" s="69">
        <f t="shared" si="2"/>
        <v>0</v>
      </c>
    </row>
    <row r="73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>SUM(F73:G73)</f>
        <v>0</v>
      </c>
      <c r="I73" s="71">
        <f t="shared" si="3"/>
        <v>5000000</v>
      </c>
      <c r="J73" s="69">
        <f>1/10*G73</f>
        <v>0</v>
      </c>
    </row>
    <row r="74" ht="12.75" customHeight="1" spans="1:10">
      <c r="A74" s="68">
        <v>66</v>
      </c>
      <c r="B74" s="69" t="s">
        <v>166</v>
      </c>
      <c r="C74" s="127" t="s">
        <v>167</v>
      </c>
      <c r="D74" s="71">
        <v>4000000</v>
      </c>
      <c r="E74" s="69"/>
      <c r="F74" s="69"/>
      <c r="G74" s="69"/>
      <c r="H74" s="71">
        <f>SUM(F74:G74)</f>
        <v>0</v>
      </c>
      <c r="I74" s="71">
        <f t="shared" si="3"/>
        <v>4000000</v>
      </c>
      <c r="J74" s="69">
        <f>1/10*G74</f>
        <v>0</v>
      </c>
    </row>
    <row r="75" ht="12.75" customHeight="1" spans="1:10">
      <c r="A75" s="68">
        <v>67</v>
      </c>
      <c r="B75" s="69" t="s">
        <v>53</v>
      </c>
      <c r="C75" s="127" t="s">
        <v>167</v>
      </c>
      <c r="D75" s="71">
        <v>3000000</v>
      </c>
      <c r="E75" s="69"/>
      <c r="F75" s="69"/>
      <c r="G75" s="69"/>
      <c r="H75" s="71">
        <f>SUM(F75:G75)</f>
        <v>0</v>
      </c>
      <c r="I75" s="71">
        <f t="shared" si="3"/>
        <v>3000000</v>
      </c>
      <c r="J75" s="69">
        <f>1/10*G75</f>
        <v>0</v>
      </c>
    </row>
    <row r="76" ht="12.75" customHeight="1" spans="1:10">
      <c r="A76" s="68">
        <v>68</v>
      </c>
      <c r="B76" s="69" t="s">
        <v>170</v>
      </c>
      <c r="C76" s="127" t="s">
        <v>171</v>
      </c>
      <c r="D76" s="71">
        <v>1100000</v>
      </c>
      <c r="E76" s="69"/>
      <c r="F76" s="69"/>
      <c r="G76" s="69"/>
      <c r="H76" s="71">
        <f t="shared" ref="H74:H137" si="4">SUM(F76:G76)</f>
        <v>0</v>
      </c>
      <c r="I76" s="71">
        <f t="shared" si="3"/>
        <v>1100000</v>
      </c>
      <c r="J76" s="69">
        <f t="shared" ref="J74:J137" si="5">1/10*G76</f>
        <v>0</v>
      </c>
    </row>
    <row r="77" ht="12.75" customHeight="1" spans="1:10">
      <c r="A77" s="68">
        <v>69</v>
      </c>
      <c r="B77" s="69" t="s">
        <v>172</v>
      </c>
      <c r="C77" s="127" t="s">
        <v>171</v>
      </c>
      <c r="D77" s="71">
        <v>5000000</v>
      </c>
      <c r="E77" s="69"/>
      <c r="F77" s="69"/>
      <c r="G77" s="69"/>
      <c r="H77" s="71">
        <f t="shared" si="4"/>
        <v>0</v>
      </c>
      <c r="I77" s="71">
        <f t="shared" si="3"/>
        <v>5000000</v>
      </c>
      <c r="J77" s="69">
        <f t="shared" si="5"/>
        <v>0</v>
      </c>
    </row>
    <row r="78" ht="12.75" customHeight="1" spans="1:10">
      <c r="A78" s="68"/>
      <c r="B78" s="69"/>
      <c r="C78" s="70"/>
      <c r="D78" s="71">
        <f>'4-3-26'!I78</f>
        <v>0</v>
      </c>
      <c r="E78" s="68"/>
      <c r="F78" s="69"/>
      <c r="G78" s="69"/>
      <c r="H78" s="71">
        <f t="shared" si="4"/>
        <v>0</v>
      </c>
      <c r="I78" s="71">
        <f t="shared" ref="I74:I187" si="6">D78-F78</f>
        <v>0</v>
      </c>
      <c r="J78" s="69">
        <f t="shared" si="5"/>
        <v>0</v>
      </c>
    </row>
    <row r="79" ht="12.75" customHeight="1" spans="1:10">
      <c r="A79" s="68"/>
      <c r="B79" s="69"/>
      <c r="C79" s="70"/>
      <c r="D79" s="71">
        <f>'4-3-26'!I79</f>
        <v>0</v>
      </c>
      <c r="E79" s="68"/>
      <c r="F79" s="69"/>
      <c r="G79" s="69"/>
      <c r="H79" s="71">
        <f t="shared" si="4"/>
        <v>0</v>
      </c>
      <c r="I79" s="71">
        <f t="shared" si="6"/>
        <v>0</v>
      </c>
      <c r="J79" s="69">
        <f t="shared" si="5"/>
        <v>0</v>
      </c>
    </row>
    <row r="80" ht="12.75" customHeight="1" spans="1:10">
      <c r="A80" s="68"/>
      <c r="B80" s="69"/>
      <c r="C80" s="70"/>
      <c r="D80" s="71">
        <f>'4-3-26'!I80</f>
        <v>0</v>
      </c>
      <c r="E80" s="68"/>
      <c r="F80" s="69"/>
      <c r="G80" s="69"/>
      <c r="H80" s="71">
        <f t="shared" si="4"/>
        <v>0</v>
      </c>
      <c r="I80" s="71">
        <f t="shared" si="6"/>
        <v>0</v>
      </c>
      <c r="J80" s="69">
        <f t="shared" si="5"/>
        <v>0</v>
      </c>
    </row>
    <row r="81" ht="1.75" customHeight="1" spans="1:10">
      <c r="A81" s="68"/>
      <c r="B81" s="69"/>
      <c r="C81" s="70"/>
      <c r="D81" s="71">
        <f>'4-3-26'!I81</f>
        <v>0</v>
      </c>
      <c r="E81" s="68"/>
      <c r="F81" s="69"/>
      <c r="G81" s="69"/>
      <c r="H81" s="71">
        <f t="shared" si="4"/>
        <v>0</v>
      </c>
      <c r="I81" s="71">
        <f t="shared" si="6"/>
        <v>0</v>
      </c>
      <c r="J81" s="69">
        <f t="shared" si="5"/>
        <v>0</v>
      </c>
    </row>
    <row r="82" ht="1.75" customHeight="1" spans="1:10">
      <c r="A82" s="68"/>
      <c r="B82" s="69"/>
      <c r="C82" s="70"/>
      <c r="D82" s="71">
        <f>'4-3-26'!I82</f>
        <v>0</v>
      </c>
      <c r="E82" s="68"/>
      <c r="F82" s="69"/>
      <c r="G82" s="69"/>
      <c r="H82" s="71">
        <f t="shared" si="4"/>
        <v>0</v>
      </c>
      <c r="I82" s="71">
        <f t="shared" si="6"/>
        <v>0</v>
      </c>
      <c r="J82" s="69">
        <f t="shared" si="5"/>
        <v>0</v>
      </c>
    </row>
    <row r="83" ht="1.75" customHeight="1" spans="1:10">
      <c r="A83" s="68"/>
      <c r="B83" s="69"/>
      <c r="C83" s="70"/>
      <c r="D83" s="71">
        <f>'4-3-26'!I83</f>
        <v>0</v>
      </c>
      <c r="E83" s="68"/>
      <c r="F83" s="69"/>
      <c r="G83" s="69"/>
      <c r="H83" s="71">
        <f t="shared" si="4"/>
        <v>0</v>
      </c>
      <c r="I83" s="71">
        <f t="shared" si="6"/>
        <v>0</v>
      </c>
      <c r="J83" s="69">
        <f t="shared" si="5"/>
        <v>0</v>
      </c>
    </row>
    <row r="84" ht="1.75" customHeight="1" spans="1:10">
      <c r="A84" s="68"/>
      <c r="B84" s="69"/>
      <c r="C84" s="70"/>
      <c r="D84" s="71">
        <f>'4-3-26'!I84</f>
        <v>0</v>
      </c>
      <c r="E84" s="68"/>
      <c r="F84" s="69"/>
      <c r="G84" s="69"/>
      <c r="H84" s="71">
        <f t="shared" si="4"/>
        <v>0</v>
      </c>
      <c r="I84" s="71">
        <f t="shared" si="6"/>
        <v>0</v>
      </c>
      <c r="J84" s="69">
        <f t="shared" si="5"/>
        <v>0</v>
      </c>
    </row>
    <row r="85" ht="1.75" customHeight="1" spans="1:10">
      <c r="A85" s="68"/>
      <c r="B85" s="69"/>
      <c r="C85" s="70"/>
      <c r="D85" s="71">
        <f>'4-3-26'!I85</f>
        <v>0</v>
      </c>
      <c r="E85" s="68"/>
      <c r="F85" s="69"/>
      <c r="G85" s="69"/>
      <c r="H85" s="71">
        <f t="shared" si="4"/>
        <v>0</v>
      </c>
      <c r="I85" s="71">
        <f t="shared" si="6"/>
        <v>0</v>
      </c>
      <c r="J85" s="69">
        <f t="shared" si="5"/>
        <v>0</v>
      </c>
    </row>
    <row r="86" ht="1.75" customHeight="1" spans="1:10">
      <c r="A86" s="68"/>
      <c r="B86" s="69"/>
      <c r="C86" s="70"/>
      <c r="D86" s="71">
        <f>'4-3-26'!I86</f>
        <v>0</v>
      </c>
      <c r="E86" s="68"/>
      <c r="F86" s="69"/>
      <c r="G86" s="69"/>
      <c r="H86" s="71">
        <f t="shared" si="4"/>
        <v>0</v>
      </c>
      <c r="I86" s="71">
        <f t="shared" si="6"/>
        <v>0</v>
      </c>
      <c r="J86" s="69">
        <f t="shared" si="5"/>
        <v>0</v>
      </c>
    </row>
    <row r="87" ht="1.75" customHeight="1" spans="1:10">
      <c r="A87" s="68"/>
      <c r="B87" s="69"/>
      <c r="C87" s="70"/>
      <c r="D87" s="71">
        <f>'4-3-26'!I87</f>
        <v>0</v>
      </c>
      <c r="E87" s="68"/>
      <c r="F87" s="69"/>
      <c r="G87" s="69"/>
      <c r="H87" s="71">
        <f t="shared" si="4"/>
        <v>0</v>
      </c>
      <c r="I87" s="71">
        <f t="shared" si="6"/>
        <v>0</v>
      </c>
      <c r="J87" s="69">
        <f t="shared" si="5"/>
        <v>0</v>
      </c>
    </row>
    <row r="88" ht="1.75" customHeight="1" spans="1:10">
      <c r="A88" s="68"/>
      <c r="B88" s="69"/>
      <c r="C88" s="70"/>
      <c r="D88" s="71">
        <f>'4-3-26'!I88</f>
        <v>0</v>
      </c>
      <c r="E88" s="68"/>
      <c r="F88" s="69"/>
      <c r="G88" s="69"/>
      <c r="H88" s="71">
        <f t="shared" si="4"/>
        <v>0</v>
      </c>
      <c r="I88" s="71">
        <f t="shared" si="6"/>
        <v>0</v>
      </c>
      <c r="J88" s="69">
        <f t="shared" si="5"/>
        <v>0</v>
      </c>
    </row>
    <row r="89" ht="1.75" customHeight="1" spans="1:10">
      <c r="A89" s="68"/>
      <c r="B89" s="69"/>
      <c r="C89" s="70"/>
      <c r="D89" s="71">
        <f>'4-3-26'!I89</f>
        <v>0</v>
      </c>
      <c r="E89" s="68"/>
      <c r="F89" s="69"/>
      <c r="G89" s="69"/>
      <c r="H89" s="71">
        <f t="shared" si="4"/>
        <v>0</v>
      </c>
      <c r="I89" s="71">
        <f t="shared" si="6"/>
        <v>0</v>
      </c>
      <c r="J89" s="69">
        <f t="shared" si="5"/>
        <v>0</v>
      </c>
    </row>
    <row r="90" ht="1.75" customHeight="1" spans="1:10">
      <c r="A90" s="68"/>
      <c r="B90" s="69"/>
      <c r="C90" s="70"/>
      <c r="D90" s="71">
        <f>'4-3-26'!I90</f>
        <v>0</v>
      </c>
      <c r="E90" s="68"/>
      <c r="F90" s="69"/>
      <c r="G90" s="69"/>
      <c r="H90" s="71">
        <f t="shared" si="4"/>
        <v>0</v>
      </c>
      <c r="I90" s="71">
        <f t="shared" si="6"/>
        <v>0</v>
      </c>
      <c r="J90" s="69">
        <f t="shared" si="5"/>
        <v>0</v>
      </c>
    </row>
    <row r="91" ht="1.75" customHeight="1" spans="1:10">
      <c r="A91" s="68"/>
      <c r="B91" s="69"/>
      <c r="C91" s="70"/>
      <c r="D91" s="71">
        <f>'4-3-26'!I91</f>
        <v>0</v>
      </c>
      <c r="E91" s="68"/>
      <c r="F91" s="69"/>
      <c r="G91" s="69"/>
      <c r="H91" s="71">
        <f t="shared" si="4"/>
        <v>0</v>
      </c>
      <c r="I91" s="71">
        <f t="shared" si="6"/>
        <v>0</v>
      </c>
      <c r="J91" s="69">
        <f t="shared" si="5"/>
        <v>0</v>
      </c>
    </row>
    <row r="92" ht="1.75" customHeight="1" spans="1:10">
      <c r="A92" s="68"/>
      <c r="B92" s="69"/>
      <c r="C92" s="70"/>
      <c r="D92" s="71">
        <f>'4-3-26'!I92</f>
        <v>0</v>
      </c>
      <c r="E92" s="68"/>
      <c r="F92" s="69"/>
      <c r="G92" s="69"/>
      <c r="H92" s="71">
        <f t="shared" si="4"/>
        <v>0</v>
      </c>
      <c r="I92" s="71">
        <f t="shared" si="6"/>
        <v>0</v>
      </c>
      <c r="J92" s="69">
        <f t="shared" si="5"/>
        <v>0</v>
      </c>
    </row>
    <row r="93" ht="1.75" customHeight="1" spans="1:10">
      <c r="A93" s="68"/>
      <c r="B93" s="69"/>
      <c r="C93" s="70"/>
      <c r="D93" s="71">
        <f>'4-3-26'!I93</f>
        <v>0</v>
      </c>
      <c r="E93" s="68"/>
      <c r="F93" s="69"/>
      <c r="G93" s="69"/>
      <c r="H93" s="71">
        <f t="shared" si="4"/>
        <v>0</v>
      </c>
      <c r="I93" s="71">
        <f t="shared" si="6"/>
        <v>0</v>
      </c>
      <c r="J93" s="69">
        <f t="shared" si="5"/>
        <v>0</v>
      </c>
    </row>
    <row r="94" ht="1.75" customHeight="1" spans="1:10">
      <c r="A94" s="68"/>
      <c r="B94" s="69"/>
      <c r="C94" s="70"/>
      <c r="D94" s="71">
        <f>'4-3-26'!I94</f>
        <v>0</v>
      </c>
      <c r="E94" s="68"/>
      <c r="F94" s="69"/>
      <c r="G94" s="69"/>
      <c r="H94" s="71">
        <f t="shared" si="4"/>
        <v>0</v>
      </c>
      <c r="I94" s="71">
        <f t="shared" si="6"/>
        <v>0</v>
      </c>
      <c r="J94" s="69">
        <f t="shared" si="5"/>
        <v>0</v>
      </c>
    </row>
    <row r="95" ht="1.75" customHeight="1" spans="1:10">
      <c r="A95" s="68"/>
      <c r="B95" s="69"/>
      <c r="C95" s="70"/>
      <c r="D95" s="71">
        <f>'4-3-26'!I95</f>
        <v>0</v>
      </c>
      <c r="E95" s="68"/>
      <c r="F95" s="69"/>
      <c r="G95" s="69"/>
      <c r="H95" s="71">
        <f t="shared" si="4"/>
        <v>0</v>
      </c>
      <c r="I95" s="71">
        <f t="shared" si="6"/>
        <v>0</v>
      </c>
      <c r="J95" s="69">
        <f t="shared" si="5"/>
        <v>0</v>
      </c>
    </row>
    <row r="96" ht="1.75" customHeight="1" spans="1:10">
      <c r="A96" s="68"/>
      <c r="B96" s="69"/>
      <c r="C96" s="70"/>
      <c r="D96" s="71">
        <f>'4-3-26'!I96</f>
        <v>0</v>
      </c>
      <c r="E96" s="68"/>
      <c r="F96" s="69"/>
      <c r="G96" s="69"/>
      <c r="H96" s="71">
        <f t="shared" si="4"/>
        <v>0</v>
      </c>
      <c r="I96" s="71">
        <f t="shared" si="6"/>
        <v>0</v>
      </c>
      <c r="J96" s="69">
        <f t="shared" si="5"/>
        <v>0</v>
      </c>
    </row>
    <row r="97" ht="1.75" customHeight="1" spans="1:10">
      <c r="A97" s="68"/>
      <c r="B97" s="69"/>
      <c r="C97" s="70"/>
      <c r="D97" s="71">
        <f>'4-3-26'!I97</f>
        <v>0</v>
      </c>
      <c r="E97" s="68"/>
      <c r="F97" s="69"/>
      <c r="G97" s="69"/>
      <c r="H97" s="71">
        <f t="shared" si="4"/>
        <v>0</v>
      </c>
      <c r="I97" s="71">
        <f t="shared" si="6"/>
        <v>0</v>
      </c>
      <c r="J97" s="69">
        <f t="shared" si="5"/>
        <v>0</v>
      </c>
    </row>
    <row r="98" ht="1.75" customHeight="1" spans="1:10">
      <c r="A98" s="68"/>
      <c r="B98" s="69"/>
      <c r="C98" s="70"/>
      <c r="D98" s="71">
        <f>'4-3-26'!I98</f>
        <v>0</v>
      </c>
      <c r="E98" s="68"/>
      <c r="F98" s="69"/>
      <c r="G98" s="69"/>
      <c r="H98" s="71">
        <f t="shared" si="4"/>
        <v>0</v>
      </c>
      <c r="I98" s="71">
        <f t="shared" si="6"/>
        <v>0</v>
      </c>
      <c r="J98" s="69">
        <f t="shared" si="5"/>
        <v>0</v>
      </c>
    </row>
    <row r="99" ht="1.75" customHeight="1" spans="1:10">
      <c r="A99" s="68"/>
      <c r="B99" s="69"/>
      <c r="C99" s="70"/>
      <c r="D99" s="71">
        <f>'4-3-26'!I99</f>
        <v>0</v>
      </c>
      <c r="E99" s="68"/>
      <c r="F99" s="69"/>
      <c r="G99" s="69"/>
      <c r="H99" s="71">
        <f t="shared" si="4"/>
        <v>0</v>
      </c>
      <c r="I99" s="71">
        <f t="shared" si="6"/>
        <v>0</v>
      </c>
      <c r="J99" s="69">
        <f t="shared" si="5"/>
        <v>0</v>
      </c>
    </row>
    <row r="100" ht="1.75" customHeight="1" spans="1:10">
      <c r="A100" s="68"/>
      <c r="B100" s="69"/>
      <c r="C100" s="70"/>
      <c r="D100" s="71">
        <f>'4-3-26'!I100</f>
        <v>0</v>
      </c>
      <c r="E100" s="68"/>
      <c r="F100" s="69"/>
      <c r="G100" s="69"/>
      <c r="H100" s="71">
        <f t="shared" si="4"/>
        <v>0</v>
      </c>
      <c r="I100" s="71">
        <f t="shared" si="6"/>
        <v>0</v>
      </c>
      <c r="J100" s="69">
        <f t="shared" si="5"/>
        <v>0</v>
      </c>
    </row>
    <row r="101" ht="1.75" customHeight="1" spans="1:10">
      <c r="A101" s="68"/>
      <c r="B101" s="69"/>
      <c r="C101" s="70"/>
      <c r="D101" s="71">
        <f>'4-3-26'!I101</f>
        <v>0</v>
      </c>
      <c r="E101" s="68"/>
      <c r="F101" s="69"/>
      <c r="G101" s="69"/>
      <c r="H101" s="71">
        <f t="shared" si="4"/>
        <v>0</v>
      </c>
      <c r="I101" s="71">
        <f t="shared" si="6"/>
        <v>0</v>
      </c>
      <c r="J101" s="69">
        <f t="shared" si="5"/>
        <v>0</v>
      </c>
    </row>
    <row r="102" ht="1.75" customHeight="1" spans="1:10">
      <c r="A102" s="68"/>
      <c r="B102" s="69"/>
      <c r="C102" s="70"/>
      <c r="D102" s="71">
        <f>'4-3-26'!I102</f>
        <v>0</v>
      </c>
      <c r="E102" s="68"/>
      <c r="F102" s="69"/>
      <c r="G102" s="69"/>
      <c r="H102" s="71">
        <f t="shared" si="4"/>
        <v>0</v>
      </c>
      <c r="I102" s="71">
        <f t="shared" si="6"/>
        <v>0</v>
      </c>
      <c r="J102" s="69">
        <f t="shared" si="5"/>
        <v>0</v>
      </c>
    </row>
    <row r="103" ht="1.75" customHeight="1" spans="1:10">
      <c r="A103" s="68"/>
      <c r="B103" s="69"/>
      <c r="C103" s="70"/>
      <c r="D103" s="71">
        <f>'4-3-26'!I103</f>
        <v>0</v>
      </c>
      <c r="E103" s="68"/>
      <c r="F103" s="69"/>
      <c r="G103" s="69"/>
      <c r="H103" s="71">
        <f t="shared" si="4"/>
        <v>0</v>
      </c>
      <c r="I103" s="71">
        <f t="shared" si="6"/>
        <v>0</v>
      </c>
      <c r="J103" s="69">
        <f t="shared" si="5"/>
        <v>0</v>
      </c>
    </row>
    <row r="104" ht="1.75" customHeight="1" spans="1:10">
      <c r="A104" s="68"/>
      <c r="B104" s="69"/>
      <c r="C104" s="70"/>
      <c r="D104" s="71">
        <f>'4-3-26'!I104</f>
        <v>0</v>
      </c>
      <c r="E104" s="68"/>
      <c r="F104" s="69"/>
      <c r="G104" s="69"/>
      <c r="H104" s="71">
        <f t="shared" si="4"/>
        <v>0</v>
      </c>
      <c r="I104" s="71">
        <f t="shared" si="6"/>
        <v>0</v>
      </c>
      <c r="J104" s="69">
        <f t="shared" si="5"/>
        <v>0</v>
      </c>
    </row>
    <row r="105" ht="1.75" customHeight="1" spans="1:10">
      <c r="A105" s="68"/>
      <c r="B105" s="69"/>
      <c r="C105" s="70"/>
      <c r="D105" s="71">
        <f>'4-3-26'!I105</f>
        <v>0</v>
      </c>
      <c r="E105" s="68"/>
      <c r="F105" s="69"/>
      <c r="G105" s="69"/>
      <c r="H105" s="71">
        <f t="shared" si="4"/>
        <v>0</v>
      </c>
      <c r="I105" s="71">
        <f t="shared" si="6"/>
        <v>0</v>
      </c>
      <c r="J105" s="69">
        <f t="shared" si="5"/>
        <v>0</v>
      </c>
    </row>
    <row r="106" ht="1.75" customHeight="1" spans="1:10">
      <c r="A106" s="68"/>
      <c r="B106" s="69"/>
      <c r="C106" s="70"/>
      <c r="D106" s="71">
        <f>'4-3-26'!I106</f>
        <v>0</v>
      </c>
      <c r="E106" s="68"/>
      <c r="F106" s="69"/>
      <c r="G106" s="69"/>
      <c r="H106" s="71">
        <f t="shared" si="4"/>
        <v>0</v>
      </c>
      <c r="I106" s="71">
        <f t="shared" si="6"/>
        <v>0</v>
      </c>
      <c r="J106" s="69">
        <f t="shared" si="5"/>
        <v>0</v>
      </c>
    </row>
    <row r="107" ht="1.75" customHeight="1" spans="1:10">
      <c r="A107" s="68"/>
      <c r="B107" s="69"/>
      <c r="C107" s="70"/>
      <c r="D107" s="71">
        <f>'4-3-26'!I107</f>
        <v>0</v>
      </c>
      <c r="E107" s="68"/>
      <c r="F107" s="69"/>
      <c r="G107" s="69"/>
      <c r="H107" s="71">
        <f t="shared" si="4"/>
        <v>0</v>
      </c>
      <c r="I107" s="71">
        <f t="shared" si="6"/>
        <v>0</v>
      </c>
      <c r="J107" s="69">
        <f t="shared" si="5"/>
        <v>0</v>
      </c>
    </row>
    <row r="108" ht="1.75" customHeight="1" spans="1:10">
      <c r="A108" s="68"/>
      <c r="B108" s="69"/>
      <c r="C108" s="70"/>
      <c r="D108" s="71">
        <f>'4-3-26'!I108</f>
        <v>0</v>
      </c>
      <c r="E108" s="68"/>
      <c r="F108" s="69"/>
      <c r="G108" s="69"/>
      <c r="H108" s="71">
        <f t="shared" si="4"/>
        <v>0</v>
      </c>
      <c r="I108" s="71">
        <f t="shared" si="6"/>
        <v>0</v>
      </c>
      <c r="J108" s="69">
        <f t="shared" si="5"/>
        <v>0</v>
      </c>
    </row>
    <row r="109" ht="1.75" customHeight="1" spans="1:10">
      <c r="A109" s="68"/>
      <c r="B109" s="69"/>
      <c r="C109" s="70"/>
      <c r="D109" s="71">
        <f>'4-3-26'!I109</f>
        <v>0</v>
      </c>
      <c r="E109" s="68"/>
      <c r="F109" s="69"/>
      <c r="G109" s="69"/>
      <c r="H109" s="71">
        <f t="shared" si="4"/>
        <v>0</v>
      </c>
      <c r="I109" s="71">
        <f t="shared" si="6"/>
        <v>0</v>
      </c>
      <c r="J109" s="69">
        <f t="shared" si="5"/>
        <v>0</v>
      </c>
    </row>
    <row r="110" ht="1.75" customHeight="1" spans="1:10">
      <c r="A110" s="68"/>
      <c r="B110" s="69"/>
      <c r="C110" s="70"/>
      <c r="D110" s="71">
        <f>'4-3-26'!I110</f>
        <v>0</v>
      </c>
      <c r="E110" s="68"/>
      <c r="F110" s="69"/>
      <c r="G110" s="69"/>
      <c r="H110" s="71">
        <f t="shared" si="4"/>
        <v>0</v>
      </c>
      <c r="I110" s="71">
        <f t="shared" si="6"/>
        <v>0</v>
      </c>
      <c r="J110" s="69">
        <f t="shared" si="5"/>
        <v>0</v>
      </c>
    </row>
    <row r="111" ht="1.75" customHeight="1" spans="1:10">
      <c r="A111" s="68"/>
      <c r="B111" s="69"/>
      <c r="C111" s="70"/>
      <c r="D111" s="71">
        <f>'4-3-26'!I111</f>
        <v>0</v>
      </c>
      <c r="E111" s="68"/>
      <c r="F111" s="69"/>
      <c r="G111" s="69"/>
      <c r="H111" s="71">
        <f t="shared" si="4"/>
        <v>0</v>
      </c>
      <c r="I111" s="71">
        <f t="shared" si="6"/>
        <v>0</v>
      </c>
      <c r="J111" s="69">
        <f t="shared" si="5"/>
        <v>0</v>
      </c>
    </row>
    <row r="112" ht="1.75" customHeight="1" spans="1:10">
      <c r="A112" s="68"/>
      <c r="B112" s="69"/>
      <c r="C112" s="70"/>
      <c r="D112" s="71">
        <f>'4-3-26'!I112</f>
        <v>0</v>
      </c>
      <c r="E112" s="68"/>
      <c r="F112" s="69"/>
      <c r="G112" s="69"/>
      <c r="H112" s="71">
        <f t="shared" si="4"/>
        <v>0</v>
      </c>
      <c r="I112" s="71">
        <f t="shared" si="6"/>
        <v>0</v>
      </c>
      <c r="J112" s="69">
        <f t="shared" si="5"/>
        <v>0</v>
      </c>
    </row>
    <row r="113" ht="1.75" customHeight="1" spans="1:10">
      <c r="A113" s="68"/>
      <c r="B113" s="69"/>
      <c r="C113" s="70"/>
      <c r="D113" s="71">
        <f>'4-3-26'!I113</f>
        <v>0</v>
      </c>
      <c r="E113" s="68"/>
      <c r="F113" s="69"/>
      <c r="G113" s="69"/>
      <c r="H113" s="71">
        <f t="shared" si="4"/>
        <v>0</v>
      </c>
      <c r="I113" s="71">
        <f t="shared" si="6"/>
        <v>0</v>
      </c>
      <c r="J113" s="69">
        <f t="shared" si="5"/>
        <v>0</v>
      </c>
    </row>
    <row r="114" ht="1.75" customHeight="1" spans="1:10">
      <c r="A114" s="68"/>
      <c r="B114" s="69"/>
      <c r="C114" s="70"/>
      <c r="D114" s="71">
        <f>'4-3-26'!I114</f>
        <v>0</v>
      </c>
      <c r="E114" s="68"/>
      <c r="F114" s="69"/>
      <c r="G114" s="69"/>
      <c r="H114" s="71">
        <f t="shared" si="4"/>
        <v>0</v>
      </c>
      <c r="I114" s="71">
        <f t="shared" si="6"/>
        <v>0</v>
      </c>
      <c r="J114" s="69">
        <f t="shared" si="5"/>
        <v>0</v>
      </c>
    </row>
    <row r="115" ht="1.75" customHeight="1" spans="1:10">
      <c r="A115" s="68"/>
      <c r="B115" s="69"/>
      <c r="C115" s="70"/>
      <c r="D115" s="71">
        <f>'4-3-26'!I115</f>
        <v>0</v>
      </c>
      <c r="E115" s="68"/>
      <c r="F115" s="69"/>
      <c r="G115" s="69"/>
      <c r="H115" s="71">
        <f t="shared" si="4"/>
        <v>0</v>
      </c>
      <c r="I115" s="71">
        <f t="shared" si="6"/>
        <v>0</v>
      </c>
      <c r="J115" s="69">
        <f t="shared" si="5"/>
        <v>0</v>
      </c>
    </row>
    <row r="116" ht="1.75" customHeight="1" spans="1:10">
      <c r="A116" s="68"/>
      <c r="B116" s="69"/>
      <c r="C116" s="70"/>
      <c r="D116" s="71">
        <f>'4-3-26'!I116</f>
        <v>0</v>
      </c>
      <c r="E116" s="68"/>
      <c r="F116" s="69"/>
      <c r="G116" s="69"/>
      <c r="H116" s="71">
        <f t="shared" si="4"/>
        <v>0</v>
      </c>
      <c r="I116" s="71">
        <f t="shared" si="6"/>
        <v>0</v>
      </c>
      <c r="J116" s="69">
        <f t="shared" si="5"/>
        <v>0</v>
      </c>
    </row>
    <row r="117" ht="1.75" customHeight="1" spans="1:10">
      <c r="A117" s="68"/>
      <c r="B117" s="69"/>
      <c r="C117" s="70"/>
      <c r="D117" s="71">
        <f>'4-3-26'!I117</f>
        <v>0</v>
      </c>
      <c r="E117" s="68"/>
      <c r="F117" s="69"/>
      <c r="G117" s="69"/>
      <c r="H117" s="71">
        <f t="shared" si="4"/>
        <v>0</v>
      </c>
      <c r="I117" s="71">
        <f t="shared" si="6"/>
        <v>0</v>
      </c>
      <c r="J117" s="69">
        <f t="shared" si="5"/>
        <v>0</v>
      </c>
    </row>
    <row r="118" ht="1.75" customHeight="1" spans="1:10">
      <c r="A118" s="68"/>
      <c r="B118" s="69"/>
      <c r="C118" s="70"/>
      <c r="D118" s="71">
        <f>'4-3-26'!I118</f>
        <v>0</v>
      </c>
      <c r="E118" s="68"/>
      <c r="F118" s="69"/>
      <c r="G118" s="69"/>
      <c r="H118" s="71">
        <f t="shared" si="4"/>
        <v>0</v>
      </c>
      <c r="I118" s="71">
        <f t="shared" si="6"/>
        <v>0</v>
      </c>
      <c r="J118" s="69">
        <f t="shared" si="5"/>
        <v>0</v>
      </c>
    </row>
    <row r="119" ht="1.75" customHeight="1" spans="1:10">
      <c r="A119" s="68"/>
      <c r="B119" s="69"/>
      <c r="C119" s="70"/>
      <c r="D119" s="71">
        <f>'4-3-26'!I119</f>
        <v>0</v>
      </c>
      <c r="E119" s="68"/>
      <c r="F119" s="69"/>
      <c r="G119" s="69"/>
      <c r="H119" s="71">
        <f t="shared" si="4"/>
        <v>0</v>
      </c>
      <c r="I119" s="71">
        <f t="shared" si="6"/>
        <v>0</v>
      </c>
      <c r="J119" s="69">
        <f t="shared" si="5"/>
        <v>0</v>
      </c>
    </row>
    <row r="120" ht="1.75" customHeight="1" spans="1:10">
      <c r="A120" s="68"/>
      <c r="B120" s="69"/>
      <c r="C120" s="70"/>
      <c r="D120" s="71">
        <f>'4-3-26'!I120</f>
        <v>0</v>
      </c>
      <c r="E120" s="68"/>
      <c r="F120" s="69"/>
      <c r="G120" s="69"/>
      <c r="H120" s="71">
        <f t="shared" si="4"/>
        <v>0</v>
      </c>
      <c r="I120" s="71">
        <f t="shared" si="6"/>
        <v>0</v>
      </c>
      <c r="J120" s="69">
        <f t="shared" si="5"/>
        <v>0</v>
      </c>
    </row>
    <row r="121" ht="1.75" customHeight="1" spans="1:10">
      <c r="A121" s="68"/>
      <c r="B121" s="69"/>
      <c r="C121" s="70"/>
      <c r="D121" s="71">
        <f>'4-3-26'!I121</f>
        <v>0</v>
      </c>
      <c r="E121" s="68"/>
      <c r="F121" s="69"/>
      <c r="G121" s="69"/>
      <c r="H121" s="71">
        <f t="shared" si="4"/>
        <v>0</v>
      </c>
      <c r="I121" s="71">
        <f t="shared" si="6"/>
        <v>0</v>
      </c>
      <c r="J121" s="69">
        <f t="shared" si="5"/>
        <v>0</v>
      </c>
    </row>
    <row r="122" ht="1.75" customHeight="1" spans="1:10">
      <c r="A122" s="68"/>
      <c r="B122" s="69"/>
      <c r="C122" s="70"/>
      <c r="D122" s="71">
        <f>'4-3-26'!I122</f>
        <v>0</v>
      </c>
      <c r="E122" s="68"/>
      <c r="F122" s="69"/>
      <c r="G122" s="69"/>
      <c r="H122" s="71">
        <f t="shared" si="4"/>
        <v>0</v>
      </c>
      <c r="I122" s="71">
        <f t="shared" si="6"/>
        <v>0</v>
      </c>
      <c r="J122" s="69">
        <f t="shared" si="5"/>
        <v>0</v>
      </c>
    </row>
    <row r="123" ht="1.75" customHeight="1" spans="1:10">
      <c r="A123" s="68"/>
      <c r="B123" s="69"/>
      <c r="C123" s="70"/>
      <c r="D123" s="71">
        <f>'4-3-26'!I123</f>
        <v>0</v>
      </c>
      <c r="E123" s="68"/>
      <c r="F123" s="69"/>
      <c r="G123" s="69"/>
      <c r="H123" s="71">
        <f t="shared" si="4"/>
        <v>0</v>
      </c>
      <c r="I123" s="71">
        <f t="shared" si="6"/>
        <v>0</v>
      </c>
      <c r="J123" s="69">
        <f t="shared" si="5"/>
        <v>0</v>
      </c>
    </row>
    <row r="124" ht="1.75" customHeight="1" spans="1:10">
      <c r="A124" s="68"/>
      <c r="B124" s="69"/>
      <c r="C124" s="70"/>
      <c r="D124" s="71">
        <f>'4-3-26'!I124</f>
        <v>0</v>
      </c>
      <c r="E124" s="68"/>
      <c r="F124" s="69"/>
      <c r="G124" s="69"/>
      <c r="H124" s="71">
        <f t="shared" si="4"/>
        <v>0</v>
      </c>
      <c r="I124" s="71">
        <f t="shared" si="6"/>
        <v>0</v>
      </c>
      <c r="J124" s="69">
        <f t="shared" si="5"/>
        <v>0</v>
      </c>
    </row>
    <row r="125" ht="1.75" customHeight="1" spans="1:10">
      <c r="A125" s="68"/>
      <c r="B125" s="69"/>
      <c r="C125" s="70"/>
      <c r="D125" s="71">
        <f>'4-3-26'!I125</f>
        <v>0</v>
      </c>
      <c r="E125" s="68"/>
      <c r="F125" s="69"/>
      <c r="G125" s="69"/>
      <c r="H125" s="71">
        <f t="shared" si="4"/>
        <v>0</v>
      </c>
      <c r="I125" s="71">
        <f t="shared" si="6"/>
        <v>0</v>
      </c>
      <c r="J125" s="69">
        <f t="shared" si="5"/>
        <v>0</v>
      </c>
    </row>
    <row r="126" ht="1.75" customHeight="1" spans="1:10">
      <c r="A126" s="68"/>
      <c r="B126" s="69"/>
      <c r="C126" s="70"/>
      <c r="D126" s="71">
        <f>'4-3-26'!I126</f>
        <v>0</v>
      </c>
      <c r="E126" s="68"/>
      <c r="F126" s="69"/>
      <c r="G126" s="69"/>
      <c r="H126" s="71">
        <f t="shared" si="4"/>
        <v>0</v>
      </c>
      <c r="I126" s="71">
        <f t="shared" si="6"/>
        <v>0</v>
      </c>
      <c r="J126" s="69">
        <f t="shared" si="5"/>
        <v>0</v>
      </c>
    </row>
    <row r="127" ht="1.75" customHeight="1" spans="1:10">
      <c r="A127" s="68"/>
      <c r="B127" s="69"/>
      <c r="C127" s="70"/>
      <c r="D127" s="71">
        <f>'4-3-26'!I127</f>
        <v>0</v>
      </c>
      <c r="E127" s="68"/>
      <c r="F127" s="69"/>
      <c r="G127" s="69"/>
      <c r="H127" s="71">
        <f t="shared" si="4"/>
        <v>0</v>
      </c>
      <c r="I127" s="71">
        <f t="shared" si="6"/>
        <v>0</v>
      </c>
      <c r="J127" s="69">
        <f t="shared" si="5"/>
        <v>0</v>
      </c>
    </row>
    <row r="128" ht="1.75" customHeight="1" spans="1:10">
      <c r="A128" s="68"/>
      <c r="B128" s="69"/>
      <c r="C128" s="70"/>
      <c r="D128" s="71">
        <f>'4-3-26'!I128</f>
        <v>0</v>
      </c>
      <c r="E128" s="68"/>
      <c r="F128" s="69"/>
      <c r="G128" s="69"/>
      <c r="H128" s="71">
        <f t="shared" si="4"/>
        <v>0</v>
      </c>
      <c r="I128" s="71">
        <f t="shared" si="6"/>
        <v>0</v>
      </c>
      <c r="J128" s="69">
        <f t="shared" si="5"/>
        <v>0</v>
      </c>
    </row>
    <row r="129" ht="1.75" customHeight="1" spans="1:10">
      <c r="A129" s="68"/>
      <c r="B129" s="69"/>
      <c r="C129" s="70"/>
      <c r="D129" s="71">
        <f>'4-3-26'!I129</f>
        <v>0</v>
      </c>
      <c r="E129" s="68"/>
      <c r="F129" s="69"/>
      <c r="G129" s="69"/>
      <c r="H129" s="71">
        <f t="shared" si="4"/>
        <v>0</v>
      </c>
      <c r="I129" s="71">
        <f t="shared" si="6"/>
        <v>0</v>
      </c>
      <c r="J129" s="69">
        <f t="shared" si="5"/>
        <v>0</v>
      </c>
    </row>
    <row r="130" ht="1.75" customHeight="1" spans="1:10">
      <c r="A130" s="68"/>
      <c r="B130" s="69"/>
      <c r="C130" s="70"/>
      <c r="D130" s="71">
        <f>'4-3-26'!I130</f>
        <v>0</v>
      </c>
      <c r="E130" s="68"/>
      <c r="F130" s="69"/>
      <c r="G130" s="69"/>
      <c r="H130" s="71">
        <f t="shared" si="4"/>
        <v>0</v>
      </c>
      <c r="I130" s="71">
        <f t="shared" si="6"/>
        <v>0</v>
      </c>
      <c r="J130" s="69">
        <f t="shared" si="5"/>
        <v>0</v>
      </c>
    </row>
    <row r="131" ht="1.75" customHeight="1" spans="1:10">
      <c r="A131" s="68"/>
      <c r="B131" s="69"/>
      <c r="C131" s="70"/>
      <c r="D131" s="71">
        <f>'4-3-26'!I131</f>
        <v>0</v>
      </c>
      <c r="E131" s="68"/>
      <c r="F131" s="69"/>
      <c r="G131" s="69"/>
      <c r="H131" s="71">
        <f t="shared" si="4"/>
        <v>0</v>
      </c>
      <c r="I131" s="71">
        <f t="shared" si="6"/>
        <v>0</v>
      </c>
      <c r="J131" s="69">
        <f t="shared" si="5"/>
        <v>0</v>
      </c>
    </row>
    <row r="132" ht="1.75" customHeight="1" spans="1:10">
      <c r="A132" s="68"/>
      <c r="B132" s="69"/>
      <c r="C132" s="70"/>
      <c r="D132" s="71">
        <f>'4-3-26'!I132</f>
        <v>0</v>
      </c>
      <c r="E132" s="68"/>
      <c r="F132" s="69"/>
      <c r="G132" s="69"/>
      <c r="H132" s="71">
        <f t="shared" si="4"/>
        <v>0</v>
      </c>
      <c r="I132" s="71">
        <f t="shared" si="6"/>
        <v>0</v>
      </c>
      <c r="J132" s="69">
        <f t="shared" si="5"/>
        <v>0</v>
      </c>
    </row>
    <row r="133" ht="1.75" customHeight="1" spans="1:10">
      <c r="A133" s="68"/>
      <c r="B133" s="69"/>
      <c r="C133" s="70"/>
      <c r="D133" s="71">
        <f>'4-3-26'!I133</f>
        <v>0</v>
      </c>
      <c r="E133" s="68"/>
      <c r="F133" s="69"/>
      <c r="G133" s="69"/>
      <c r="H133" s="71">
        <f t="shared" si="4"/>
        <v>0</v>
      </c>
      <c r="I133" s="71">
        <f t="shared" si="6"/>
        <v>0</v>
      </c>
      <c r="J133" s="69">
        <f t="shared" si="5"/>
        <v>0</v>
      </c>
    </row>
    <row r="134" ht="1.75" customHeight="1" spans="1:10">
      <c r="A134" s="68"/>
      <c r="B134" s="69"/>
      <c r="C134" s="70"/>
      <c r="D134" s="71">
        <f>'4-3-26'!I134</f>
        <v>0</v>
      </c>
      <c r="E134" s="68"/>
      <c r="F134" s="69"/>
      <c r="G134" s="69"/>
      <c r="H134" s="71">
        <f t="shared" si="4"/>
        <v>0</v>
      </c>
      <c r="I134" s="71">
        <f t="shared" si="6"/>
        <v>0</v>
      </c>
      <c r="J134" s="69">
        <f t="shared" si="5"/>
        <v>0</v>
      </c>
    </row>
    <row r="135" ht="1.75" customHeight="1" spans="1:10">
      <c r="A135" s="68"/>
      <c r="B135" s="69"/>
      <c r="C135" s="70"/>
      <c r="D135" s="71">
        <f>'4-3-26'!I135</f>
        <v>0</v>
      </c>
      <c r="E135" s="68"/>
      <c r="F135" s="69"/>
      <c r="G135" s="69"/>
      <c r="H135" s="71">
        <f t="shared" si="4"/>
        <v>0</v>
      </c>
      <c r="I135" s="71">
        <f t="shared" si="6"/>
        <v>0</v>
      </c>
      <c r="J135" s="69">
        <f t="shared" si="5"/>
        <v>0</v>
      </c>
    </row>
    <row r="136" ht="1.75" customHeight="1" spans="1:10">
      <c r="A136" s="68"/>
      <c r="B136" s="69"/>
      <c r="C136" s="70"/>
      <c r="D136" s="71">
        <f>'4-3-26'!I136</f>
        <v>0</v>
      </c>
      <c r="E136" s="68"/>
      <c r="F136" s="69"/>
      <c r="G136" s="69"/>
      <c r="H136" s="71">
        <f t="shared" si="4"/>
        <v>0</v>
      </c>
      <c r="I136" s="71">
        <f t="shared" si="6"/>
        <v>0</v>
      </c>
      <c r="J136" s="69">
        <f t="shared" si="5"/>
        <v>0</v>
      </c>
    </row>
    <row r="137" ht="1.75" customHeight="1" spans="1:10">
      <c r="A137" s="68"/>
      <c r="B137" s="69"/>
      <c r="C137" s="70"/>
      <c r="D137" s="71">
        <f>'4-3-26'!I137</f>
        <v>0</v>
      </c>
      <c r="E137" s="68"/>
      <c r="F137" s="69"/>
      <c r="G137" s="69"/>
      <c r="H137" s="71">
        <f t="shared" si="4"/>
        <v>0</v>
      </c>
      <c r="I137" s="71">
        <f t="shared" si="6"/>
        <v>0</v>
      </c>
      <c r="J137" s="69">
        <f t="shared" si="5"/>
        <v>0</v>
      </c>
    </row>
    <row r="138" ht="1.75" customHeight="1" spans="1:10">
      <c r="A138" s="68"/>
      <c r="B138" s="69"/>
      <c r="C138" s="70"/>
      <c r="D138" s="71">
        <f>'4-3-26'!I138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si="6"/>
        <v>0</v>
      </c>
      <c r="J138" s="69">
        <f t="shared" ref="J138:J187" si="8">1/10*G138</f>
        <v>0</v>
      </c>
    </row>
    <row r="139" ht="1.75" customHeight="1" spans="1:10">
      <c r="A139" s="68"/>
      <c r="B139" s="69"/>
      <c r="C139" s="70"/>
      <c r="D139" s="71">
        <f>'4-3-26'!I139</f>
        <v>0</v>
      </c>
      <c r="E139" s="68"/>
      <c r="F139" s="69"/>
      <c r="G139" s="69"/>
      <c r="H139" s="71">
        <f t="shared" si="7"/>
        <v>0</v>
      </c>
      <c r="I139" s="71">
        <f t="shared" si="6"/>
        <v>0</v>
      </c>
      <c r="J139" s="69">
        <f t="shared" si="8"/>
        <v>0</v>
      </c>
    </row>
    <row r="140" ht="1.75" customHeight="1" spans="1:10">
      <c r="A140" s="68"/>
      <c r="B140" s="69"/>
      <c r="C140" s="70"/>
      <c r="D140" s="71">
        <f>'4-3-26'!I140</f>
        <v>0</v>
      </c>
      <c r="E140" s="68"/>
      <c r="F140" s="69"/>
      <c r="G140" s="69"/>
      <c r="H140" s="71">
        <f t="shared" si="7"/>
        <v>0</v>
      </c>
      <c r="I140" s="71">
        <f t="shared" si="6"/>
        <v>0</v>
      </c>
      <c r="J140" s="69">
        <f t="shared" si="8"/>
        <v>0</v>
      </c>
    </row>
    <row r="141" ht="1.75" customHeight="1" spans="1:10">
      <c r="A141" s="68"/>
      <c r="B141" s="69"/>
      <c r="C141" s="70"/>
      <c r="D141" s="71">
        <f>'4-3-26'!I141</f>
        <v>0</v>
      </c>
      <c r="E141" s="68"/>
      <c r="F141" s="69"/>
      <c r="G141" s="69"/>
      <c r="H141" s="71">
        <f t="shared" si="7"/>
        <v>0</v>
      </c>
      <c r="I141" s="71">
        <f t="shared" si="6"/>
        <v>0</v>
      </c>
      <c r="J141" s="69">
        <f t="shared" si="8"/>
        <v>0</v>
      </c>
    </row>
    <row r="142" ht="1.75" customHeight="1" spans="1:10">
      <c r="A142" s="68"/>
      <c r="B142" s="69"/>
      <c r="C142" s="70"/>
      <c r="D142" s="71">
        <f>'4-3-26'!I142</f>
        <v>0</v>
      </c>
      <c r="E142" s="68"/>
      <c r="F142" s="69"/>
      <c r="G142" s="69"/>
      <c r="H142" s="71">
        <f t="shared" si="7"/>
        <v>0</v>
      </c>
      <c r="I142" s="71">
        <f t="shared" si="6"/>
        <v>0</v>
      </c>
      <c r="J142" s="69">
        <f t="shared" si="8"/>
        <v>0</v>
      </c>
    </row>
    <row r="143" ht="1.75" customHeight="1" spans="1:10">
      <c r="A143" s="68"/>
      <c r="B143" s="69"/>
      <c r="C143" s="70"/>
      <c r="D143" s="71">
        <f>'4-3-26'!I143</f>
        <v>0</v>
      </c>
      <c r="E143" s="68"/>
      <c r="F143" s="69"/>
      <c r="G143" s="69"/>
      <c r="H143" s="71">
        <f t="shared" si="7"/>
        <v>0</v>
      </c>
      <c r="I143" s="71">
        <f t="shared" si="6"/>
        <v>0</v>
      </c>
      <c r="J143" s="69">
        <f t="shared" si="8"/>
        <v>0</v>
      </c>
    </row>
    <row r="144" ht="1.75" customHeight="1" spans="1:10">
      <c r="A144" s="68"/>
      <c r="B144" s="69"/>
      <c r="C144" s="70"/>
      <c r="D144" s="71">
        <f>'4-3-26'!I144</f>
        <v>0</v>
      </c>
      <c r="E144" s="68"/>
      <c r="F144" s="69"/>
      <c r="G144" s="69"/>
      <c r="H144" s="71">
        <f t="shared" si="7"/>
        <v>0</v>
      </c>
      <c r="I144" s="71">
        <f t="shared" si="6"/>
        <v>0</v>
      </c>
      <c r="J144" s="69">
        <f t="shared" si="8"/>
        <v>0</v>
      </c>
    </row>
    <row r="145" ht="1.75" customHeight="1" spans="1:10">
      <c r="A145" s="68"/>
      <c r="B145" s="69"/>
      <c r="C145" s="70"/>
      <c r="D145" s="71">
        <f>'4-3-26'!I145</f>
        <v>0</v>
      </c>
      <c r="E145" s="68"/>
      <c r="F145" s="69"/>
      <c r="G145" s="69"/>
      <c r="H145" s="71">
        <f t="shared" si="7"/>
        <v>0</v>
      </c>
      <c r="I145" s="71">
        <f t="shared" si="6"/>
        <v>0</v>
      </c>
      <c r="J145" s="69">
        <f t="shared" si="8"/>
        <v>0</v>
      </c>
    </row>
    <row r="146" ht="1.75" customHeight="1" spans="1:10">
      <c r="A146" s="68"/>
      <c r="B146" s="69"/>
      <c r="C146" s="70"/>
      <c r="D146" s="71">
        <f>'4-3-26'!I146</f>
        <v>0</v>
      </c>
      <c r="E146" s="68"/>
      <c r="F146" s="69"/>
      <c r="G146" s="69"/>
      <c r="H146" s="71">
        <f t="shared" si="7"/>
        <v>0</v>
      </c>
      <c r="I146" s="71">
        <f t="shared" si="6"/>
        <v>0</v>
      </c>
      <c r="J146" s="69">
        <f t="shared" si="8"/>
        <v>0</v>
      </c>
    </row>
    <row r="147" ht="1.75" customHeight="1" spans="1:10">
      <c r="A147" s="68"/>
      <c r="B147" s="69"/>
      <c r="C147" s="70"/>
      <c r="D147" s="71">
        <f>'4-3-26'!I147</f>
        <v>0</v>
      </c>
      <c r="E147" s="68"/>
      <c r="F147" s="69"/>
      <c r="G147" s="69"/>
      <c r="H147" s="71">
        <f t="shared" si="7"/>
        <v>0</v>
      </c>
      <c r="I147" s="71">
        <f t="shared" si="6"/>
        <v>0</v>
      </c>
      <c r="J147" s="69">
        <f t="shared" si="8"/>
        <v>0</v>
      </c>
    </row>
    <row r="148" ht="1.75" customHeight="1" spans="1:10">
      <c r="A148" s="68"/>
      <c r="B148" s="69"/>
      <c r="C148" s="70"/>
      <c r="D148" s="71">
        <f>'4-3-26'!I148</f>
        <v>0</v>
      </c>
      <c r="E148" s="68"/>
      <c r="F148" s="69"/>
      <c r="G148" s="69"/>
      <c r="H148" s="71">
        <f t="shared" si="7"/>
        <v>0</v>
      </c>
      <c r="I148" s="71">
        <f t="shared" si="6"/>
        <v>0</v>
      </c>
      <c r="J148" s="69">
        <f t="shared" si="8"/>
        <v>0</v>
      </c>
    </row>
    <row r="149" ht="1.75" customHeight="1" spans="1:10">
      <c r="A149" s="68"/>
      <c r="B149" s="69"/>
      <c r="C149" s="70"/>
      <c r="D149" s="71">
        <f>'4-3-26'!I149</f>
        <v>0</v>
      </c>
      <c r="E149" s="68"/>
      <c r="F149" s="69"/>
      <c r="G149" s="69"/>
      <c r="H149" s="71">
        <f t="shared" si="7"/>
        <v>0</v>
      </c>
      <c r="I149" s="71">
        <f t="shared" si="6"/>
        <v>0</v>
      </c>
      <c r="J149" s="69">
        <f t="shared" si="8"/>
        <v>0</v>
      </c>
    </row>
    <row r="150" ht="1.75" customHeight="1" spans="1:10">
      <c r="A150" s="68"/>
      <c r="B150" s="69"/>
      <c r="C150" s="70"/>
      <c r="D150" s="71">
        <f>'4-3-26'!I150</f>
        <v>0</v>
      </c>
      <c r="E150" s="68"/>
      <c r="F150" s="69"/>
      <c r="G150" s="69"/>
      <c r="H150" s="71">
        <f t="shared" si="7"/>
        <v>0</v>
      </c>
      <c r="I150" s="71">
        <f t="shared" si="6"/>
        <v>0</v>
      </c>
      <c r="J150" s="69">
        <f t="shared" si="8"/>
        <v>0</v>
      </c>
    </row>
    <row r="151" ht="1.75" customHeight="1" spans="1:10">
      <c r="A151" s="68"/>
      <c r="B151" s="69"/>
      <c r="C151" s="70"/>
      <c r="D151" s="71">
        <f>'4-3-26'!I151</f>
        <v>0</v>
      </c>
      <c r="E151" s="68"/>
      <c r="F151" s="69"/>
      <c r="G151" s="69"/>
      <c r="H151" s="71">
        <f t="shared" si="7"/>
        <v>0</v>
      </c>
      <c r="I151" s="71">
        <f t="shared" si="6"/>
        <v>0</v>
      </c>
      <c r="J151" s="69">
        <f t="shared" si="8"/>
        <v>0</v>
      </c>
    </row>
    <row r="152" ht="1.75" customHeight="1" spans="1:10">
      <c r="A152" s="68"/>
      <c r="B152" s="69"/>
      <c r="C152" s="70"/>
      <c r="D152" s="71">
        <f>'4-3-26'!I152</f>
        <v>0</v>
      </c>
      <c r="E152" s="68"/>
      <c r="F152" s="69"/>
      <c r="G152" s="69"/>
      <c r="H152" s="71">
        <f t="shared" si="7"/>
        <v>0</v>
      </c>
      <c r="I152" s="71">
        <f t="shared" si="6"/>
        <v>0</v>
      </c>
      <c r="J152" s="69">
        <f t="shared" si="8"/>
        <v>0</v>
      </c>
    </row>
    <row r="153" ht="1.75" customHeight="1" spans="1:10">
      <c r="A153" s="68"/>
      <c r="B153" s="69"/>
      <c r="C153" s="70"/>
      <c r="D153" s="71">
        <f>'4-3-26'!I153</f>
        <v>0</v>
      </c>
      <c r="E153" s="68"/>
      <c r="F153" s="69"/>
      <c r="G153" s="69"/>
      <c r="H153" s="71">
        <f t="shared" si="7"/>
        <v>0</v>
      </c>
      <c r="I153" s="71">
        <f t="shared" si="6"/>
        <v>0</v>
      </c>
      <c r="J153" s="69">
        <f t="shared" si="8"/>
        <v>0</v>
      </c>
    </row>
    <row r="154" ht="1.75" customHeight="1" spans="1:10">
      <c r="A154" s="68"/>
      <c r="B154" s="69"/>
      <c r="C154" s="70"/>
      <c r="D154" s="71">
        <f>'4-3-26'!I154</f>
        <v>0</v>
      </c>
      <c r="E154" s="68"/>
      <c r="F154" s="69"/>
      <c r="G154" s="69"/>
      <c r="H154" s="71">
        <f t="shared" si="7"/>
        <v>0</v>
      </c>
      <c r="I154" s="71">
        <f t="shared" si="6"/>
        <v>0</v>
      </c>
      <c r="J154" s="69">
        <f t="shared" si="8"/>
        <v>0</v>
      </c>
    </row>
    <row r="155" ht="1.75" customHeight="1" spans="1:10">
      <c r="A155" s="68"/>
      <c r="B155" s="69"/>
      <c r="C155" s="70"/>
      <c r="D155" s="71">
        <f>'4-3-26'!I155</f>
        <v>0</v>
      </c>
      <c r="E155" s="68"/>
      <c r="F155" s="69"/>
      <c r="G155" s="69"/>
      <c r="H155" s="71">
        <f t="shared" si="7"/>
        <v>0</v>
      </c>
      <c r="I155" s="71">
        <f t="shared" si="6"/>
        <v>0</v>
      </c>
      <c r="J155" s="69">
        <f t="shared" si="8"/>
        <v>0</v>
      </c>
    </row>
    <row r="156" ht="1.75" customHeight="1" spans="1:10">
      <c r="A156" s="68"/>
      <c r="B156" s="69"/>
      <c r="C156" s="70"/>
      <c r="D156" s="71">
        <f>'4-3-26'!I156</f>
        <v>0</v>
      </c>
      <c r="E156" s="68"/>
      <c r="F156" s="69"/>
      <c r="G156" s="69"/>
      <c r="H156" s="71">
        <f t="shared" si="7"/>
        <v>0</v>
      </c>
      <c r="I156" s="71">
        <f t="shared" si="6"/>
        <v>0</v>
      </c>
      <c r="J156" s="69">
        <f t="shared" si="8"/>
        <v>0</v>
      </c>
    </row>
    <row r="157" ht="1.75" customHeight="1" spans="1:10">
      <c r="A157" s="68"/>
      <c r="B157" s="69"/>
      <c r="C157" s="70"/>
      <c r="D157" s="71">
        <f>'4-3-26'!I157</f>
        <v>0</v>
      </c>
      <c r="E157" s="68"/>
      <c r="F157" s="69"/>
      <c r="G157" s="69"/>
      <c r="H157" s="71">
        <f t="shared" si="7"/>
        <v>0</v>
      </c>
      <c r="I157" s="71">
        <f t="shared" si="6"/>
        <v>0</v>
      </c>
      <c r="J157" s="69">
        <f t="shared" si="8"/>
        <v>0</v>
      </c>
    </row>
    <row r="158" ht="1.75" customHeight="1" spans="1:10">
      <c r="A158" s="68"/>
      <c r="B158" s="69"/>
      <c r="C158" s="70"/>
      <c r="D158" s="71">
        <f>'4-3-26'!I158</f>
        <v>0</v>
      </c>
      <c r="E158" s="68"/>
      <c r="F158" s="69"/>
      <c r="G158" s="69"/>
      <c r="H158" s="71">
        <f t="shared" si="7"/>
        <v>0</v>
      </c>
      <c r="I158" s="71">
        <f t="shared" si="6"/>
        <v>0</v>
      </c>
      <c r="J158" s="69">
        <f t="shared" si="8"/>
        <v>0</v>
      </c>
    </row>
    <row r="159" ht="1.75" customHeight="1" spans="1:10">
      <c r="A159" s="68"/>
      <c r="B159" s="69"/>
      <c r="C159" s="70"/>
      <c r="D159" s="71">
        <f>'4-3-26'!I159</f>
        <v>0</v>
      </c>
      <c r="E159" s="68"/>
      <c r="F159" s="69"/>
      <c r="G159" s="69"/>
      <c r="H159" s="71">
        <f t="shared" si="7"/>
        <v>0</v>
      </c>
      <c r="I159" s="71">
        <f t="shared" si="6"/>
        <v>0</v>
      </c>
      <c r="J159" s="69">
        <f t="shared" si="8"/>
        <v>0</v>
      </c>
    </row>
    <row r="160" ht="1.75" customHeight="1" spans="1:10">
      <c r="A160" s="68"/>
      <c r="B160" s="69"/>
      <c r="C160" s="70"/>
      <c r="D160" s="71">
        <f>'4-3-26'!I160</f>
        <v>0</v>
      </c>
      <c r="E160" s="68"/>
      <c r="F160" s="69"/>
      <c r="G160" s="69"/>
      <c r="H160" s="71">
        <f t="shared" si="7"/>
        <v>0</v>
      </c>
      <c r="I160" s="71">
        <f t="shared" si="6"/>
        <v>0</v>
      </c>
      <c r="J160" s="69">
        <f t="shared" si="8"/>
        <v>0</v>
      </c>
    </row>
    <row r="161" ht="1.75" customHeight="1" spans="1:10">
      <c r="A161" s="68"/>
      <c r="B161" s="69"/>
      <c r="C161" s="70"/>
      <c r="D161" s="71">
        <f>'4-3-26'!I161</f>
        <v>0</v>
      </c>
      <c r="E161" s="68"/>
      <c r="F161" s="69"/>
      <c r="G161" s="69"/>
      <c r="H161" s="71">
        <f t="shared" si="7"/>
        <v>0</v>
      </c>
      <c r="I161" s="71">
        <f t="shared" si="6"/>
        <v>0</v>
      </c>
      <c r="J161" s="69">
        <f t="shared" si="8"/>
        <v>0</v>
      </c>
    </row>
    <row r="162" ht="1.75" customHeight="1" spans="1:10">
      <c r="A162" s="68"/>
      <c r="B162" s="69"/>
      <c r="C162" s="70"/>
      <c r="D162" s="71">
        <f>'4-3-26'!I162</f>
        <v>0</v>
      </c>
      <c r="E162" s="68"/>
      <c r="F162" s="69"/>
      <c r="G162" s="69"/>
      <c r="H162" s="71">
        <f t="shared" si="7"/>
        <v>0</v>
      </c>
      <c r="I162" s="71">
        <f t="shared" si="6"/>
        <v>0</v>
      </c>
      <c r="J162" s="69">
        <f t="shared" si="8"/>
        <v>0</v>
      </c>
    </row>
    <row r="163" ht="1.75" customHeight="1" spans="1:10">
      <c r="A163" s="68"/>
      <c r="B163" s="69"/>
      <c r="C163" s="70"/>
      <c r="D163" s="71">
        <f>'4-3-26'!I163</f>
        <v>0</v>
      </c>
      <c r="E163" s="68"/>
      <c r="F163" s="69"/>
      <c r="G163" s="69"/>
      <c r="H163" s="71">
        <f t="shared" si="7"/>
        <v>0</v>
      </c>
      <c r="I163" s="71">
        <f t="shared" si="6"/>
        <v>0</v>
      </c>
      <c r="J163" s="69">
        <f t="shared" si="8"/>
        <v>0</v>
      </c>
    </row>
    <row r="164" ht="1.75" customHeight="1" spans="1:10">
      <c r="A164" s="68"/>
      <c r="B164" s="69"/>
      <c r="C164" s="70"/>
      <c r="D164" s="71">
        <f>'4-3-26'!I164</f>
        <v>0</v>
      </c>
      <c r="E164" s="68"/>
      <c r="F164" s="69"/>
      <c r="G164" s="69"/>
      <c r="H164" s="71">
        <f t="shared" si="7"/>
        <v>0</v>
      </c>
      <c r="I164" s="71">
        <f t="shared" si="6"/>
        <v>0</v>
      </c>
      <c r="J164" s="69">
        <f t="shared" si="8"/>
        <v>0</v>
      </c>
    </row>
    <row r="165" ht="1.75" customHeight="1" spans="1:10">
      <c r="A165" s="68"/>
      <c r="B165" s="69"/>
      <c r="C165" s="70"/>
      <c r="D165" s="71">
        <f>'4-3-26'!I165</f>
        <v>0</v>
      </c>
      <c r="E165" s="68"/>
      <c r="F165" s="69"/>
      <c r="G165" s="69"/>
      <c r="H165" s="71">
        <f t="shared" si="7"/>
        <v>0</v>
      </c>
      <c r="I165" s="71">
        <f t="shared" si="6"/>
        <v>0</v>
      </c>
      <c r="J165" s="69">
        <f t="shared" si="8"/>
        <v>0</v>
      </c>
    </row>
    <row r="166" ht="1.75" customHeight="1" spans="1:10">
      <c r="A166" s="68"/>
      <c r="B166" s="69"/>
      <c r="C166" s="70"/>
      <c r="D166" s="71">
        <f>'4-3-26'!I166</f>
        <v>0</v>
      </c>
      <c r="E166" s="68"/>
      <c r="F166" s="69"/>
      <c r="G166" s="69"/>
      <c r="H166" s="71">
        <f t="shared" si="7"/>
        <v>0</v>
      </c>
      <c r="I166" s="71">
        <f t="shared" si="6"/>
        <v>0</v>
      </c>
      <c r="J166" s="69">
        <f t="shared" si="8"/>
        <v>0</v>
      </c>
    </row>
    <row r="167" ht="1.75" customHeight="1" spans="1:10">
      <c r="A167" s="68"/>
      <c r="B167" s="69"/>
      <c r="C167" s="70"/>
      <c r="D167" s="71">
        <f>'4-3-26'!I167</f>
        <v>0</v>
      </c>
      <c r="E167" s="68"/>
      <c r="F167" s="69"/>
      <c r="G167" s="69"/>
      <c r="H167" s="71">
        <f t="shared" si="7"/>
        <v>0</v>
      </c>
      <c r="I167" s="71">
        <f t="shared" si="6"/>
        <v>0</v>
      </c>
      <c r="J167" s="69">
        <f t="shared" si="8"/>
        <v>0</v>
      </c>
    </row>
    <row r="168" ht="1.75" customHeight="1" spans="1:10">
      <c r="A168" s="68"/>
      <c r="B168" s="69"/>
      <c r="C168" s="70"/>
      <c r="D168" s="71">
        <f>'4-3-26'!I168</f>
        <v>0</v>
      </c>
      <c r="E168" s="68"/>
      <c r="F168" s="69"/>
      <c r="G168" s="69"/>
      <c r="H168" s="71">
        <f t="shared" si="7"/>
        <v>0</v>
      </c>
      <c r="I168" s="71">
        <f t="shared" si="6"/>
        <v>0</v>
      </c>
      <c r="J168" s="69">
        <f t="shared" si="8"/>
        <v>0</v>
      </c>
    </row>
    <row r="169" ht="1.75" customHeight="1" spans="1:10">
      <c r="A169" s="68"/>
      <c r="B169" s="69"/>
      <c r="C169" s="70"/>
      <c r="D169" s="71">
        <f>'4-3-26'!I169</f>
        <v>0</v>
      </c>
      <c r="E169" s="68"/>
      <c r="F169" s="69"/>
      <c r="G169" s="69"/>
      <c r="H169" s="71">
        <f t="shared" si="7"/>
        <v>0</v>
      </c>
      <c r="I169" s="71">
        <f t="shared" si="6"/>
        <v>0</v>
      </c>
      <c r="J169" s="69">
        <f t="shared" si="8"/>
        <v>0</v>
      </c>
    </row>
    <row r="170" ht="1.75" customHeight="1" spans="1:10">
      <c r="A170" s="68"/>
      <c r="B170" s="69"/>
      <c r="C170" s="70"/>
      <c r="D170" s="71">
        <f>'4-3-26'!I170</f>
        <v>0</v>
      </c>
      <c r="E170" s="68"/>
      <c r="F170" s="69"/>
      <c r="G170" s="69"/>
      <c r="H170" s="71">
        <f t="shared" si="7"/>
        <v>0</v>
      </c>
      <c r="I170" s="71">
        <f t="shared" si="6"/>
        <v>0</v>
      </c>
      <c r="J170" s="69">
        <f t="shared" si="8"/>
        <v>0</v>
      </c>
    </row>
    <row r="171" ht="1.75" customHeight="1" spans="1:10">
      <c r="A171" s="68"/>
      <c r="B171" s="69"/>
      <c r="C171" s="70"/>
      <c r="D171" s="71">
        <f>'4-3-26'!I171</f>
        <v>0</v>
      </c>
      <c r="E171" s="68"/>
      <c r="F171" s="69"/>
      <c r="G171" s="69"/>
      <c r="H171" s="71">
        <f t="shared" si="7"/>
        <v>0</v>
      </c>
      <c r="I171" s="71">
        <f t="shared" si="6"/>
        <v>0</v>
      </c>
      <c r="J171" s="69">
        <f t="shared" si="8"/>
        <v>0</v>
      </c>
    </row>
    <row r="172" ht="1.75" customHeight="1" spans="1:10">
      <c r="A172" s="68"/>
      <c r="B172" s="69"/>
      <c r="C172" s="70"/>
      <c r="D172" s="71">
        <f>'4-3-26'!I172</f>
        <v>0</v>
      </c>
      <c r="E172" s="68"/>
      <c r="F172" s="69"/>
      <c r="G172" s="69"/>
      <c r="H172" s="71">
        <f t="shared" si="7"/>
        <v>0</v>
      </c>
      <c r="I172" s="71">
        <f t="shared" si="6"/>
        <v>0</v>
      </c>
      <c r="J172" s="69">
        <f t="shared" si="8"/>
        <v>0</v>
      </c>
    </row>
    <row r="173" ht="1.75" customHeight="1" spans="1:10">
      <c r="A173" s="68"/>
      <c r="B173" s="69"/>
      <c r="C173" s="70"/>
      <c r="D173" s="71">
        <f>'4-3-26'!I173</f>
        <v>0</v>
      </c>
      <c r="E173" s="68"/>
      <c r="F173" s="69"/>
      <c r="G173" s="69"/>
      <c r="H173" s="71">
        <f t="shared" si="7"/>
        <v>0</v>
      </c>
      <c r="I173" s="71">
        <f t="shared" si="6"/>
        <v>0</v>
      </c>
      <c r="J173" s="69">
        <f t="shared" si="8"/>
        <v>0</v>
      </c>
    </row>
    <row r="174" ht="1.75" customHeight="1" spans="1:10">
      <c r="A174" s="68"/>
      <c r="B174" s="69"/>
      <c r="C174" s="70"/>
      <c r="D174" s="71">
        <f>'4-3-26'!I174</f>
        <v>0</v>
      </c>
      <c r="E174" s="68"/>
      <c r="F174" s="69"/>
      <c r="G174" s="69"/>
      <c r="H174" s="71">
        <f t="shared" si="7"/>
        <v>0</v>
      </c>
      <c r="I174" s="71">
        <f t="shared" si="6"/>
        <v>0</v>
      </c>
      <c r="J174" s="69">
        <f t="shared" si="8"/>
        <v>0</v>
      </c>
    </row>
    <row r="175" ht="1.75" customHeight="1" spans="1:10">
      <c r="A175" s="68"/>
      <c r="B175" s="69"/>
      <c r="C175" s="70"/>
      <c r="D175" s="71">
        <f>'4-3-26'!I175</f>
        <v>0</v>
      </c>
      <c r="E175" s="68"/>
      <c r="F175" s="69"/>
      <c r="G175" s="69"/>
      <c r="H175" s="71">
        <f t="shared" si="7"/>
        <v>0</v>
      </c>
      <c r="I175" s="71">
        <f t="shared" si="6"/>
        <v>0</v>
      </c>
      <c r="J175" s="69">
        <f t="shared" si="8"/>
        <v>0</v>
      </c>
    </row>
    <row r="176" ht="1.75" customHeight="1" spans="1:10">
      <c r="A176" s="68"/>
      <c r="B176" s="69"/>
      <c r="C176" s="70"/>
      <c r="D176" s="71">
        <f>'4-3-26'!I176</f>
        <v>0</v>
      </c>
      <c r="E176" s="68"/>
      <c r="F176" s="69"/>
      <c r="G176" s="69"/>
      <c r="H176" s="71">
        <f t="shared" si="7"/>
        <v>0</v>
      </c>
      <c r="I176" s="71">
        <f t="shared" si="6"/>
        <v>0</v>
      </c>
      <c r="J176" s="69">
        <f t="shared" si="8"/>
        <v>0</v>
      </c>
    </row>
    <row r="177" ht="1.75" customHeight="1" spans="1:11">
      <c r="A177" s="68"/>
      <c r="B177" s="69"/>
      <c r="C177" s="70"/>
      <c r="D177" s="71">
        <f>'4-3-26'!I177</f>
        <v>0</v>
      </c>
      <c r="E177" s="68"/>
      <c r="F177" s="69"/>
      <c r="G177" s="69"/>
      <c r="H177" s="71">
        <f t="shared" si="7"/>
        <v>0</v>
      </c>
      <c r="I177" s="71">
        <f t="shared" si="6"/>
        <v>0</v>
      </c>
      <c r="J177" s="69">
        <f t="shared" si="8"/>
        <v>0</v>
      </c>
    </row>
    <row r="178" ht="1.75" customHeight="1" spans="1:11">
      <c r="A178" s="68"/>
      <c r="B178" s="69"/>
      <c r="C178" s="70"/>
      <c r="D178" s="71">
        <f>'4-3-26'!I178</f>
        <v>0</v>
      </c>
      <c r="E178" s="68"/>
      <c r="F178" s="69"/>
      <c r="G178" s="69"/>
      <c r="H178" s="71">
        <f t="shared" si="7"/>
        <v>0</v>
      </c>
      <c r="I178" s="71">
        <f t="shared" si="6"/>
        <v>0</v>
      </c>
      <c r="J178" s="69">
        <f t="shared" si="8"/>
        <v>0</v>
      </c>
    </row>
    <row r="179" ht="1.75" customHeight="1" spans="1:11">
      <c r="A179" s="68"/>
      <c r="B179" s="69"/>
      <c r="C179" s="70"/>
      <c r="D179" s="71">
        <f>'4-3-26'!I179</f>
        <v>0</v>
      </c>
      <c r="E179" s="68"/>
      <c r="F179" s="69"/>
      <c r="G179" s="69"/>
      <c r="H179" s="71">
        <f t="shared" si="7"/>
        <v>0</v>
      </c>
      <c r="I179" s="71">
        <f t="shared" si="6"/>
        <v>0</v>
      </c>
      <c r="J179" s="69">
        <f t="shared" si="8"/>
        <v>0</v>
      </c>
    </row>
    <row r="180" ht="1.75" customHeight="1" spans="1:11">
      <c r="A180" s="68"/>
      <c r="B180" s="69"/>
      <c r="C180" s="70"/>
      <c r="D180" s="71">
        <f>'4-3-26'!I180</f>
        <v>0</v>
      </c>
      <c r="E180" s="68"/>
      <c r="F180" s="69"/>
      <c r="G180" s="69"/>
      <c r="H180" s="71">
        <f t="shared" si="7"/>
        <v>0</v>
      </c>
      <c r="I180" s="71">
        <f t="shared" si="6"/>
        <v>0</v>
      </c>
      <c r="J180" s="69">
        <f t="shared" si="8"/>
        <v>0</v>
      </c>
    </row>
    <row r="181" ht="1.75" customHeight="1" spans="1:11">
      <c r="A181" s="68"/>
      <c r="B181" s="69"/>
      <c r="C181" s="70"/>
      <c r="D181" s="71">
        <f>'4-3-26'!I181</f>
        <v>0</v>
      </c>
      <c r="E181" s="68"/>
      <c r="F181" s="69"/>
      <c r="G181" s="69"/>
      <c r="H181" s="71">
        <f t="shared" si="7"/>
        <v>0</v>
      </c>
      <c r="I181" s="71">
        <f t="shared" si="6"/>
        <v>0</v>
      </c>
      <c r="J181" s="69">
        <f t="shared" si="8"/>
        <v>0</v>
      </c>
    </row>
    <row r="182" ht="1.75" customHeight="1" spans="1:11">
      <c r="A182" s="68"/>
      <c r="B182" s="69"/>
      <c r="C182" s="70"/>
      <c r="D182" s="71">
        <f>'4-3-26'!I182</f>
        <v>0</v>
      </c>
      <c r="E182" s="68"/>
      <c r="F182" s="69"/>
      <c r="G182" s="69"/>
      <c r="H182" s="71">
        <f t="shared" si="7"/>
        <v>0</v>
      </c>
      <c r="I182" s="71">
        <f t="shared" si="6"/>
        <v>0</v>
      </c>
      <c r="J182" s="69">
        <f t="shared" si="8"/>
        <v>0</v>
      </c>
    </row>
    <row r="183" ht="1.75" customHeight="1" spans="1:11">
      <c r="A183" s="68"/>
      <c r="B183" s="69"/>
      <c r="C183" s="70"/>
      <c r="D183" s="71">
        <f>'4-3-26'!I183</f>
        <v>0</v>
      </c>
      <c r="E183" s="68"/>
      <c r="F183" s="69"/>
      <c r="G183" s="69"/>
      <c r="H183" s="71">
        <f t="shared" si="7"/>
        <v>0</v>
      </c>
      <c r="I183" s="71">
        <f t="shared" si="6"/>
        <v>0</v>
      </c>
      <c r="J183" s="69">
        <f t="shared" si="8"/>
        <v>0</v>
      </c>
    </row>
    <row r="184" ht="1.75" customHeight="1" spans="1:11">
      <c r="A184" s="68"/>
      <c r="B184" s="69"/>
      <c r="C184" s="70"/>
      <c r="D184" s="71">
        <f>'4-3-26'!I184</f>
        <v>0</v>
      </c>
      <c r="E184" s="68"/>
      <c r="F184" s="69"/>
      <c r="G184" s="69"/>
      <c r="H184" s="71">
        <f t="shared" si="7"/>
        <v>0</v>
      </c>
      <c r="I184" s="71">
        <f t="shared" si="6"/>
        <v>0</v>
      </c>
      <c r="J184" s="69">
        <f t="shared" si="8"/>
        <v>0</v>
      </c>
    </row>
    <row r="185" ht="12.75" customHeight="1" spans="1:11">
      <c r="A185" s="68"/>
      <c r="B185" s="69"/>
      <c r="C185" s="70"/>
      <c r="D185" s="71">
        <f>'4-3-26'!I185</f>
        <v>0</v>
      </c>
      <c r="E185" s="68"/>
      <c r="F185" s="69"/>
      <c r="G185" s="69"/>
      <c r="H185" s="71">
        <f t="shared" si="7"/>
        <v>0</v>
      </c>
      <c r="I185" s="71">
        <f t="shared" si="6"/>
        <v>0</v>
      </c>
      <c r="J185" s="69">
        <f t="shared" si="8"/>
        <v>0</v>
      </c>
    </row>
    <row r="186" ht="12.75" customHeight="1" spans="1:11">
      <c r="A186" s="68"/>
      <c r="B186" s="69"/>
      <c r="C186" s="70"/>
      <c r="D186" s="71">
        <f>'4-3-26'!I186</f>
        <v>0</v>
      </c>
      <c r="E186" s="68"/>
      <c r="F186" s="69"/>
      <c r="G186" s="69"/>
      <c r="H186" s="71">
        <f t="shared" si="7"/>
        <v>0</v>
      </c>
      <c r="I186" s="71">
        <f t="shared" si="6"/>
        <v>0</v>
      </c>
      <c r="J186" s="69">
        <f t="shared" si="8"/>
        <v>0</v>
      </c>
    </row>
    <row r="187" ht="12.75" spans="1:11">
      <c r="A187" s="68"/>
      <c r="B187" s="69"/>
      <c r="C187" s="74"/>
      <c r="D187" s="71">
        <f>'4-3-26'!I187</f>
        <v>0</v>
      </c>
      <c r="E187" s="68"/>
      <c r="F187" s="69"/>
      <c r="G187" s="69"/>
      <c r="H187" s="71">
        <f t="shared" si="7"/>
        <v>0</v>
      </c>
      <c r="I187" s="71">
        <f t="shared" si="6"/>
        <v>0</v>
      </c>
      <c r="J187" s="69">
        <f t="shared" si="8"/>
        <v>0</v>
      </c>
    </row>
    <row r="188" ht="11.25" spans="1:11">
      <c r="A188" s="75"/>
      <c r="B188" s="76" t="s">
        <v>124</v>
      </c>
      <c r="C188" s="77"/>
      <c r="D188" s="78">
        <f>SUM(D9:D187)</f>
        <v>445887000</v>
      </c>
      <c r="E188" s="79">
        <f t="shared" ref="E188:J188" si="9">SUM(E9:E187)</f>
        <v>25</v>
      </c>
      <c r="F188" s="78">
        <f t="shared" si="9"/>
        <v>1000000</v>
      </c>
      <c r="G188" s="78">
        <f t="shared" si="9"/>
        <v>360000</v>
      </c>
      <c r="H188" s="78">
        <f t="shared" si="9"/>
        <v>1360000</v>
      </c>
      <c r="I188" s="78">
        <f t="shared" si="9"/>
        <v>444887000</v>
      </c>
      <c r="J188" s="78">
        <f t="shared" si="9"/>
        <v>36000</v>
      </c>
    </row>
    <row r="189" ht="12.75" spans="1:11">
      <c r="A189" s="80"/>
      <c r="B189" s="80"/>
      <c r="C189" s="81"/>
    </row>
    <row r="190" customHeight="1" spans="1:11">
      <c r="A190" s="82"/>
      <c r="B190" s="80" t="s">
        <v>125</v>
      </c>
      <c r="C190" s="83" t="s">
        <v>126</v>
      </c>
      <c r="D190" s="84"/>
      <c r="K190" s="82"/>
    </row>
    <row r="191" customHeight="1" spans="1:11">
      <c r="A191" s="82"/>
      <c r="B191" s="80" t="s">
        <v>127</v>
      </c>
      <c r="C191" s="83" t="s">
        <v>128</v>
      </c>
      <c r="D191" s="80">
        <f>G188</f>
        <v>360000</v>
      </c>
      <c r="F191" s="129" t="s">
        <v>173</v>
      </c>
      <c r="G191" s="80"/>
      <c r="H191" s="80"/>
      <c r="I191" s="80"/>
      <c r="K191" s="82"/>
    </row>
    <row r="192" customHeight="1" spans="1:11">
      <c r="A192" s="82"/>
      <c r="B192" s="80" t="s">
        <v>130</v>
      </c>
      <c r="C192" s="83" t="s">
        <v>128</v>
      </c>
      <c r="D192" s="80">
        <f>D191/20</f>
        <v>18000</v>
      </c>
      <c r="F192" s="80" t="s">
        <v>131</v>
      </c>
      <c r="G192" s="80"/>
      <c r="H192" s="80"/>
      <c r="I192" s="80"/>
      <c r="K192" s="82"/>
    </row>
    <row r="193" customHeight="1" spans="1:11">
      <c r="A193" s="82"/>
      <c r="B193" s="80" t="s">
        <v>132</v>
      </c>
      <c r="C193" s="83" t="s">
        <v>133</v>
      </c>
      <c r="D193" s="80"/>
      <c r="F193" s="80" t="s">
        <v>134</v>
      </c>
      <c r="G193" s="86"/>
      <c r="H193" s="80" t="s">
        <v>135</v>
      </c>
      <c r="K193" s="82"/>
    </row>
    <row r="194" customHeight="1" spans="1:11">
      <c r="A194" s="82"/>
      <c r="B194" s="80" t="s">
        <v>136</v>
      </c>
      <c r="C194" s="83" t="s">
        <v>128</v>
      </c>
      <c r="D194" s="80">
        <f>11*D192</f>
        <v>198000</v>
      </c>
      <c r="F194" s="80"/>
      <c r="G194" s="86"/>
      <c r="H194" s="80"/>
      <c r="K194" s="82"/>
    </row>
    <row r="195" customHeight="1" spans="1:11">
      <c r="A195" s="82"/>
      <c r="B195" s="80" t="s">
        <v>137</v>
      </c>
      <c r="C195" s="83" t="s">
        <v>128</v>
      </c>
      <c r="D195" s="80">
        <f>1/2*D192</f>
        <v>9000</v>
      </c>
      <c r="F195" s="80"/>
      <c r="G195" s="86"/>
      <c r="H195" s="80"/>
      <c r="K195" s="82"/>
    </row>
    <row r="196" customHeight="1" spans="1:11">
      <c r="A196" s="82"/>
      <c r="B196" s="80" t="s">
        <v>138</v>
      </c>
      <c r="C196" s="83" t="s">
        <v>128</v>
      </c>
      <c r="D196" s="80">
        <f>1/2*D192</f>
        <v>9000</v>
      </c>
      <c r="F196" s="80"/>
      <c r="G196" s="86"/>
      <c r="H196" s="80"/>
      <c r="K196" s="82"/>
    </row>
    <row r="197" customHeight="1" spans="1:11">
      <c r="B197" s="80" t="s">
        <v>139</v>
      </c>
      <c r="C197" s="83" t="s">
        <v>128</v>
      </c>
      <c r="D197" s="80">
        <f>1/2*D192</f>
        <v>9000</v>
      </c>
      <c r="F197" s="80"/>
      <c r="G197" s="86"/>
      <c r="H197" s="80"/>
    </row>
    <row r="198" customHeight="1" spans="1:11">
      <c r="B198" s="80" t="s">
        <v>140</v>
      </c>
      <c r="C198" s="83" t="s">
        <v>128</v>
      </c>
      <c r="D198" s="80">
        <f>1/2*D192</f>
        <v>9000</v>
      </c>
      <c r="F198" s="80" t="s">
        <v>141</v>
      </c>
      <c r="G198" s="86"/>
      <c r="H198" s="80" t="s">
        <v>142</v>
      </c>
    </row>
    <row r="199" customHeight="1" spans="1:11">
      <c r="B199" s="80" t="s">
        <v>10</v>
      </c>
      <c r="C199" s="83" t="s">
        <v>128</v>
      </c>
      <c r="D199" s="80">
        <f>2*D192</f>
        <v>36000</v>
      </c>
      <c r="G199" s="80"/>
      <c r="H199" s="80"/>
      <c r="I199" s="80"/>
    </row>
    <row r="200" customHeight="1" spans="1:11">
      <c r="B200" s="80" t="s">
        <v>143</v>
      </c>
      <c r="C200" s="83" t="s">
        <v>128</v>
      </c>
      <c r="D200" s="80">
        <f>5*D192</f>
        <v>90000</v>
      </c>
    </row>
    <row r="201" customHeight="1" spans="1:11">
      <c r="B201" s="87" t="s">
        <v>124</v>
      </c>
      <c r="C201" s="88" t="s">
        <v>128</v>
      </c>
      <c r="D201" s="87">
        <f>SUM(D194:D200)</f>
        <v>360000</v>
      </c>
    </row>
    <row r="206" ht="12.75" spans="1:11">
      <c r="D206" s="89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5" top="1" bottom="2.5" header="0.5" footer="0.5"/>
  <pageSetup paperSize="5" orientation="portrait" horizontalDpi="600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185" workbookViewId="0">
      <selection activeCell="M192" sqref="M192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9.00952380952381" style="46" customWidth="1"/>
    <col min="4" max="4" width="10.4380952380952" style="45" customWidth="1"/>
    <col min="5" max="5" width="5.26666666666667" style="47" customWidth="1"/>
    <col min="6" max="6" width="8.23809523809524" style="45" customWidth="1"/>
    <col min="7" max="7" width="9.66666666666667" style="45" customWidth="1"/>
    <col min="8" max="8" width="9.12380952380952" style="45" customWidth="1"/>
    <col min="9" max="9" width="11.2" style="45" customWidth="1"/>
    <col min="10" max="10" width="6.6952380952381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4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174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'10-3-26'!I9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67" si="1">D9-F9</f>
        <v>5500000</v>
      </c>
      <c r="J9" s="69">
        <f t="shared" ref="J9:J72" si="2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'10-3-26'!I10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'10-3-26'!I11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'10-3-26'!I12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'10-3-26'!I13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'10-3-26'!I14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'10-3-26'!I15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'10-3-26'!I16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'10-3-26'!I17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'10-3-26'!I18</f>
        <v>12595000</v>
      </c>
      <c r="E18" s="68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ht="12.75" spans="1:10">
      <c r="A19" s="68">
        <v>11</v>
      </c>
      <c r="B19" s="69" t="s">
        <v>35</v>
      </c>
      <c r="C19" s="128" t="s">
        <v>36</v>
      </c>
      <c r="D19" s="71">
        <f>'10-3-26'!I19</f>
        <v>3750000</v>
      </c>
      <c r="E19" s="68"/>
      <c r="F19" s="69"/>
      <c r="G19" s="69"/>
      <c r="H19" s="71">
        <f t="shared" si="0"/>
        <v>0</v>
      </c>
      <c r="I19" s="71">
        <f t="shared" si="1"/>
        <v>3750000</v>
      </c>
      <c r="J19" s="69">
        <f t="shared" si="2"/>
        <v>0</v>
      </c>
    </row>
    <row r="20" ht="12.75" spans="1:10">
      <c r="A20" s="68">
        <v>12</v>
      </c>
      <c r="B20" s="69" t="s">
        <v>37</v>
      </c>
      <c r="C20" s="128" t="s">
        <v>38</v>
      </c>
      <c r="D20" s="71">
        <f>'10-3-26'!I20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ht="12.75" spans="1:10">
      <c r="A21" s="68">
        <v>13</v>
      </c>
      <c r="B21" s="69" t="s">
        <v>39</v>
      </c>
      <c r="C21" s="128" t="s">
        <v>40</v>
      </c>
      <c r="D21" s="71">
        <f>'10-3-26'!I21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ht="12.75" spans="1:10">
      <c r="A22" s="68">
        <v>14</v>
      </c>
      <c r="B22" s="69" t="s">
        <v>41</v>
      </c>
      <c r="C22" s="128" t="s">
        <v>42</v>
      </c>
      <c r="D22" s="71">
        <f>'10-3-26'!I22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ht="12.75" spans="1:10">
      <c r="A23" s="68">
        <v>15</v>
      </c>
      <c r="B23" s="69" t="s">
        <v>43</v>
      </c>
      <c r="C23" s="128" t="s">
        <v>42</v>
      </c>
      <c r="D23" s="71">
        <f>'10-3-26'!I23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ht="12.75" spans="1:10">
      <c r="A24" s="68">
        <v>16</v>
      </c>
      <c r="B24" s="69" t="s">
        <v>44</v>
      </c>
      <c r="C24" s="128" t="s">
        <v>42</v>
      </c>
      <c r="D24" s="71">
        <f>'10-3-26'!I24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ht="12.75" spans="1:10">
      <c r="A25" s="68">
        <v>17</v>
      </c>
      <c r="B25" s="69" t="s">
        <v>45</v>
      </c>
      <c r="C25" s="128" t="s">
        <v>46</v>
      </c>
      <c r="D25" s="71">
        <f>'10-3-26'!I25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ht="12.75" spans="1:10">
      <c r="A26" s="68">
        <v>18</v>
      </c>
      <c r="B26" s="69" t="s">
        <v>47</v>
      </c>
      <c r="C26" s="128" t="s">
        <v>48</v>
      </c>
      <c r="D26" s="71">
        <f>'10-3-26'!I26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ht="12.75" spans="1:10">
      <c r="A27" s="68">
        <v>19</v>
      </c>
      <c r="B27" s="69" t="s">
        <v>49</v>
      </c>
      <c r="C27" s="128" t="s">
        <v>50</v>
      </c>
      <c r="D27" s="71">
        <f>'10-3-26'!I27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ht="12.75" spans="1:10">
      <c r="A28" s="68">
        <v>20</v>
      </c>
      <c r="B28" s="69" t="s">
        <v>51</v>
      </c>
      <c r="C28" s="128" t="s">
        <v>52</v>
      </c>
      <c r="D28" s="71">
        <f>'10-3-26'!I28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ht="12.75" spans="1:10">
      <c r="A29" s="68">
        <v>21</v>
      </c>
      <c r="B29" s="69" t="s">
        <v>53</v>
      </c>
      <c r="C29" s="128" t="s">
        <v>54</v>
      </c>
      <c r="D29" s="71">
        <f>'10-3-26'!I29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ht="12.75" spans="1:10">
      <c r="A30" s="68">
        <v>22</v>
      </c>
      <c r="B30" s="69" t="s">
        <v>55</v>
      </c>
      <c r="C30" s="128" t="s">
        <v>56</v>
      </c>
      <c r="D30" s="71">
        <f>'10-3-26'!I30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ht="12.75" spans="1:10">
      <c r="A31" s="68">
        <v>23</v>
      </c>
      <c r="B31" s="69" t="s">
        <v>57</v>
      </c>
      <c r="C31" s="128" t="s">
        <v>58</v>
      </c>
      <c r="D31" s="71">
        <f>'10-3-26'!I31</f>
        <v>1000000</v>
      </c>
      <c r="E31" s="68"/>
      <c r="F31" s="69"/>
      <c r="G31" s="69"/>
      <c r="H31" s="71">
        <f t="shared" si="0"/>
        <v>0</v>
      </c>
      <c r="I31" s="71">
        <f t="shared" si="1"/>
        <v>1000000</v>
      </c>
      <c r="J31" s="69">
        <f t="shared" si="2"/>
        <v>0</v>
      </c>
    </row>
    <row r="32" ht="12.75" spans="1:10">
      <c r="A32" s="68">
        <v>24</v>
      </c>
      <c r="B32" s="69" t="s">
        <v>59</v>
      </c>
      <c r="C32" s="128" t="s">
        <v>58</v>
      </c>
      <c r="D32" s="71">
        <f>'10-3-26'!I32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ht="12.75" spans="1:10">
      <c r="A33" s="68">
        <v>25</v>
      </c>
      <c r="B33" s="69" t="s">
        <v>60</v>
      </c>
      <c r="C33" s="127" t="s">
        <v>61</v>
      </c>
      <c r="D33" s="71">
        <f>'10-3-26'!I33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ht="12.75" spans="1:10">
      <c r="A34" s="68">
        <v>26</v>
      </c>
      <c r="B34" s="69" t="s">
        <v>62</v>
      </c>
      <c r="C34" s="127" t="s">
        <v>63</v>
      </c>
      <c r="D34" s="71">
        <f>'10-3-26'!I34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ht="12.75" spans="1:10">
      <c r="A35" s="68">
        <v>27</v>
      </c>
      <c r="B35" s="69" t="s">
        <v>64</v>
      </c>
      <c r="C35" s="127" t="s">
        <v>63</v>
      </c>
      <c r="D35" s="71">
        <f>'10-3-26'!I35</f>
        <v>3500000</v>
      </c>
      <c r="E35" s="68"/>
      <c r="F35" s="69"/>
      <c r="G35" s="69"/>
      <c r="H35" s="71">
        <f t="shared" si="0"/>
        <v>0</v>
      </c>
      <c r="I35" s="71">
        <f t="shared" si="1"/>
        <v>3500000</v>
      </c>
      <c r="J35" s="69">
        <f t="shared" si="2"/>
        <v>0</v>
      </c>
    </row>
    <row r="36" ht="12.75" spans="1:10">
      <c r="A36" s="68">
        <v>28</v>
      </c>
      <c r="B36" s="69" t="s">
        <v>65</v>
      </c>
      <c r="C36" s="127" t="s">
        <v>66</v>
      </c>
      <c r="D36" s="71">
        <f>'10-3-26'!I36</f>
        <v>9200000</v>
      </c>
      <c r="E36" s="68"/>
      <c r="F36" s="69"/>
      <c r="G36" s="69"/>
      <c r="H36" s="71">
        <f t="shared" si="0"/>
        <v>0</v>
      </c>
      <c r="I36" s="71">
        <f t="shared" si="1"/>
        <v>9200000</v>
      </c>
      <c r="J36" s="69">
        <f t="shared" si="2"/>
        <v>0</v>
      </c>
    </row>
    <row r="37" ht="12.75" spans="1:10">
      <c r="A37" s="68">
        <v>29</v>
      </c>
      <c r="B37" s="69" t="s">
        <v>67</v>
      </c>
      <c r="C37" s="127" t="s">
        <v>68</v>
      </c>
      <c r="D37" s="71">
        <f>'10-3-26'!I37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ht="12.75" spans="1:10">
      <c r="A38" s="68">
        <v>30</v>
      </c>
      <c r="B38" s="69" t="s">
        <v>69</v>
      </c>
      <c r="C38" s="127" t="s">
        <v>70</v>
      </c>
      <c r="D38" s="71">
        <f>'10-3-26'!I38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ht="12.75" spans="1:10">
      <c r="A39" s="68">
        <v>31</v>
      </c>
      <c r="B39" s="69" t="s">
        <v>71</v>
      </c>
      <c r="C39" s="127" t="s">
        <v>72</v>
      </c>
      <c r="D39" s="71">
        <f>'10-3-26'!I39</f>
        <v>14320000</v>
      </c>
      <c r="E39" s="68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ht="12.75" spans="1:10">
      <c r="A40" s="68">
        <v>32</v>
      </c>
      <c r="B40" s="69" t="s">
        <v>73</v>
      </c>
      <c r="C40" s="127" t="s">
        <v>74</v>
      </c>
      <c r="D40" s="71">
        <f>'10-3-26'!I40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ht="12.75" spans="1:10">
      <c r="A41" s="68">
        <v>33</v>
      </c>
      <c r="B41" s="69" t="s">
        <v>75</v>
      </c>
      <c r="C41" s="127" t="s">
        <v>76</v>
      </c>
      <c r="D41" s="71">
        <f>'10-3-26'!I41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ht="12.75" spans="1:10">
      <c r="A42" s="68">
        <v>34</v>
      </c>
      <c r="B42" s="69" t="s">
        <v>77</v>
      </c>
      <c r="C42" s="127" t="s">
        <v>78</v>
      </c>
      <c r="D42" s="71">
        <f>'10-3-26'!I42</f>
        <v>1200000</v>
      </c>
      <c r="E42" s="68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ht="12.75" spans="1:10">
      <c r="A43" s="68">
        <v>35</v>
      </c>
      <c r="B43" s="69" t="s">
        <v>79</v>
      </c>
      <c r="C43" s="127" t="s">
        <v>80</v>
      </c>
      <c r="D43" s="71">
        <f>'10-3-26'!I43</f>
        <v>5250000</v>
      </c>
      <c r="E43" s="68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ht="12.75" spans="1:10">
      <c r="A44" s="68">
        <v>36</v>
      </c>
      <c r="B44" s="69" t="s">
        <v>81</v>
      </c>
      <c r="C44" s="127" t="s">
        <v>82</v>
      </c>
      <c r="D44" s="71">
        <f>'10-3-26'!I44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ht="12.75" spans="1:10">
      <c r="A45" s="68">
        <v>37</v>
      </c>
      <c r="B45" s="69" t="s">
        <v>83</v>
      </c>
      <c r="C45" s="70" t="s">
        <v>84</v>
      </c>
      <c r="D45" s="71">
        <f>'10-3-26'!I45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ht="12.75" spans="1:10">
      <c r="A46" s="68">
        <v>38</v>
      </c>
      <c r="B46" s="69" t="s">
        <v>85</v>
      </c>
      <c r="C46" s="127" t="s">
        <v>86</v>
      </c>
      <c r="D46" s="71">
        <f>'10-3-26'!I46</f>
        <v>450000</v>
      </c>
      <c r="E46" s="68">
        <v>18</v>
      </c>
      <c r="F46" s="69">
        <v>150000</v>
      </c>
      <c r="G46" s="69">
        <v>60000</v>
      </c>
      <c r="H46" s="71">
        <f t="shared" si="0"/>
        <v>210000</v>
      </c>
      <c r="I46" s="71">
        <f t="shared" si="1"/>
        <v>300000</v>
      </c>
      <c r="J46" s="69">
        <f t="shared" si="2"/>
        <v>6000</v>
      </c>
    </row>
    <row r="47" ht="12.75" spans="1:10">
      <c r="A47" s="68">
        <v>39</v>
      </c>
      <c r="B47" s="69" t="s">
        <v>87</v>
      </c>
      <c r="C47" s="127" t="s">
        <v>88</v>
      </c>
      <c r="D47" s="71">
        <f>'10-3-26'!I47</f>
        <v>9300000</v>
      </c>
      <c r="E47" s="68"/>
      <c r="F47" s="69"/>
      <c r="G47" s="69"/>
      <c r="H47" s="71">
        <f t="shared" si="0"/>
        <v>0</v>
      </c>
      <c r="I47" s="71">
        <f t="shared" si="1"/>
        <v>9300000</v>
      </c>
      <c r="J47" s="69">
        <f t="shared" si="2"/>
        <v>0</v>
      </c>
    </row>
    <row r="48" ht="12.75" spans="1:10">
      <c r="A48" s="68">
        <v>40</v>
      </c>
      <c r="B48" s="69" t="s">
        <v>89</v>
      </c>
      <c r="C48" s="127" t="s">
        <v>88</v>
      </c>
      <c r="D48" s="71">
        <f>'10-3-26'!I48</f>
        <v>1000000</v>
      </c>
      <c r="E48" s="68"/>
      <c r="F48" s="69"/>
      <c r="G48" s="69"/>
      <c r="H48" s="71">
        <f t="shared" si="0"/>
        <v>0</v>
      </c>
      <c r="I48" s="71">
        <f t="shared" si="1"/>
        <v>1000000</v>
      </c>
      <c r="J48" s="69">
        <f t="shared" si="2"/>
        <v>0</v>
      </c>
    </row>
    <row r="49" ht="12.75" spans="1:10">
      <c r="A49" s="68">
        <v>41</v>
      </c>
      <c r="B49" s="69" t="s">
        <v>90</v>
      </c>
      <c r="C49" s="127" t="s">
        <v>91</v>
      </c>
      <c r="D49" s="71">
        <f>'10-3-26'!I49</f>
        <v>9600000</v>
      </c>
      <c r="E49" s="68"/>
      <c r="F49" s="69"/>
      <c r="G49" s="69"/>
      <c r="H49" s="71">
        <f t="shared" si="0"/>
        <v>0</v>
      </c>
      <c r="I49" s="71">
        <f t="shared" si="1"/>
        <v>9600000</v>
      </c>
      <c r="J49" s="69">
        <f t="shared" si="2"/>
        <v>0</v>
      </c>
    </row>
    <row r="50" ht="12.75" spans="1:10">
      <c r="A50" s="68">
        <v>42</v>
      </c>
      <c r="B50" s="69" t="s">
        <v>92</v>
      </c>
      <c r="C50" s="127" t="s">
        <v>93</v>
      </c>
      <c r="D50" s="71">
        <f>'10-3-26'!I50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ht="12.75" spans="1:10">
      <c r="A51" s="68">
        <v>43</v>
      </c>
      <c r="B51" s="69" t="s">
        <v>94</v>
      </c>
      <c r="C51" s="70" t="s">
        <v>95</v>
      </c>
      <c r="D51" s="71">
        <f>'10-3-26'!I51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ht="12.75" spans="1:10">
      <c r="A52" s="68">
        <v>44</v>
      </c>
      <c r="B52" s="69" t="s">
        <v>96</v>
      </c>
      <c r="C52" s="70" t="s">
        <v>97</v>
      </c>
      <c r="D52" s="71">
        <f>'10-3-26'!I52</f>
        <v>25000000</v>
      </c>
      <c r="E52" s="68"/>
      <c r="F52" s="69"/>
      <c r="G52" s="69"/>
      <c r="H52" s="71">
        <f t="shared" si="0"/>
        <v>0</v>
      </c>
      <c r="I52" s="71">
        <f t="shared" si="1"/>
        <v>25000000</v>
      </c>
      <c r="J52" s="69">
        <f t="shared" si="2"/>
        <v>0</v>
      </c>
    </row>
    <row r="53" ht="12.75" spans="1:10">
      <c r="A53" s="68">
        <v>45</v>
      </c>
      <c r="B53" s="69" t="s">
        <v>98</v>
      </c>
      <c r="C53" s="127" t="s">
        <v>99</v>
      </c>
      <c r="D53" s="71">
        <f>'10-3-26'!I53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ht="12.75" spans="1:10">
      <c r="A54" s="68">
        <v>46</v>
      </c>
      <c r="B54" s="69" t="s">
        <v>100</v>
      </c>
      <c r="C54" s="127" t="s">
        <v>99</v>
      </c>
      <c r="D54" s="71">
        <f>'10-3-26'!I54</f>
        <v>4800000</v>
      </c>
      <c r="E54" s="68"/>
      <c r="F54" s="69"/>
      <c r="G54" s="69"/>
      <c r="H54" s="71">
        <f t="shared" si="0"/>
        <v>0</v>
      </c>
      <c r="I54" s="71">
        <f t="shared" si="1"/>
        <v>4800000</v>
      </c>
      <c r="J54" s="69">
        <f t="shared" si="2"/>
        <v>0</v>
      </c>
    </row>
    <row r="55" ht="12.75" spans="1:10">
      <c r="A55" s="68">
        <v>47</v>
      </c>
      <c r="B55" s="69" t="s">
        <v>101</v>
      </c>
      <c r="C55" s="127" t="s">
        <v>102</v>
      </c>
      <c r="D55" s="71">
        <f>'10-3-26'!I55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ht="12.75" spans="1:10">
      <c r="A56" s="68">
        <v>48</v>
      </c>
      <c r="B56" s="69" t="s">
        <v>103</v>
      </c>
      <c r="C56" s="127" t="s">
        <v>102</v>
      </c>
      <c r="D56" s="71">
        <f>'10-3-26'!I56</f>
        <v>400000</v>
      </c>
      <c r="E56" s="68"/>
      <c r="F56" s="69"/>
      <c r="G56" s="69"/>
      <c r="H56" s="71">
        <f t="shared" si="0"/>
        <v>0</v>
      </c>
      <c r="I56" s="71">
        <f t="shared" si="1"/>
        <v>400000</v>
      </c>
      <c r="J56" s="69">
        <f t="shared" si="2"/>
        <v>0</v>
      </c>
    </row>
    <row r="57" ht="12.75" spans="1:10">
      <c r="A57" s="68">
        <v>49</v>
      </c>
      <c r="B57" s="69" t="s">
        <v>104</v>
      </c>
      <c r="C57" s="127" t="s">
        <v>102</v>
      </c>
      <c r="D57" s="71">
        <f>'10-3-26'!I57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ht="12.75" spans="1:10">
      <c r="A58" s="68">
        <v>50</v>
      </c>
      <c r="B58" s="69" t="s">
        <v>105</v>
      </c>
      <c r="C58" s="70" t="s">
        <v>106</v>
      </c>
      <c r="D58" s="71">
        <f>'10-3-26'!I58</f>
        <v>1315000</v>
      </c>
      <c r="E58" s="68"/>
      <c r="F58" s="69"/>
      <c r="G58" s="69"/>
      <c r="H58" s="71">
        <f t="shared" si="0"/>
        <v>0</v>
      </c>
      <c r="I58" s="71">
        <f t="shared" si="1"/>
        <v>1315000</v>
      </c>
      <c r="J58" s="69">
        <f t="shared" si="2"/>
        <v>0</v>
      </c>
    </row>
    <row r="59" ht="12.75" spans="1:10">
      <c r="A59" s="68">
        <v>51</v>
      </c>
      <c r="B59" s="69" t="s">
        <v>107</v>
      </c>
      <c r="C59" s="127" t="s">
        <v>108</v>
      </c>
      <c r="D59" s="71">
        <f>'10-3-26'!I59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ht="12.75" spans="1:10">
      <c r="A60" s="68">
        <v>52</v>
      </c>
      <c r="B60" s="69" t="s">
        <v>109</v>
      </c>
      <c r="C60" s="127" t="s">
        <v>110</v>
      </c>
      <c r="D60" s="71">
        <f>'10-3-26'!I60</f>
        <v>3000000</v>
      </c>
      <c r="E60" s="68"/>
      <c r="F60" s="69"/>
      <c r="G60" s="69"/>
      <c r="H60" s="71">
        <f t="shared" si="0"/>
        <v>0</v>
      </c>
      <c r="I60" s="71">
        <f t="shared" si="1"/>
        <v>3000000</v>
      </c>
      <c r="J60" s="69">
        <f t="shared" si="2"/>
        <v>0</v>
      </c>
    </row>
    <row r="61" ht="12.75" spans="1:10">
      <c r="A61" s="68">
        <v>53</v>
      </c>
      <c r="B61" s="69" t="s">
        <v>111</v>
      </c>
      <c r="C61" s="70" t="s">
        <v>112</v>
      </c>
      <c r="D61" s="71">
        <f>'10-3-26'!I61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ht="12.75" spans="1:10">
      <c r="A62" s="68">
        <v>54</v>
      </c>
      <c r="B62" s="69" t="s">
        <v>113</v>
      </c>
      <c r="C62" s="127" t="s">
        <v>114</v>
      </c>
      <c r="D62" s="71">
        <f>'10-3-26'!I62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ht="12.75" spans="1:10">
      <c r="A63" s="68">
        <v>55</v>
      </c>
      <c r="B63" s="69" t="s">
        <v>115</v>
      </c>
      <c r="C63" s="127" t="s">
        <v>116</v>
      </c>
      <c r="D63" s="71">
        <f>'10-3-26'!I63</f>
        <v>600000</v>
      </c>
      <c r="E63" s="68">
        <v>5</v>
      </c>
      <c r="F63" s="69">
        <v>600000</v>
      </c>
      <c r="G63" s="69">
        <v>60000</v>
      </c>
      <c r="H63" s="71">
        <f t="shared" si="0"/>
        <v>660000</v>
      </c>
      <c r="I63" s="71">
        <f t="shared" si="1"/>
        <v>0</v>
      </c>
      <c r="J63" s="69">
        <f t="shared" si="2"/>
        <v>6000</v>
      </c>
    </row>
    <row r="64" ht="12.75" spans="1:10">
      <c r="A64" s="68">
        <v>56</v>
      </c>
      <c r="B64" s="69" t="s">
        <v>117</v>
      </c>
      <c r="C64" s="127" t="s">
        <v>118</v>
      </c>
      <c r="D64" s="71">
        <f>'10-3-26'!I64</f>
        <v>1350000</v>
      </c>
      <c r="E64" s="68"/>
      <c r="F64" s="69"/>
      <c r="G64" s="69"/>
      <c r="H64" s="71">
        <f t="shared" si="0"/>
        <v>0</v>
      </c>
      <c r="I64" s="71">
        <f t="shared" si="1"/>
        <v>1350000</v>
      </c>
      <c r="J64" s="69">
        <f t="shared" si="2"/>
        <v>0</v>
      </c>
    </row>
    <row r="65" ht="12.75" spans="1:10">
      <c r="A65" s="68">
        <v>57</v>
      </c>
      <c r="B65" s="69" t="s">
        <v>119</v>
      </c>
      <c r="C65" s="127" t="s">
        <v>120</v>
      </c>
      <c r="D65" s="71">
        <f>'10-3-26'!I65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ht="12.75" spans="1:10">
      <c r="A66" s="68">
        <v>58</v>
      </c>
      <c r="B66" s="69" t="s">
        <v>121</v>
      </c>
      <c r="C66" s="127" t="s">
        <v>120</v>
      </c>
      <c r="D66" s="71">
        <f>'10-3-26'!I66</f>
        <v>200000</v>
      </c>
      <c r="E66" s="68"/>
      <c r="F66" s="69"/>
      <c r="G66" s="69"/>
      <c r="H66" s="71">
        <f t="shared" si="0"/>
        <v>0</v>
      </c>
      <c r="I66" s="71">
        <f t="shared" si="1"/>
        <v>200000</v>
      </c>
      <c r="J66" s="69">
        <f t="shared" si="2"/>
        <v>0</v>
      </c>
    </row>
    <row r="67" ht="12.75" customHeight="1" spans="1:10">
      <c r="A67" s="68">
        <v>59</v>
      </c>
      <c r="B67" s="69" t="s">
        <v>122</v>
      </c>
      <c r="C67" s="127" t="s">
        <v>123</v>
      </c>
      <c r="D67" s="71">
        <f>'10-3-26'!I67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ht="12.75" customHeight="1" spans="1:10">
      <c r="A68" s="68">
        <v>60</v>
      </c>
      <c r="B68" s="69" t="s">
        <v>159</v>
      </c>
      <c r="C68" s="127" t="s">
        <v>160</v>
      </c>
      <c r="D68" s="71">
        <f>'10-3-26'!I68</f>
        <v>10000000</v>
      </c>
      <c r="E68" s="68"/>
      <c r="F68" s="69"/>
      <c r="G68" s="69"/>
      <c r="H68" s="71">
        <f t="shared" si="0"/>
        <v>0</v>
      </c>
      <c r="I68" s="71">
        <f t="shared" ref="I68:I73" si="3">D68-F68</f>
        <v>10000000</v>
      </c>
      <c r="J68" s="69">
        <f t="shared" si="2"/>
        <v>0</v>
      </c>
    </row>
    <row r="69" ht="12.75" customHeight="1" spans="1:10">
      <c r="A69" s="68">
        <v>61</v>
      </c>
      <c r="B69" s="69" t="s">
        <v>161</v>
      </c>
      <c r="C69" s="127" t="s">
        <v>160</v>
      </c>
      <c r="D69" s="71">
        <f>'10-3-26'!I69</f>
        <v>50000000</v>
      </c>
      <c r="E69" s="68"/>
      <c r="F69" s="69"/>
      <c r="G69" s="69"/>
      <c r="H69" s="71">
        <f t="shared" si="0"/>
        <v>0</v>
      </c>
      <c r="I69" s="71">
        <f t="shared" si="3"/>
        <v>50000000</v>
      </c>
      <c r="J69" s="69">
        <f t="shared" si="2"/>
        <v>0</v>
      </c>
    </row>
    <row r="70" ht="12.75" customHeight="1" spans="1:10">
      <c r="A70" s="68">
        <v>62</v>
      </c>
      <c r="B70" s="69" t="s">
        <v>141</v>
      </c>
      <c r="C70" s="127" t="s">
        <v>160</v>
      </c>
      <c r="D70" s="71">
        <f>'10-3-26'!I70</f>
        <v>1000000</v>
      </c>
      <c r="E70" s="68"/>
      <c r="F70" s="69"/>
      <c r="G70" s="69"/>
      <c r="H70" s="71">
        <f t="shared" si="0"/>
        <v>0</v>
      </c>
      <c r="I70" s="71">
        <f t="shared" si="3"/>
        <v>1000000</v>
      </c>
      <c r="J70" s="69">
        <f t="shared" si="2"/>
        <v>0</v>
      </c>
    </row>
    <row r="71" ht="12.75" customHeight="1" spans="1:10">
      <c r="A71" s="68">
        <v>63</v>
      </c>
      <c r="B71" s="69" t="s">
        <v>162</v>
      </c>
      <c r="C71" s="127" t="s">
        <v>160</v>
      </c>
      <c r="D71" s="71">
        <f>'10-3-26'!I71</f>
        <v>2500000</v>
      </c>
      <c r="E71" s="68"/>
      <c r="F71" s="69"/>
      <c r="G71" s="69"/>
      <c r="H71" s="71">
        <f t="shared" si="0"/>
        <v>0</v>
      </c>
      <c r="I71" s="71">
        <f t="shared" si="3"/>
        <v>2500000</v>
      </c>
      <c r="J71" s="69">
        <f t="shared" si="2"/>
        <v>0</v>
      </c>
    </row>
    <row r="72" ht="12.75" customHeight="1" spans="1:10">
      <c r="A72" s="68">
        <v>64</v>
      </c>
      <c r="B72" s="69" t="s">
        <v>98</v>
      </c>
      <c r="C72" s="127" t="s">
        <v>160</v>
      </c>
      <c r="D72" s="71">
        <f>'10-3-26'!I72</f>
        <v>2000000</v>
      </c>
      <c r="E72" s="68"/>
      <c r="F72" s="69"/>
      <c r="G72" s="69"/>
      <c r="H72" s="71">
        <f t="shared" si="0"/>
        <v>0</v>
      </c>
      <c r="I72" s="71">
        <f t="shared" si="3"/>
        <v>2000000</v>
      </c>
      <c r="J72" s="69">
        <f t="shared" si="2"/>
        <v>0</v>
      </c>
    </row>
    <row r="73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>SUM(F73:G73)</f>
        <v>0</v>
      </c>
      <c r="I73" s="71">
        <f t="shared" si="3"/>
        <v>5000000</v>
      </c>
      <c r="J73" s="69">
        <f>1/10*G73</f>
        <v>0</v>
      </c>
    </row>
    <row r="74" ht="12.75" customHeight="1" spans="1:10">
      <c r="A74" s="68">
        <v>66</v>
      </c>
      <c r="B74" s="69" t="s">
        <v>166</v>
      </c>
      <c r="C74" s="127" t="s">
        <v>167</v>
      </c>
      <c r="D74" s="71">
        <v>4000000</v>
      </c>
      <c r="E74" s="69"/>
      <c r="F74" s="69"/>
      <c r="G74" s="69"/>
      <c r="H74" s="71">
        <f t="shared" ref="H74:H77" si="4">SUM(F74:G74)</f>
        <v>0</v>
      </c>
      <c r="I74" s="71">
        <f t="shared" ref="I74:I77" si="5">D74-F74</f>
        <v>4000000</v>
      </c>
      <c r="J74" s="69">
        <f t="shared" ref="J74:J137" si="6">1/10*G74</f>
        <v>0</v>
      </c>
    </row>
    <row r="75" ht="12.75" customHeight="1" spans="1:10">
      <c r="A75" s="68">
        <v>67</v>
      </c>
      <c r="B75" s="69" t="s">
        <v>53</v>
      </c>
      <c r="C75" s="127" t="s">
        <v>167</v>
      </c>
      <c r="D75" s="71">
        <v>3000000</v>
      </c>
      <c r="E75" s="69"/>
      <c r="F75" s="69"/>
      <c r="G75" s="69"/>
      <c r="H75" s="71">
        <f t="shared" si="4"/>
        <v>0</v>
      </c>
      <c r="I75" s="71">
        <f t="shared" si="5"/>
        <v>3000000</v>
      </c>
      <c r="J75" s="69">
        <f t="shared" si="6"/>
        <v>0</v>
      </c>
    </row>
    <row r="76" ht="12.75" customHeight="1" spans="1:10">
      <c r="A76" s="68">
        <v>68</v>
      </c>
      <c r="B76" s="69" t="s">
        <v>170</v>
      </c>
      <c r="C76" s="127" t="s">
        <v>171</v>
      </c>
      <c r="D76" s="71">
        <v>1100000</v>
      </c>
      <c r="E76" s="69"/>
      <c r="F76" s="69"/>
      <c r="G76" s="69"/>
      <c r="H76" s="71">
        <f t="shared" si="4"/>
        <v>0</v>
      </c>
      <c r="I76" s="71">
        <f t="shared" si="5"/>
        <v>1100000</v>
      </c>
      <c r="J76" s="69">
        <f t="shared" si="6"/>
        <v>0</v>
      </c>
    </row>
    <row r="77" ht="12.75" customHeight="1" spans="1:10">
      <c r="A77" s="68">
        <v>69</v>
      </c>
      <c r="B77" s="69" t="s">
        <v>172</v>
      </c>
      <c r="C77" s="127" t="s">
        <v>171</v>
      </c>
      <c r="D77" s="71">
        <v>5000000</v>
      </c>
      <c r="E77" s="69"/>
      <c r="F77" s="69"/>
      <c r="G77" s="69"/>
      <c r="H77" s="71">
        <f t="shared" si="4"/>
        <v>0</v>
      </c>
      <c r="I77" s="71">
        <f t="shared" si="5"/>
        <v>5000000</v>
      </c>
      <c r="J77" s="69">
        <f t="shared" si="6"/>
        <v>0</v>
      </c>
    </row>
    <row r="78" ht="12.75" customHeight="1" spans="1:10">
      <c r="A78" s="68">
        <v>70</v>
      </c>
      <c r="B78" s="69" t="s">
        <v>175</v>
      </c>
      <c r="C78" s="127" t="s">
        <v>176</v>
      </c>
      <c r="D78" s="71">
        <v>10000000</v>
      </c>
      <c r="E78" s="69"/>
      <c r="F78" s="69"/>
      <c r="G78" s="69"/>
      <c r="H78" s="71">
        <f t="shared" ref="H74:H137" si="7">SUM(F78:G78)</f>
        <v>0</v>
      </c>
      <c r="I78" s="71">
        <f t="shared" ref="I78:I81" si="8">D78-F78</f>
        <v>10000000</v>
      </c>
      <c r="J78" s="69">
        <f t="shared" si="6"/>
        <v>0</v>
      </c>
    </row>
    <row r="79" ht="12.75" customHeight="1" spans="1:10">
      <c r="A79" s="68">
        <v>71</v>
      </c>
      <c r="B79" s="69" t="s">
        <v>107</v>
      </c>
      <c r="C79" s="127" t="s">
        <v>176</v>
      </c>
      <c r="D79" s="71">
        <v>3000000</v>
      </c>
      <c r="E79" s="69"/>
      <c r="F79" s="69"/>
      <c r="G79" s="69"/>
      <c r="H79" s="71">
        <f t="shared" si="7"/>
        <v>0</v>
      </c>
      <c r="I79" s="71">
        <f t="shared" si="8"/>
        <v>3000000</v>
      </c>
      <c r="J79" s="69">
        <f t="shared" si="6"/>
        <v>0</v>
      </c>
    </row>
    <row r="80" ht="12.75" customHeight="1" spans="1:10">
      <c r="A80" s="68">
        <v>72</v>
      </c>
      <c r="B80" s="69" t="s">
        <v>177</v>
      </c>
      <c r="C80" s="127" t="s">
        <v>176</v>
      </c>
      <c r="D80" s="71">
        <v>1000000</v>
      </c>
      <c r="E80" s="69"/>
      <c r="F80" s="69"/>
      <c r="G80" s="69"/>
      <c r="H80" s="71">
        <f t="shared" si="7"/>
        <v>0</v>
      </c>
      <c r="I80" s="71">
        <f t="shared" si="8"/>
        <v>1000000</v>
      </c>
      <c r="J80" s="69">
        <f t="shared" si="6"/>
        <v>0</v>
      </c>
    </row>
    <row r="81" ht="12.75" customHeight="1" spans="1:10">
      <c r="A81" s="68">
        <v>73</v>
      </c>
      <c r="B81" s="69" t="s">
        <v>178</v>
      </c>
      <c r="C81" s="127" t="s">
        <v>176</v>
      </c>
      <c r="D81" s="71">
        <v>7000000</v>
      </c>
      <c r="E81" s="69"/>
      <c r="F81" s="69"/>
      <c r="G81" s="69"/>
      <c r="H81" s="71">
        <f t="shared" si="7"/>
        <v>0</v>
      </c>
      <c r="I81" s="71">
        <f t="shared" si="8"/>
        <v>7000000</v>
      </c>
      <c r="J81" s="69">
        <f t="shared" si="6"/>
        <v>0</v>
      </c>
    </row>
    <row r="82" ht="12.75" customHeight="1" spans="1:10">
      <c r="A82" s="68"/>
      <c r="B82" s="69"/>
      <c r="C82" s="70"/>
      <c r="D82" s="71">
        <f>'10-3-26'!I82</f>
        <v>0</v>
      </c>
      <c r="E82" s="68"/>
      <c r="F82" s="69"/>
      <c r="G82" s="69"/>
      <c r="H82" s="71">
        <f t="shared" si="7"/>
        <v>0</v>
      </c>
      <c r="I82" s="71">
        <f t="shared" ref="I74:I187" si="9">D82-F82</f>
        <v>0</v>
      </c>
      <c r="J82" s="69">
        <f t="shared" si="6"/>
        <v>0</v>
      </c>
    </row>
    <row r="83" ht="12.75" customHeight="1" spans="1:10">
      <c r="A83" s="68"/>
      <c r="B83" s="69"/>
      <c r="C83" s="70"/>
      <c r="D83" s="71">
        <f>'10-3-26'!I83</f>
        <v>0</v>
      </c>
      <c r="E83" s="68"/>
      <c r="F83" s="69"/>
      <c r="G83" s="69"/>
      <c r="H83" s="71">
        <f t="shared" si="7"/>
        <v>0</v>
      </c>
      <c r="I83" s="71">
        <f t="shared" si="9"/>
        <v>0</v>
      </c>
      <c r="J83" s="69">
        <f t="shared" si="6"/>
        <v>0</v>
      </c>
    </row>
    <row r="84" ht="1.75" customHeight="1" spans="1:10">
      <c r="A84" s="68"/>
      <c r="B84" s="69"/>
      <c r="C84" s="70"/>
      <c r="D84" s="71">
        <f>'10-3-26'!I84</f>
        <v>0</v>
      </c>
      <c r="E84" s="68"/>
      <c r="F84" s="69"/>
      <c r="G84" s="69"/>
      <c r="H84" s="71">
        <f t="shared" si="7"/>
        <v>0</v>
      </c>
      <c r="I84" s="71">
        <f t="shared" si="9"/>
        <v>0</v>
      </c>
      <c r="J84" s="69">
        <f t="shared" si="6"/>
        <v>0</v>
      </c>
    </row>
    <row r="85" ht="1.75" customHeight="1" spans="1:10">
      <c r="A85" s="68"/>
      <c r="B85" s="69"/>
      <c r="C85" s="70"/>
      <c r="D85" s="71">
        <f>'10-3-26'!I85</f>
        <v>0</v>
      </c>
      <c r="E85" s="68"/>
      <c r="F85" s="69"/>
      <c r="G85" s="69"/>
      <c r="H85" s="71">
        <f t="shared" si="7"/>
        <v>0</v>
      </c>
      <c r="I85" s="71">
        <f t="shared" si="9"/>
        <v>0</v>
      </c>
      <c r="J85" s="69">
        <f t="shared" si="6"/>
        <v>0</v>
      </c>
    </row>
    <row r="86" ht="1.75" customHeight="1" spans="1:10">
      <c r="A86" s="68"/>
      <c r="B86" s="69"/>
      <c r="C86" s="70"/>
      <c r="D86" s="71">
        <f>'10-3-26'!I86</f>
        <v>0</v>
      </c>
      <c r="E86" s="68"/>
      <c r="F86" s="69"/>
      <c r="G86" s="69"/>
      <c r="H86" s="71">
        <f t="shared" si="7"/>
        <v>0</v>
      </c>
      <c r="I86" s="71">
        <f t="shared" si="9"/>
        <v>0</v>
      </c>
      <c r="J86" s="69">
        <f t="shared" si="6"/>
        <v>0</v>
      </c>
    </row>
    <row r="87" ht="1.75" customHeight="1" spans="1:10">
      <c r="A87" s="68"/>
      <c r="B87" s="69"/>
      <c r="C87" s="70"/>
      <c r="D87" s="71">
        <f>'10-3-26'!I87</f>
        <v>0</v>
      </c>
      <c r="E87" s="68"/>
      <c r="F87" s="69"/>
      <c r="G87" s="69"/>
      <c r="H87" s="71">
        <f t="shared" si="7"/>
        <v>0</v>
      </c>
      <c r="I87" s="71">
        <f t="shared" si="9"/>
        <v>0</v>
      </c>
      <c r="J87" s="69">
        <f t="shared" si="6"/>
        <v>0</v>
      </c>
    </row>
    <row r="88" ht="1.75" customHeight="1" spans="1:10">
      <c r="A88" s="68"/>
      <c r="B88" s="69"/>
      <c r="C88" s="70"/>
      <c r="D88" s="71">
        <f>'10-3-26'!I88</f>
        <v>0</v>
      </c>
      <c r="E88" s="68"/>
      <c r="F88" s="69"/>
      <c r="G88" s="69"/>
      <c r="H88" s="71">
        <f t="shared" si="7"/>
        <v>0</v>
      </c>
      <c r="I88" s="71">
        <f t="shared" si="9"/>
        <v>0</v>
      </c>
      <c r="J88" s="69">
        <f t="shared" si="6"/>
        <v>0</v>
      </c>
    </row>
    <row r="89" ht="1.75" customHeight="1" spans="1:10">
      <c r="A89" s="68"/>
      <c r="B89" s="69"/>
      <c r="C89" s="70"/>
      <c r="D89" s="71">
        <f>'10-3-26'!I89</f>
        <v>0</v>
      </c>
      <c r="E89" s="68"/>
      <c r="F89" s="69"/>
      <c r="G89" s="69"/>
      <c r="H89" s="71">
        <f t="shared" si="7"/>
        <v>0</v>
      </c>
      <c r="I89" s="71">
        <f t="shared" si="9"/>
        <v>0</v>
      </c>
      <c r="J89" s="69">
        <f t="shared" si="6"/>
        <v>0</v>
      </c>
    </row>
    <row r="90" ht="1.75" customHeight="1" spans="1:10">
      <c r="A90" s="68"/>
      <c r="B90" s="69"/>
      <c r="C90" s="70"/>
      <c r="D90" s="71">
        <f>'10-3-26'!I90</f>
        <v>0</v>
      </c>
      <c r="E90" s="68"/>
      <c r="F90" s="69"/>
      <c r="G90" s="69"/>
      <c r="H90" s="71">
        <f t="shared" si="7"/>
        <v>0</v>
      </c>
      <c r="I90" s="71">
        <f t="shared" si="9"/>
        <v>0</v>
      </c>
      <c r="J90" s="69">
        <f t="shared" si="6"/>
        <v>0</v>
      </c>
    </row>
    <row r="91" ht="1.75" customHeight="1" spans="1:10">
      <c r="A91" s="68"/>
      <c r="B91" s="69"/>
      <c r="C91" s="70"/>
      <c r="D91" s="71">
        <f>'10-3-26'!I91</f>
        <v>0</v>
      </c>
      <c r="E91" s="68"/>
      <c r="F91" s="69"/>
      <c r="G91" s="69"/>
      <c r="H91" s="71">
        <f t="shared" si="7"/>
        <v>0</v>
      </c>
      <c r="I91" s="71">
        <f t="shared" si="9"/>
        <v>0</v>
      </c>
      <c r="J91" s="69">
        <f t="shared" si="6"/>
        <v>0</v>
      </c>
    </row>
    <row r="92" ht="1.75" customHeight="1" spans="1:10">
      <c r="A92" s="68"/>
      <c r="B92" s="69"/>
      <c r="C92" s="70"/>
      <c r="D92" s="71">
        <f>'10-3-26'!I92</f>
        <v>0</v>
      </c>
      <c r="E92" s="68"/>
      <c r="F92" s="69"/>
      <c r="G92" s="69"/>
      <c r="H92" s="71">
        <f t="shared" si="7"/>
        <v>0</v>
      </c>
      <c r="I92" s="71">
        <f t="shared" si="9"/>
        <v>0</v>
      </c>
      <c r="J92" s="69">
        <f t="shared" si="6"/>
        <v>0</v>
      </c>
    </row>
    <row r="93" ht="1.75" customHeight="1" spans="1:10">
      <c r="A93" s="68"/>
      <c r="B93" s="69"/>
      <c r="C93" s="70"/>
      <c r="D93" s="71">
        <f>'10-3-26'!I93</f>
        <v>0</v>
      </c>
      <c r="E93" s="68"/>
      <c r="F93" s="69"/>
      <c r="G93" s="69"/>
      <c r="H93" s="71">
        <f t="shared" si="7"/>
        <v>0</v>
      </c>
      <c r="I93" s="71">
        <f t="shared" si="9"/>
        <v>0</v>
      </c>
      <c r="J93" s="69">
        <f t="shared" si="6"/>
        <v>0</v>
      </c>
    </row>
    <row r="94" ht="1.75" customHeight="1" spans="1:10">
      <c r="A94" s="68"/>
      <c r="B94" s="69"/>
      <c r="C94" s="70"/>
      <c r="D94" s="71">
        <f>'10-3-26'!I94</f>
        <v>0</v>
      </c>
      <c r="E94" s="68"/>
      <c r="F94" s="69"/>
      <c r="G94" s="69"/>
      <c r="H94" s="71">
        <f t="shared" si="7"/>
        <v>0</v>
      </c>
      <c r="I94" s="71">
        <f t="shared" si="9"/>
        <v>0</v>
      </c>
      <c r="J94" s="69">
        <f t="shared" si="6"/>
        <v>0</v>
      </c>
    </row>
    <row r="95" ht="1.75" customHeight="1" spans="1:10">
      <c r="A95" s="68"/>
      <c r="B95" s="69"/>
      <c r="C95" s="70"/>
      <c r="D95" s="71">
        <f>'10-3-26'!I95</f>
        <v>0</v>
      </c>
      <c r="E95" s="68"/>
      <c r="F95" s="69"/>
      <c r="G95" s="69"/>
      <c r="H95" s="71">
        <f t="shared" si="7"/>
        <v>0</v>
      </c>
      <c r="I95" s="71">
        <f t="shared" si="9"/>
        <v>0</v>
      </c>
      <c r="J95" s="69">
        <f t="shared" si="6"/>
        <v>0</v>
      </c>
    </row>
    <row r="96" ht="1.75" customHeight="1" spans="1:10">
      <c r="A96" s="68"/>
      <c r="B96" s="69"/>
      <c r="C96" s="70"/>
      <c r="D96" s="71">
        <f>'10-3-26'!I96</f>
        <v>0</v>
      </c>
      <c r="E96" s="68"/>
      <c r="F96" s="69"/>
      <c r="G96" s="69"/>
      <c r="H96" s="71">
        <f t="shared" si="7"/>
        <v>0</v>
      </c>
      <c r="I96" s="71">
        <f t="shared" si="9"/>
        <v>0</v>
      </c>
      <c r="J96" s="69">
        <f t="shared" si="6"/>
        <v>0</v>
      </c>
    </row>
    <row r="97" ht="1.75" customHeight="1" spans="1:10">
      <c r="A97" s="68"/>
      <c r="B97" s="69"/>
      <c r="C97" s="70"/>
      <c r="D97" s="71">
        <f>'10-3-26'!I97</f>
        <v>0</v>
      </c>
      <c r="E97" s="68"/>
      <c r="F97" s="69"/>
      <c r="G97" s="69"/>
      <c r="H97" s="71">
        <f t="shared" si="7"/>
        <v>0</v>
      </c>
      <c r="I97" s="71">
        <f t="shared" si="9"/>
        <v>0</v>
      </c>
      <c r="J97" s="69">
        <f t="shared" si="6"/>
        <v>0</v>
      </c>
    </row>
    <row r="98" ht="1.75" customHeight="1" spans="1:10">
      <c r="A98" s="68"/>
      <c r="B98" s="69"/>
      <c r="C98" s="70"/>
      <c r="D98" s="71">
        <f>'10-3-26'!I98</f>
        <v>0</v>
      </c>
      <c r="E98" s="68"/>
      <c r="F98" s="69"/>
      <c r="G98" s="69"/>
      <c r="H98" s="71">
        <f t="shared" si="7"/>
        <v>0</v>
      </c>
      <c r="I98" s="71">
        <f t="shared" si="9"/>
        <v>0</v>
      </c>
      <c r="J98" s="69">
        <f t="shared" si="6"/>
        <v>0</v>
      </c>
    </row>
    <row r="99" ht="1.75" customHeight="1" spans="1:10">
      <c r="A99" s="68"/>
      <c r="B99" s="69"/>
      <c r="C99" s="70"/>
      <c r="D99" s="71">
        <f>'10-3-26'!I99</f>
        <v>0</v>
      </c>
      <c r="E99" s="68"/>
      <c r="F99" s="69"/>
      <c r="G99" s="69"/>
      <c r="H99" s="71">
        <f t="shared" si="7"/>
        <v>0</v>
      </c>
      <c r="I99" s="71">
        <f t="shared" si="9"/>
        <v>0</v>
      </c>
      <c r="J99" s="69">
        <f t="shared" si="6"/>
        <v>0</v>
      </c>
    </row>
    <row r="100" ht="1.75" customHeight="1" spans="1:10">
      <c r="A100" s="68"/>
      <c r="B100" s="69"/>
      <c r="C100" s="70"/>
      <c r="D100" s="71">
        <f>'10-3-26'!I100</f>
        <v>0</v>
      </c>
      <c r="E100" s="68"/>
      <c r="F100" s="69"/>
      <c r="G100" s="69"/>
      <c r="H100" s="71">
        <f t="shared" si="7"/>
        <v>0</v>
      </c>
      <c r="I100" s="71">
        <f t="shared" si="9"/>
        <v>0</v>
      </c>
      <c r="J100" s="69">
        <f t="shared" si="6"/>
        <v>0</v>
      </c>
    </row>
    <row r="101" ht="1.75" customHeight="1" spans="1:10">
      <c r="A101" s="68"/>
      <c r="B101" s="69"/>
      <c r="C101" s="70"/>
      <c r="D101" s="71">
        <f>'10-3-26'!I101</f>
        <v>0</v>
      </c>
      <c r="E101" s="68"/>
      <c r="F101" s="69"/>
      <c r="G101" s="69"/>
      <c r="H101" s="71">
        <f t="shared" si="7"/>
        <v>0</v>
      </c>
      <c r="I101" s="71">
        <f t="shared" si="9"/>
        <v>0</v>
      </c>
      <c r="J101" s="69">
        <f t="shared" si="6"/>
        <v>0</v>
      </c>
    </row>
    <row r="102" ht="1.75" customHeight="1" spans="1:10">
      <c r="A102" s="68"/>
      <c r="B102" s="69"/>
      <c r="C102" s="70"/>
      <c r="D102" s="71">
        <f>'10-3-26'!I102</f>
        <v>0</v>
      </c>
      <c r="E102" s="68"/>
      <c r="F102" s="69"/>
      <c r="G102" s="69"/>
      <c r="H102" s="71">
        <f t="shared" si="7"/>
        <v>0</v>
      </c>
      <c r="I102" s="71">
        <f t="shared" si="9"/>
        <v>0</v>
      </c>
      <c r="J102" s="69">
        <f t="shared" si="6"/>
        <v>0</v>
      </c>
    </row>
    <row r="103" ht="1.75" customHeight="1" spans="1:10">
      <c r="A103" s="68"/>
      <c r="B103" s="69"/>
      <c r="C103" s="70"/>
      <c r="D103" s="71">
        <f>'10-3-26'!I103</f>
        <v>0</v>
      </c>
      <c r="E103" s="68"/>
      <c r="F103" s="69"/>
      <c r="G103" s="69"/>
      <c r="H103" s="71">
        <f t="shared" si="7"/>
        <v>0</v>
      </c>
      <c r="I103" s="71">
        <f t="shared" si="9"/>
        <v>0</v>
      </c>
      <c r="J103" s="69">
        <f t="shared" si="6"/>
        <v>0</v>
      </c>
    </row>
    <row r="104" ht="1.75" customHeight="1" spans="1:10">
      <c r="A104" s="68"/>
      <c r="B104" s="69"/>
      <c r="C104" s="70"/>
      <c r="D104" s="71">
        <f>'10-3-26'!I104</f>
        <v>0</v>
      </c>
      <c r="E104" s="68"/>
      <c r="F104" s="69"/>
      <c r="G104" s="69"/>
      <c r="H104" s="71">
        <f t="shared" si="7"/>
        <v>0</v>
      </c>
      <c r="I104" s="71">
        <f t="shared" si="9"/>
        <v>0</v>
      </c>
      <c r="J104" s="69">
        <f t="shared" si="6"/>
        <v>0</v>
      </c>
    </row>
    <row r="105" ht="1.75" customHeight="1" spans="1:10">
      <c r="A105" s="68"/>
      <c r="B105" s="69"/>
      <c r="C105" s="70"/>
      <c r="D105" s="71">
        <f>'10-3-26'!I105</f>
        <v>0</v>
      </c>
      <c r="E105" s="68"/>
      <c r="F105" s="69"/>
      <c r="G105" s="69"/>
      <c r="H105" s="71">
        <f t="shared" si="7"/>
        <v>0</v>
      </c>
      <c r="I105" s="71">
        <f t="shared" si="9"/>
        <v>0</v>
      </c>
      <c r="J105" s="69">
        <f t="shared" si="6"/>
        <v>0</v>
      </c>
    </row>
    <row r="106" ht="1.75" customHeight="1" spans="1:10">
      <c r="A106" s="68"/>
      <c r="B106" s="69"/>
      <c r="C106" s="70"/>
      <c r="D106" s="71">
        <f>'10-3-26'!I106</f>
        <v>0</v>
      </c>
      <c r="E106" s="68"/>
      <c r="F106" s="69"/>
      <c r="G106" s="69"/>
      <c r="H106" s="71">
        <f t="shared" si="7"/>
        <v>0</v>
      </c>
      <c r="I106" s="71">
        <f t="shared" si="9"/>
        <v>0</v>
      </c>
      <c r="J106" s="69">
        <f t="shared" si="6"/>
        <v>0</v>
      </c>
    </row>
    <row r="107" ht="1.75" customHeight="1" spans="1:10">
      <c r="A107" s="68"/>
      <c r="B107" s="69"/>
      <c r="C107" s="70"/>
      <c r="D107" s="71">
        <f>'10-3-26'!I107</f>
        <v>0</v>
      </c>
      <c r="E107" s="68"/>
      <c r="F107" s="69"/>
      <c r="G107" s="69"/>
      <c r="H107" s="71">
        <f t="shared" si="7"/>
        <v>0</v>
      </c>
      <c r="I107" s="71">
        <f t="shared" si="9"/>
        <v>0</v>
      </c>
      <c r="J107" s="69">
        <f t="shared" si="6"/>
        <v>0</v>
      </c>
    </row>
    <row r="108" ht="1.75" customHeight="1" spans="1:10">
      <c r="A108" s="68"/>
      <c r="B108" s="69"/>
      <c r="C108" s="70"/>
      <c r="D108" s="71">
        <f>'10-3-26'!I108</f>
        <v>0</v>
      </c>
      <c r="E108" s="68"/>
      <c r="F108" s="69"/>
      <c r="G108" s="69"/>
      <c r="H108" s="71">
        <f t="shared" si="7"/>
        <v>0</v>
      </c>
      <c r="I108" s="71">
        <f t="shared" si="9"/>
        <v>0</v>
      </c>
      <c r="J108" s="69">
        <f t="shared" si="6"/>
        <v>0</v>
      </c>
    </row>
    <row r="109" ht="1.75" customHeight="1" spans="1:10">
      <c r="A109" s="68"/>
      <c r="B109" s="69"/>
      <c r="C109" s="70"/>
      <c r="D109" s="71">
        <f>'10-3-26'!I109</f>
        <v>0</v>
      </c>
      <c r="E109" s="68"/>
      <c r="F109" s="69"/>
      <c r="G109" s="69"/>
      <c r="H109" s="71">
        <f t="shared" si="7"/>
        <v>0</v>
      </c>
      <c r="I109" s="71">
        <f t="shared" si="9"/>
        <v>0</v>
      </c>
      <c r="J109" s="69">
        <f t="shared" si="6"/>
        <v>0</v>
      </c>
    </row>
    <row r="110" ht="1.75" customHeight="1" spans="1:10">
      <c r="A110" s="68"/>
      <c r="B110" s="69"/>
      <c r="C110" s="70"/>
      <c r="D110" s="71">
        <f>'10-3-26'!I110</f>
        <v>0</v>
      </c>
      <c r="E110" s="68"/>
      <c r="F110" s="69"/>
      <c r="G110" s="69"/>
      <c r="H110" s="71">
        <f t="shared" si="7"/>
        <v>0</v>
      </c>
      <c r="I110" s="71">
        <f t="shared" si="9"/>
        <v>0</v>
      </c>
      <c r="J110" s="69">
        <f t="shared" si="6"/>
        <v>0</v>
      </c>
    </row>
    <row r="111" ht="1.75" customHeight="1" spans="1:10">
      <c r="A111" s="68"/>
      <c r="B111" s="69"/>
      <c r="C111" s="70"/>
      <c r="D111" s="71">
        <f>'10-3-26'!I111</f>
        <v>0</v>
      </c>
      <c r="E111" s="68"/>
      <c r="F111" s="69"/>
      <c r="G111" s="69"/>
      <c r="H111" s="71">
        <f t="shared" si="7"/>
        <v>0</v>
      </c>
      <c r="I111" s="71">
        <f t="shared" si="9"/>
        <v>0</v>
      </c>
      <c r="J111" s="69">
        <f t="shared" si="6"/>
        <v>0</v>
      </c>
    </row>
    <row r="112" ht="1.75" customHeight="1" spans="1:10">
      <c r="A112" s="68"/>
      <c r="B112" s="69"/>
      <c r="C112" s="70"/>
      <c r="D112" s="71">
        <f>'10-3-26'!I112</f>
        <v>0</v>
      </c>
      <c r="E112" s="68"/>
      <c r="F112" s="69"/>
      <c r="G112" s="69"/>
      <c r="H112" s="71">
        <f t="shared" si="7"/>
        <v>0</v>
      </c>
      <c r="I112" s="71">
        <f t="shared" si="9"/>
        <v>0</v>
      </c>
      <c r="J112" s="69">
        <f t="shared" si="6"/>
        <v>0</v>
      </c>
    </row>
    <row r="113" ht="1.75" customHeight="1" spans="1:10">
      <c r="A113" s="68"/>
      <c r="B113" s="69"/>
      <c r="C113" s="70"/>
      <c r="D113" s="71">
        <f>'10-3-26'!I113</f>
        <v>0</v>
      </c>
      <c r="E113" s="68"/>
      <c r="F113" s="69"/>
      <c r="G113" s="69"/>
      <c r="H113" s="71">
        <f t="shared" si="7"/>
        <v>0</v>
      </c>
      <c r="I113" s="71">
        <f t="shared" si="9"/>
        <v>0</v>
      </c>
      <c r="J113" s="69">
        <f t="shared" si="6"/>
        <v>0</v>
      </c>
    </row>
    <row r="114" ht="1.75" customHeight="1" spans="1:10">
      <c r="A114" s="68"/>
      <c r="B114" s="69"/>
      <c r="C114" s="70"/>
      <c r="D114" s="71">
        <f>'10-3-26'!I114</f>
        <v>0</v>
      </c>
      <c r="E114" s="68"/>
      <c r="F114" s="69"/>
      <c r="G114" s="69"/>
      <c r="H114" s="71">
        <f t="shared" si="7"/>
        <v>0</v>
      </c>
      <c r="I114" s="71">
        <f t="shared" si="9"/>
        <v>0</v>
      </c>
      <c r="J114" s="69">
        <f t="shared" si="6"/>
        <v>0</v>
      </c>
    </row>
    <row r="115" ht="1.75" customHeight="1" spans="1:10">
      <c r="A115" s="68"/>
      <c r="B115" s="69"/>
      <c r="C115" s="70"/>
      <c r="D115" s="71">
        <f>'10-3-26'!I115</f>
        <v>0</v>
      </c>
      <c r="E115" s="68"/>
      <c r="F115" s="69"/>
      <c r="G115" s="69"/>
      <c r="H115" s="71">
        <f t="shared" si="7"/>
        <v>0</v>
      </c>
      <c r="I115" s="71">
        <f t="shared" si="9"/>
        <v>0</v>
      </c>
      <c r="J115" s="69">
        <f t="shared" si="6"/>
        <v>0</v>
      </c>
    </row>
    <row r="116" ht="1.75" customHeight="1" spans="1:10">
      <c r="A116" s="68"/>
      <c r="B116" s="69"/>
      <c r="C116" s="70"/>
      <c r="D116" s="71">
        <f>'10-3-26'!I116</f>
        <v>0</v>
      </c>
      <c r="E116" s="68"/>
      <c r="F116" s="69"/>
      <c r="G116" s="69"/>
      <c r="H116" s="71">
        <f t="shared" si="7"/>
        <v>0</v>
      </c>
      <c r="I116" s="71">
        <f t="shared" si="9"/>
        <v>0</v>
      </c>
      <c r="J116" s="69">
        <f t="shared" si="6"/>
        <v>0</v>
      </c>
    </row>
    <row r="117" ht="1.75" customHeight="1" spans="1:10">
      <c r="A117" s="68"/>
      <c r="B117" s="69"/>
      <c r="C117" s="70"/>
      <c r="D117" s="71">
        <f>'10-3-26'!I117</f>
        <v>0</v>
      </c>
      <c r="E117" s="68"/>
      <c r="F117" s="69"/>
      <c r="G117" s="69"/>
      <c r="H117" s="71">
        <f t="shared" si="7"/>
        <v>0</v>
      </c>
      <c r="I117" s="71">
        <f t="shared" si="9"/>
        <v>0</v>
      </c>
      <c r="J117" s="69">
        <f t="shared" si="6"/>
        <v>0</v>
      </c>
    </row>
    <row r="118" ht="1.75" customHeight="1" spans="1:10">
      <c r="A118" s="68"/>
      <c r="B118" s="69"/>
      <c r="C118" s="70"/>
      <c r="D118" s="71">
        <f>'10-3-26'!I118</f>
        <v>0</v>
      </c>
      <c r="E118" s="68"/>
      <c r="F118" s="69"/>
      <c r="G118" s="69"/>
      <c r="H118" s="71">
        <f t="shared" si="7"/>
        <v>0</v>
      </c>
      <c r="I118" s="71">
        <f t="shared" si="9"/>
        <v>0</v>
      </c>
      <c r="J118" s="69">
        <f t="shared" si="6"/>
        <v>0</v>
      </c>
    </row>
    <row r="119" ht="1.75" customHeight="1" spans="1:10">
      <c r="A119" s="68"/>
      <c r="B119" s="69"/>
      <c r="C119" s="70"/>
      <c r="D119" s="71">
        <f>'10-3-26'!I119</f>
        <v>0</v>
      </c>
      <c r="E119" s="68"/>
      <c r="F119" s="69"/>
      <c r="G119" s="69"/>
      <c r="H119" s="71">
        <f t="shared" si="7"/>
        <v>0</v>
      </c>
      <c r="I119" s="71">
        <f t="shared" si="9"/>
        <v>0</v>
      </c>
      <c r="J119" s="69">
        <f t="shared" si="6"/>
        <v>0</v>
      </c>
    </row>
    <row r="120" ht="1.75" customHeight="1" spans="1:10">
      <c r="A120" s="68"/>
      <c r="B120" s="69"/>
      <c r="C120" s="70"/>
      <c r="D120" s="71">
        <f>'10-3-26'!I120</f>
        <v>0</v>
      </c>
      <c r="E120" s="68"/>
      <c r="F120" s="69"/>
      <c r="G120" s="69"/>
      <c r="H120" s="71">
        <f t="shared" si="7"/>
        <v>0</v>
      </c>
      <c r="I120" s="71">
        <f t="shared" si="9"/>
        <v>0</v>
      </c>
      <c r="J120" s="69">
        <f t="shared" si="6"/>
        <v>0</v>
      </c>
    </row>
    <row r="121" ht="1.75" customHeight="1" spans="1:10">
      <c r="A121" s="68"/>
      <c r="B121" s="69"/>
      <c r="C121" s="70"/>
      <c r="D121" s="71">
        <f>'10-3-26'!I121</f>
        <v>0</v>
      </c>
      <c r="E121" s="68"/>
      <c r="F121" s="69"/>
      <c r="G121" s="69"/>
      <c r="H121" s="71">
        <f t="shared" si="7"/>
        <v>0</v>
      </c>
      <c r="I121" s="71">
        <f t="shared" si="9"/>
        <v>0</v>
      </c>
      <c r="J121" s="69">
        <f t="shared" si="6"/>
        <v>0</v>
      </c>
    </row>
    <row r="122" ht="1.75" customHeight="1" spans="1:10">
      <c r="A122" s="68"/>
      <c r="B122" s="69"/>
      <c r="C122" s="70"/>
      <c r="D122" s="71">
        <f>'10-3-26'!I122</f>
        <v>0</v>
      </c>
      <c r="E122" s="68"/>
      <c r="F122" s="69"/>
      <c r="G122" s="69"/>
      <c r="H122" s="71">
        <f t="shared" si="7"/>
        <v>0</v>
      </c>
      <c r="I122" s="71">
        <f t="shared" si="9"/>
        <v>0</v>
      </c>
      <c r="J122" s="69">
        <f t="shared" si="6"/>
        <v>0</v>
      </c>
    </row>
    <row r="123" ht="1.75" customHeight="1" spans="1:10">
      <c r="A123" s="68"/>
      <c r="B123" s="69"/>
      <c r="C123" s="70"/>
      <c r="D123" s="71">
        <f>'10-3-26'!I123</f>
        <v>0</v>
      </c>
      <c r="E123" s="68"/>
      <c r="F123" s="69"/>
      <c r="G123" s="69"/>
      <c r="H123" s="71">
        <f t="shared" si="7"/>
        <v>0</v>
      </c>
      <c r="I123" s="71">
        <f t="shared" si="9"/>
        <v>0</v>
      </c>
      <c r="J123" s="69">
        <f t="shared" si="6"/>
        <v>0</v>
      </c>
    </row>
    <row r="124" ht="1.75" customHeight="1" spans="1:10">
      <c r="A124" s="68"/>
      <c r="B124" s="69"/>
      <c r="C124" s="70"/>
      <c r="D124" s="71">
        <f>'10-3-26'!I124</f>
        <v>0</v>
      </c>
      <c r="E124" s="68"/>
      <c r="F124" s="69"/>
      <c r="G124" s="69"/>
      <c r="H124" s="71">
        <f t="shared" si="7"/>
        <v>0</v>
      </c>
      <c r="I124" s="71">
        <f t="shared" si="9"/>
        <v>0</v>
      </c>
      <c r="J124" s="69">
        <f t="shared" si="6"/>
        <v>0</v>
      </c>
    </row>
    <row r="125" ht="1.75" customHeight="1" spans="1:10">
      <c r="A125" s="68"/>
      <c r="B125" s="69"/>
      <c r="C125" s="70"/>
      <c r="D125" s="71">
        <f>'10-3-26'!I125</f>
        <v>0</v>
      </c>
      <c r="E125" s="68"/>
      <c r="F125" s="69"/>
      <c r="G125" s="69"/>
      <c r="H125" s="71">
        <f t="shared" si="7"/>
        <v>0</v>
      </c>
      <c r="I125" s="71">
        <f t="shared" si="9"/>
        <v>0</v>
      </c>
      <c r="J125" s="69">
        <f t="shared" si="6"/>
        <v>0</v>
      </c>
    </row>
    <row r="126" ht="1.75" customHeight="1" spans="1:10">
      <c r="A126" s="68"/>
      <c r="B126" s="69"/>
      <c r="C126" s="70"/>
      <c r="D126" s="71">
        <f>'10-3-26'!I126</f>
        <v>0</v>
      </c>
      <c r="E126" s="68"/>
      <c r="F126" s="69"/>
      <c r="G126" s="69"/>
      <c r="H126" s="71">
        <f t="shared" si="7"/>
        <v>0</v>
      </c>
      <c r="I126" s="71">
        <f t="shared" si="9"/>
        <v>0</v>
      </c>
      <c r="J126" s="69">
        <f t="shared" si="6"/>
        <v>0</v>
      </c>
    </row>
    <row r="127" ht="1.75" customHeight="1" spans="1:10">
      <c r="A127" s="68"/>
      <c r="B127" s="69"/>
      <c r="C127" s="70"/>
      <c r="D127" s="71">
        <f>'10-3-26'!I127</f>
        <v>0</v>
      </c>
      <c r="E127" s="68"/>
      <c r="F127" s="69"/>
      <c r="G127" s="69"/>
      <c r="H127" s="71">
        <f t="shared" si="7"/>
        <v>0</v>
      </c>
      <c r="I127" s="71">
        <f t="shared" si="9"/>
        <v>0</v>
      </c>
      <c r="J127" s="69">
        <f t="shared" si="6"/>
        <v>0</v>
      </c>
    </row>
    <row r="128" ht="1.75" customHeight="1" spans="1:10">
      <c r="A128" s="68"/>
      <c r="B128" s="69"/>
      <c r="C128" s="70"/>
      <c r="D128" s="71">
        <f>'10-3-26'!I128</f>
        <v>0</v>
      </c>
      <c r="E128" s="68"/>
      <c r="F128" s="69"/>
      <c r="G128" s="69"/>
      <c r="H128" s="71">
        <f t="shared" si="7"/>
        <v>0</v>
      </c>
      <c r="I128" s="71">
        <f t="shared" si="9"/>
        <v>0</v>
      </c>
      <c r="J128" s="69">
        <f t="shared" si="6"/>
        <v>0</v>
      </c>
    </row>
    <row r="129" ht="1.75" customHeight="1" spans="1:10">
      <c r="A129" s="68"/>
      <c r="B129" s="69"/>
      <c r="C129" s="70"/>
      <c r="D129" s="71">
        <f>'10-3-26'!I129</f>
        <v>0</v>
      </c>
      <c r="E129" s="68"/>
      <c r="F129" s="69"/>
      <c r="G129" s="69"/>
      <c r="H129" s="71">
        <f t="shared" si="7"/>
        <v>0</v>
      </c>
      <c r="I129" s="71">
        <f t="shared" si="9"/>
        <v>0</v>
      </c>
      <c r="J129" s="69">
        <f t="shared" si="6"/>
        <v>0</v>
      </c>
    </row>
    <row r="130" ht="1.75" customHeight="1" spans="1:10">
      <c r="A130" s="68"/>
      <c r="B130" s="69"/>
      <c r="C130" s="70"/>
      <c r="D130" s="71">
        <f>'10-3-26'!I130</f>
        <v>0</v>
      </c>
      <c r="E130" s="68"/>
      <c r="F130" s="69"/>
      <c r="G130" s="69"/>
      <c r="H130" s="71">
        <f t="shared" si="7"/>
        <v>0</v>
      </c>
      <c r="I130" s="71">
        <f t="shared" si="9"/>
        <v>0</v>
      </c>
      <c r="J130" s="69">
        <f t="shared" si="6"/>
        <v>0</v>
      </c>
    </row>
    <row r="131" ht="1.75" customHeight="1" spans="1:10">
      <c r="A131" s="68"/>
      <c r="B131" s="69"/>
      <c r="C131" s="70"/>
      <c r="D131" s="71">
        <f>'10-3-26'!I131</f>
        <v>0</v>
      </c>
      <c r="E131" s="68"/>
      <c r="F131" s="69"/>
      <c r="G131" s="69"/>
      <c r="H131" s="71">
        <f t="shared" si="7"/>
        <v>0</v>
      </c>
      <c r="I131" s="71">
        <f t="shared" si="9"/>
        <v>0</v>
      </c>
      <c r="J131" s="69">
        <f t="shared" si="6"/>
        <v>0</v>
      </c>
    </row>
    <row r="132" ht="1.75" customHeight="1" spans="1:10">
      <c r="A132" s="68"/>
      <c r="B132" s="69"/>
      <c r="C132" s="70"/>
      <c r="D132" s="71">
        <f>'10-3-26'!I132</f>
        <v>0</v>
      </c>
      <c r="E132" s="68"/>
      <c r="F132" s="69"/>
      <c r="G132" s="69"/>
      <c r="H132" s="71">
        <f t="shared" si="7"/>
        <v>0</v>
      </c>
      <c r="I132" s="71">
        <f t="shared" si="9"/>
        <v>0</v>
      </c>
      <c r="J132" s="69">
        <f t="shared" si="6"/>
        <v>0</v>
      </c>
    </row>
    <row r="133" ht="1.75" customHeight="1" spans="1:10">
      <c r="A133" s="68"/>
      <c r="B133" s="69"/>
      <c r="C133" s="70"/>
      <c r="D133" s="71">
        <f>'10-3-26'!I133</f>
        <v>0</v>
      </c>
      <c r="E133" s="68"/>
      <c r="F133" s="69"/>
      <c r="G133" s="69"/>
      <c r="H133" s="71">
        <f t="shared" si="7"/>
        <v>0</v>
      </c>
      <c r="I133" s="71">
        <f t="shared" si="9"/>
        <v>0</v>
      </c>
      <c r="J133" s="69">
        <f t="shared" si="6"/>
        <v>0</v>
      </c>
    </row>
    <row r="134" ht="1.75" customHeight="1" spans="1:10">
      <c r="A134" s="68"/>
      <c r="B134" s="69"/>
      <c r="C134" s="70"/>
      <c r="D134" s="71">
        <f>'10-3-26'!I134</f>
        <v>0</v>
      </c>
      <c r="E134" s="68"/>
      <c r="F134" s="69"/>
      <c r="G134" s="69"/>
      <c r="H134" s="71">
        <f t="shared" si="7"/>
        <v>0</v>
      </c>
      <c r="I134" s="71">
        <f t="shared" si="9"/>
        <v>0</v>
      </c>
      <c r="J134" s="69">
        <f t="shared" si="6"/>
        <v>0</v>
      </c>
    </row>
    <row r="135" ht="1.75" customHeight="1" spans="1:10">
      <c r="A135" s="68"/>
      <c r="B135" s="69"/>
      <c r="C135" s="70"/>
      <c r="D135" s="71">
        <f>'10-3-26'!I135</f>
        <v>0</v>
      </c>
      <c r="E135" s="68"/>
      <c r="F135" s="69"/>
      <c r="G135" s="69"/>
      <c r="H135" s="71">
        <f t="shared" si="7"/>
        <v>0</v>
      </c>
      <c r="I135" s="71">
        <f t="shared" si="9"/>
        <v>0</v>
      </c>
      <c r="J135" s="69">
        <f t="shared" si="6"/>
        <v>0</v>
      </c>
    </row>
    <row r="136" ht="1.75" customHeight="1" spans="1:10">
      <c r="A136" s="68"/>
      <c r="B136" s="69"/>
      <c r="C136" s="70"/>
      <c r="D136" s="71">
        <f>'10-3-26'!I136</f>
        <v>0</v>
      </c>
      <c r="E136" s="68"/>
      <c r="F136" s="69"/>
      <c r="G136" s="69"/>
      <c r="H136" s="71">
        <f t="shared" si="7"/>
        <v>0</v>
      </c>
      <c r="I136" s="71">
        <f t="shared" si="9"/>
        <v>0</v>
      </c>
      <c r="J136" s="69">
        <f t="shared" si="6"/>
        <v>0</v>
      </c>
    </row>
    <row r="137" ht="1.75" customHeight="1" spans="1:10">
      <c r="A137" s="68"/>
      <c r="B137" s="69"/>
      <c r="C137" s="70"/>
      <c r="D137" s="71">
        <f>'10-3-26'!I137</f>
        <v>0</v>
      </c>
      <c r="E137" s="68"/>
      <c r="F137" s="69"/>
      <c r="G137" s="69"/>
      <c r="H137" s="71">
        <f t="shared" si="7"/>
        <v>0</v>
      </c>
      <c r="I137" s="71">
        <f t="shared" si="9"/>
        <v>0</v>
      </c>
      <c r="J137" s="69">
        <f t="shared" si="6"/>
        <v>0</v>
      </c>
    </row>
    <row r="138" ht="1.75" customHeight="1" spans="1:10">
      <c r="A138" s="68"/>
      <c r="B138" s="69"/>
      <c r="C138" s="70"/>
      <c r="D138" s="71">
        <f>'10-3-26'!I138</f>
        <v>0</v>
      </c>
      <c r="E138" s="68"/>
      <c r="F138" s="69"/>
      <c r="G138" s="69"/>
      <c r="H138" s="71">
        <f t="shared" ref="H138:H187" si="10">SUM(F138:G138)</f>
        <v>0</v>
      </c>
      <c r="I138" s="71">
        <f t="shared" si="9"/>
        <v>0</v>
      </c>
      <c r="J138" s="69">
        <f t="shared" ref="J138:J187" si="11">1/10*G138</f>
        <v>0</v>
      </c>
    </row>
    <row r="139" ht="1.75" customHeight="1" spans="1:10">
      <c r="A139" s="68"/>
      <c r="B139" s="69"/>
      <c r="C139" s="70"/>
      <c r="D139" s="71">
        <f>'10-3-26'!I139</f>
        <v>0</v>
      </c>
      <c r="E139" s="68"/>
      <c r="F139" s="69"/>
      <c r="G139" s="69"/>
      <c r="H139" s="71">
        <f t="shared" si="10"/>
        <v>0</v>
      </c>
      <c r="I139" s="71">
        <f t="shared" si="9"/>
        <v>0</v>
      </c>
      <c r="J139" s="69">
        <f t="shared" si="11"/>
        <v>0</v>
      </c>
    </row>
    <row r="140" ht="1.75" customHeight="1" spans="1:10">
      <c r="A140" s="68"/>
      <c r="B140" s="69"/>
      <c r="C140" s="70"/>
      <c r="D140" s="71">
        <f>'10-3-26'!I140</f>
        <v>0</v>
      </c>
      <c r="E140" s="68"/>
      <c r="F140" s="69"/>
      <c r="G140" s="69"/>
      <c r="H140" s="71">
        <f t="shared" si="10"/>
        <v>0</v>
      </c>
      <c r="I140" s="71">
        <f t="shared" si="9"/>
        <v>0</v>
      </c>
      <c r="J140" s="69">
        <f t="shared" si="11"/>
        <v>0</v>
      </c>
    </row>
    <row r="141" ht="1.75" customHeight="1" spans="1:10">
      <c r="A141" s="68"/>
      <c r="B141" s="69"/>
      <c r="C141" s="70"/>
      <c r="D141" s="71">
        <f>'10-3-26'!I141</f>
        <v>0</v>
      </c>
      <c r="E141" s="68"/>
      <c r="F141" s="69"/>
      <c r="G141" s="69"/>
      <c r="H141" s="71">
        <f t="shared" si="10"/>
        <v>0</v>
      </c>
      <c r="I141" s="71">
        <f t="shared" si="9"/>
        <v>0</v>
      </c>
      <c r="J141" s="69">
        <f t="shared" si="11"/>
        <v>0</v>
      </c>
    </row>
    <row r="142" ht="1.75" customHeight="1" spans="1:10">
      <c r="A142" s="68"/>
      <c r="B142" s="69"/>
      <c r="C142" s="70"/>
      <c r="D142" s="71">
        <f>'10-3-26'!I142</f>
        <v>0</v>
      </c>
      <c r="E142" s="68"/>
      <c r="F142" s="69"/>
      <c r="G142" s="69"/>
      <c r="H142" s="71">
        <f t="shared" si="10"/>
        <v>0</v>
      </c>
      <c r="I142" s="71">
        <f t="shared" si="9"/>
        <v>0</v>
      </c>
      <c r="J142" s="69">
        <f t="shared" si="11"/>
        <v>0</v>
      </c>
    </row>
    <row r="143" ht="1.75" customHeight="1" spans="1:10">
      <c r="A143" s="68"/>
      <c r="B143" s="69"/>
      <c r="C143" s="70"/>
      <c r="D143" s="71">
        <f>'10-3-26'!I143</f>
        <v>0</v>
      </c>
      <c r="E143" s="68"/>
      <c r="F143" s="69"/>
      <c r="G143" s="69"/>
      <c r="H143" s="71">
        <f t="shared" si="10"/>
        <v>0</v>
      </c>
      <c r="I143" s="71">
        <f t="shared" si="9"/>
        <v>0</v>
      </c>
      <c r="J143" s="69">
        <f t="shared" si="11"/>
        <v>0</v>
      </c>
    </row>
    <row r="144" ht="1.75" customHeight="1" spans="1:10">
      <c r="A144" s="68"/>
      <c r="B144" s="69"/>
      <c r="C144" s="70"/>
      <c r="D144" s="71">
        <f>'10-3-26'!I144</f>
        <v>0</v>
      </c>
      <c r="E144" s="68"/>
      <c r="F144" s="69"/>
      <c r="G144" s="69"/>
      <c r="H144" s="71">
        <f t="shared" si="10"/>
        <v>0</v>
      </c>
      <c r="I144" s="71">
        <f t="shared" si="9"/>
        <v>0</v>
      </c>
      <c r="J144" s="69">
        <f t="shared" si="11"/>
        <v>0</v>
      </c>
    </row>
    <row r="145" ht="1.75" customHeight="1" spans="1:10">
      <c r="A145" s="68"/>
      <c r="B145" s="69"/>
      <c r="C145" s="70"/>
      <c r="D145" s="71">
        <f>'10-3-26'!I145</f>
        <v>0</v>
      </c>
      <c r="E145" s="68"/>
      <c r="F145" s="69"/>
      <c r="G145" s="69"/>
      <c r="H145" s="71">
        <f t="shared" si="10"/>
        <v>0</v>
      </c>
      <c r="I145" s="71">
        <f t="shared" si="9"/>
        <v>0</v>
      </c>
      <c r="J145" s="69">
        <f t="shared" si="11"/>
        <v>0</v>
      </c>
    </row>
    <row r="146" ht="1.75" customHeight="1" spans="1:10">
      <c r="A146" s="68"/>
      <c r="B146" s="69"/>
      <c r="C146" s="70"/>
      <c r="D146" s="71">
        <f>'10-3-26'!I146</f>
        <v>0</v>
      </c>
      <c r="E146" s="68"/>
      <c r="F146" s="69"/>
      <c r="G146" s="69"/>
      <c r="H146" s="71">
        <f t="shared" si="10"/>
        <v>0</v>
      </c>
      <c r="I146" s="71">
        <f t="shared" si="9"/>
        <v>0</v>
      </c>
      <c r="J146" s="69">
        <f t="shared" si="11"/>
        <v>0</v>
      </c>
    </row>
    <row r="147" ht="1.75" customHeight="1" spans="1:10">
      <c r="A147" s="68"/>
      <c r="B147" s="69"/>
      <c r="C147" s="70"/>
      <c r="D147" s="71">
        <f>'10-3-26'!I147</f>
        <v>0</v>
      </c>
      <c r="E147" s="68"/>
      <c r="F147" s="69"/>
      <c r="G147" s="69"/>
      <c r="H147" s="71">
        <f t="shared" si="10"/>
        <v>0</v>
      </c>
      <c r="I147" s="71">
        <f t="shared" si="9"/>
        <v>0</v>
      </c>
      <c r="J147" s="69">
        <f t="shared" si="11"/>
        <v>0</v>
      </c>
    </row>
    <row r="148" ht="1.75" customHeight="1" spans="1:10">
      <c r="A148" s="68"/>
      <c r="B148" s="69"/>
      <c r="C148" s="70"/>
      <c r="D148" s="71">
        <f>'10-3-26'!I148</f>
        <v>0</v>
      </c>
      <c r="E148" s="68"/>
      <c r="F148" s="69"/>
      <c r="G148" s="69"/>
      <c r="H148" s="71">
        <f t="shared" si="10"/>
        <v>0</v>
      </c>
      <c r="I148" s="71">
        <f t="shared" si="9"/>
        <v>0</v>
      </c>
      <c r="J148" s="69">
        <f t="shared" si="11"/>
        <v>0</v>
      </c>
    </row>
    <row r="149" ht="1.75" customHeight="1" spans="1:10">
      <c r="A149" s="68"/>
      <c r="B149" s="69"/>
      <c r="C149" s="70"/>
      <c r="D149" s="71">
        <f>'10-3-26'!I149</f>
        <v>0</v>
      </c>
      <c r="E149" s="68"/>
      <c r="F149" s="69"/>
      <c r="G149" s="69"/>
      <c r="H149" s="71">
        <f t="shared" si="10"/>
        <v>0</v>
      </c>
      <c r="I149" s="71">
        <f t="shared" si="9"/>
        <v>0</v>
      </c>
      <c r="J149" s="69">
        <f t="shared" si="11"/>
        <v>0</v>
      </c>
    </row>
    <row r="150" ht="1.75" customHeight="1" spans="1:10">
      <c r="A150" s="68"/>
      <c r="B150" s="69"/>
      <c r="C150" s="70"/>
      <c r="D150" s="71">
        <f>'10-3-26'!I150</f>
        <v>0</v>
      </c>
      <c r="E150" s="68"/>
      <c r="F150" s="69"/>
      <c r="G150" s="69"/>
      <c r="H150" s="71">
        <f t="shared" si="10"/>
        <v>0</v>
      </c>
      <c r="I150" s="71">
        <f t="shared" si="9"/>
        <v>0</v>
      </c>
      <c r="J150" s="69">
        <f t="shared" si="11"/>
        <v>0</v>
      </c>
    </row>
    <row r="151" ht="1.75" customHeight="1" spans="1:10">
      <c r="A151" s="68"/>
      <c r="B151" s="69"/>
      <c r="C151" s="70"/>
      <c r="D151" s="71">
        <f>'10-3-26'!I151</f>
        <v>0</v>
      </c>
      <c r="E151" s="68"/>
      <c r="F151" s="69"/>
      <c r="G151" s="69"/>
      <c r="H151" s="71">
        <f t="shared" si="10"/>
        <v>0</v>
      </c>
      <c r="I151" s="71">
        <f t="shared" si="9"/>
        <v>0</v>
      </c>
      <c r="J151" s="69">
        <f t="shared" si="11"/>
        <v>0</v>
      </c>
    </row>
    <row r="152" ht="1.75" customHeight="1" spans="1:10">
      <c r="A152" s="68"/>
      <c r="B152" s="69"/>
      <c r="C152" s="70"/>
      <c r="D152" s="71">
        <f>'10-3-26'!I152</f>
        <v>0</v>
      </c>
      <c r="E152" s="68"/>
      <c r="F152" s="69"/>
      <c r="G152" s="69"/>
      <c r="H152" s="71">
        <f t="shared" si="10"/>
        <v>0</v>
      </c>
      <c r="I152" s="71">
        <f t="shared" si="9"/>
        <v>0</v>
      </c>
      <c r="J152" s="69">
        <f t="shared" si="11"/>
        <v>0</v>
      </c>
    </row>
    <row r="153" ht="1.75" customHeight="1" spans="1:10">
      <c r="A153" s="68"/>
      <c r="B153" s="69"/>
      <c r="C153" s="70"/>
      <c r="D153" s="71">
        <f>'10-3-26'!I153</f>
        <v>0</v>
      </c>
      <c r="E153" s="68"/>
      <c r="F153" s="69"/>
      <c r="G153" s="69"/>
      <c r="H153" s="71">
        <f t="shared" si="10"/>
        <v>0</v>
      </c>
      <c r="I153" s="71">
        <f t="shared" si="9"/>
        <v>0</v>
      </c>
      <c r="J153" s="69">
        <f t="shared" si="11"/>
        <v>0</v>
      </c>
    </row>
    <row r="154" ht="1.75" customHeight="1" spans="1:10">
      <c r="A154" s="68"/>
      <c r="B154" s="69"/>
      <c r="C154" s="70"/>
      <c r="D154" s="71">
        <f>'10-3-26'!I154</f>
        <v>0</v>
      </c>
      <c r="E154" s="68"/>
      <c r="F154" s="69"/>
      <c r="G154" s="69"/>
      <c r="H154" s="71">
        <f t="shared" si="10"/>
        <v>0</v>
      </c>
      <c r="I154" s="71">
        <f t="shared" si="9"/>
        <v>0</v>
      </c>
      <c r="J154" s="69">
        <f t="shared" si="11"/>
        <v>0</v>
      </c>
    </row>
    <row r="155" ht="1.75" customHeight="1" spans="1:10">
      <c r="A155" s="68"/>
      <c r="B155" s="69"/>
      <c r="C155" s="70"/>
      <c r="D155" s="71">
        <f>'10-3-26'!I155</f>
        <v>0</v>
      </c>
      <c r="E155" s="68"/>
      <c r="F155" s="69"/>
      <c r="G155" s="69"/>
      <c r="H155" s="71">
        <f t="shared" si="10"/>
        <v>0</v>
      </c>
      <c r="I155" s="71">
        <f t="shared" si="9"/>
        <v>0</v>
      </c>
      <c r="J155" s="69">
        <f t="shared" si="11"/>
        <v>0</v>
      </c>
    </row>
    <row r="156" ht="1.75" customHeight="1" spans="1:10">
      <c r="A156" s="68"/>
      <c r="B156" s="69"/>
      <c r="C156" s="70"/>
      <c r="D156" s="71">
        <f>'10-3-26'!I156</f>
        <v>0</v>
      </c>
      <c r="E156" s="68"/>
      <c r="F156" s="69"/>
      <c r="G156" s="69"/>
      <c r="H156" s="71">
        <f t="shared" si="10"/>
        <v>0</v>
      </c>
      <c r="I156" s="71">
        <f t="shared" si="9"/>
        <v>0</v>
      </c>
      <c r="J156" s="69">
        <f t="shared" si="11"/>
        <v>0</v>
      </c>
    </row>
    <row r="157" ht="1.75" customHeight="1" spans="1:10">
      <c r="A157" s="68"/>
      <c r="B157" s="69"/>
      <c r="C157" s="70"/>
      <c r="D157" s="71">
        <f>'10-3-26'!I157</f>
        <v>0</v>
      </c>
      <c r="E157" s="68"/>
      <c r="F157" s="69"/>
      <c r="G157" s="69"/>
      <c r="H157" s="71">
        <f t="shared" si="10"/>
        <v>0</v>
      </c>
      <c r="I157" s="71">
        <f t="shared" si="9"/>
        <v>0</v>
      </c>
      <c r="J157" s="69">
        <f t="shared" si="11"/>
        <v>0</v>
      </c>
    </row>
    <row r="158" ht="1.75" customHeight="1" spans="1:10">
      <c r="A158" s="68"/>
      <c r="B158" s="69"/>
      <c r="C158" s="70"/>
      <c r="D158" s="71">
        <f>'10-3-26'!I158</f>
        <v>0</v>
      </c>
      <c r="E158" s="68"/>
      <c r="F158" s="69"/>
      <c r="G158" s="69"/>
      <c r="H158" s="71">
        <f t="shared" si="10"/>
        <v>0</v>
      </c>
      <c r="I158" s="71">
        <f t="shared" si="9"/>
        <v>0</v>
      </c>
      <c r="J158" s="69">
        <f t="shared" si="11"/>
        <v>0</v>
      </c>
    </row>
    <row r="159" ht="1.75" customHeight="1" spans="1:10">
      <c r="A159" s="68"/>
      <c r="B159" s="69"/>
      <c r="C159" s="70"/>
      <c r="D159" s="71">
        <f>'10-3-26'!I159</f>
        <v>0</v>
      </c>
      <c r="E159" s="68"/>
      <c r="F159" s="69"/>
      <c r="G159" s="69"/>
      <c r="H159" s="71">
        <f t="shared" si="10"/>
        <v>0</v>
      </c>
      <c r="I159" s="71">
        <f t="shared" si="9"/>
        <v>0</v>
      </c>
      <c r="J159" s="69">
        <f t="shared" si="11"/>
        <v>0</v>
      </c>
    </row>
    <row r="160" ht="1.75" customHeight="1" spans="1:10">
      <c r="A160" s="68"/>
      <c r="B160" s="69"/>
      <c r="C160" s="70"/>
      <c r="D160" s="71">
        <f>'10-3-26'!I160</f>
        <v>0</v>
      </c>
      <c r="E160" s="68"/>
      <c r="F160" s="69"/>
      <c r="G160" s="69"/>
      <c r="H160" s="71">
        <f t="shared" si="10"/>
        <v>0</v>
      </c>
      <c r="I160" s="71">
        <f t="shared" si="9"/>
        <v>0</v>
      </c>
      <c r="J160" s="69">
        <f t="shared" si="11"/>
        <v>0</v>
      </c>
    </row>
    <row r="161" ht="1.75" customHeight="1" spans="1:10">
      <c r="A161" s="68"/>
      <c r="B161" s="69"/>
      <c r="C161" s="70"/>
      <c r="D161" s="71">
        <f>'10-3-26'!I161</f>
        <v>0</v>
      </c>
      <c r="E161" s="68"/>
      <c r="F161" s="69"/>
      <c r="G161" s="69"/>
      <c r="H161" s="71">
        <f t="shared" si="10"/>
        <v>0</v>
      </c>
      <c r="I161" s="71">
        <f t="shared" si="9"/>
        <v>0</v>
      </c>
      <c r="J161" s="69">
        <f t="shared" si="11"/>
        <v>0</v>
      </c>
    </row>
    <row r="162" ht="1.75" customHeight="1" spans="1:10">
      <c r="A162" s="68"/>
      <c r="B162" s="69"/>
      <c r="C162" s="70"/>
      <c r="D162" s="71">
        <f>'10-3-26'!I162</f>
        <v>0</v>
      </c>
      <c r="E162" s="68"/>
      <c r="F162" s="69"/>
      <c r="G162" s="69"/>
      <c r="H162" s="71">
        <f t="shared" si="10"/>
        <v>0</v>
      </c>
      <c r="I162" s="71">
        <f t="shared" si="9"/>
        <v>0</v>
      </c>
      <c r="J162" s="69">
        <f t="shared" si="11"/>
        <v>0</v>
      </c>
    </row>
    <row r="163" ht="1.75" customHeight="1" spans="1:10">
      <c r="A163" s="68"/>
      <c r="B163" s="69"/>
      <c r="C163" s="70"/>
      <c r="D163" s="71">
        <f>'10-3-26'!I163</f>
        <v>0</v>
      </c>
      <c r="E163" s="68"/>
      <c r="F163" s="69"/>
      <c r="G163" s="69"/>
      <c r="H163" s="71">
        <f t="shared" si="10"/>
        <v>0</v>
      </c>
      <c r="I163" s="71">
        <f t="shared" si="9"/>
        <v>0</v>
      </c>
      <c r="J163" s="69">
        <f t="shared" si="11"/>
        <v>0</v>
      </c>
    </row>
    <row r="164" ht="1.75" customHeight="1" spans="1:10">
      <c r="A164" s="68"/>
      <c r="B164" s="69"/>
      <c r="C164" s="70"/>
      <c r="D164" s="71">
        <f>'10-3-26'!I164</f>
        <v>0</v>
      </c>
      <c r="E164" s="68"/>
      <c r="F164" s="69"/>
      <c r="G164" s="69"/>
      <c r="H164" s="71">
        <f t="shared" si="10"/>
        <v>0</v>
      </c>
      <c r="I164" s="71">
        <f t="shared" si="9"/>
        <v>0</v>
      </c>
      <c r="J164" s="69">
        <f t="shared" si="11"/>
        <v>0</v>
      </c>
    </row>
    <row r="165" ht="1.75" customHeight="1" spans="1:10">
      <c r="A165" s="68"/>
      <c r="B165" s="69"/>
      <c r="C165" s="70"/>
      <c r="D165" s="71">
        <f>'10-3-26'!I165</f>
        <v>0</v>
      </c>
      <c r="E165" s="68"/>
      <c r="F165" s="69"/>
      <c r="G165" s="69"/>
      <c r="H165" s="71">
        <f t="shared" si="10"/>
        <v>0</v>
      </c>
      <c r="I165" s="71">
        <f t="shared" si="9"/>
        <v>0</v>
      </c>
      <c r="J165" s="69">
        <f t="shared" si="11"/>
        <v>0</v>
      </c>
    </row>
    <row r="166" ht="1.75" customHeight="1" spans="1:10">
      <c r="A166" s="68"/>
      <c r="B166" s="69"/>
      <c r="C166" s="70"/>
      <c r="D166" s="71">
        <f>'10-3-26'!I166</f>
        <v>0</v>
      </c>
      <c r="E166" s="68"/>
      <c r="F166" s="69"/>
      <c r="G166" s="69"/>
      <c r="H166" s="71">
        <f t="shared" si="10"/>
        <v>0</v>
      </c>
      <c r="I166" s="71">
        <f t="shared" si="9"/>
        <v>0</v>
      </c>
      <c r="J166" s="69">
        <f t="shared" si="11"/>
        <v>0</v>
      </c>
    </row>
    <row r="167" ht="1.75" customHeight="1" spans="1:10">
      <c r="A167" s="68"/>
      <c r="B167" s="69"/>
      <c r="C167" s="70"/>
      <c r="D167" s="71">
        <f>'10-3-26'!I167</f>
        <v>0</v>
      </c>
      <c r="E167" s="68"/>
      <c r="F167" s="69"/>
      <c r="G167" s="69"/>
      <c r="H167" s="71">
        <f t="shared" si="10"/>
        <v>0</v>
      </c>
      <c r="I167" s="71">
        <f t="shared" si="9"/>
        <v>0</v>
      </c>
      <c r="J167" s="69">
        <f t="shared" si="11"/>
        <v>0</v>
      </c>
    </row>
    <row r="168" ht="1.75" customHeight="1" spans="1:10">
      <c r="A168" s="68"/>
      <c r="B168" s="69"/>
      <c r="C168" s="70"/>
      <c r="D168" s="71">
        <f>'10-3-26'!I168</f>
        <v>0</v>
      </c>
      <c r="E168" s="68"/>
      <c r="F168" s="69"/>
      <c r="G168" s="69"/>
      <c r="H168" s="71">
        <f t="shared" si="10"/>
        <v>0</v>
      </c>
      <c r="I168" s="71">
        <f t="shared" si="9"/>
        <v>0</v>
      </c>
      <c r="J168" s="69">
        <f t="shared" si="11"/>
        <v>0</v>
      </c>
    </row>
    <row r="169" ht="1.75" customHeight="1" spans="1:10">
      <c r="A169" s="68"/>
      <c r="B169" s="69"/>
      <c r="C169" s="70"/>
      <c r="D169" s="71">
        <f>'10-3-26'!I169</f>
        <v>0</v>
      </c>
      <c r="E169" s="68"/>
      <c r="F169" s="69"/>
      <c r="G169" s="69"/>
      <c r="H169" s="71">
        <f t="shared" si="10"/>
        <v>0</v>
      </c>
      <c r="I169" s="71">
        <f t="shared" si="9"/>
        <v>0</v>
      </c>
      <c r="J169" s="69">
        <f t="shared" si="11"/>
        <v>0</v>
      </c>
    </row>
    <row r="170" ht="1.75" customHeight="1" spans="1:10">
      <c r="A170" s="68"/>
      <c r="B170" s="69"/>
      <c r="C170" s="70"/>
      <c r="D170" s="71">
        <f>'10-3-26'!I170</f>
        <v>0</v>
      </c>
      <c r="E170" s="68"/>
      <c r="F170" s="69"/>
      <c r="G170" s="69"/>
      <c r="H170" s="71">
        <f t="shared" si="10"/>
        <v>0</v>
      </c>
      <c r="I170" s="71">
        <f t="shared" si="9"/>
        <v>0</v>
      </c>
      <c r="J170" s="69">
        <f t="shared" si="11"/>
        <v>0</v>
      </c>
    </row>
    <row r="171" ht="1.75" customHeight="1" spans="1:10">
      <c r="A171" s="68"/>
      <c r="B171" s="69"/>
      <c r="C171" s="70"/>
      <c r="D171" s="71">
        <f>'10-3-26'!I171</f>
        <v>0</v>
      </c>
      <c r="E171" s="68"/>
      <c r="F171" s="69"/>
      <c r="G171" s="69"/>
      <c r="H171" s="71">
        <f t="shared" si="10"/>
        <v>0</v>
      </c>
      <c r="I171" s="71">
        <f t="shared" si="9"/>
        <v>0</v>
      </c>
      <c r="J171" s="69">
        <f t="shared" si="11"/>
        <v>0</v>
      </c>
    </row>
    <row r="172" ht="1.75" customHeight="1" spans="1:10">
      <c r="A172" s="68"/>
      <c r="B172" s="69"/>
      <c r="C172" s="70"/>
      <c r="D172" s="71">
        <f>'10-3-26'!I172</f>
        <v>0</v>
      </c>
      <c r="E172" s="68"/>
      <c r="F172" s="69"/>
      <c r="G172" s="69"/>
      <c r="H172" s="71">
        <f t="shared" si="10"/>
        <v>0</v>
      </c>
      <c r="I172" s="71">
        <f t="shared" si="9"/>
        <v>0</v>
      </c>
      <c r="J172" s="69">
        <f t="shared" si="11"/>
        <v>0</v>
      </c>
    </row>
    <row r="173" ht="1.75" customHeight="1" spans="1:10">
      <c r="A173" s="68"/>
      <c r="B173" s="69"/>
      <c r="C173" s="70"/>
      <c r="D173" s="71">
        <f>'10-3-26'!I173</f>
        <v>0</v>
      </c>
      <c r="E173" s="68"/>
      <c r="F173" s="69"/>
      <c r="G173" s="69"/>
      <c r="H173" s="71">
        <f t="shared" si="10"/>
        <v>0</v>
      </c>
      <c r="I173" s="71">
        <f t="shared" si="9"/>
        <v>0</v>
      </c>
      <c r="J173" s="69">
        <f t="shared" si="11"/>
        <v>0</v>
      </c>
    </row>
    <row r="174" ht="1.75" customHeight="1" spans="1:10">
      <c r="A174" s="68"/>
      <c r="B174" s="69"/>
      <c r="C174" s="70"/>
      <c r="D174" s="71">
        <f>'10-3-26'!I174</f>
        <v>0</v>
      </c>
      <c r="E174" s="68"/>
      <c r="F174" s="69"/>
      <c r="G174" s="69"/>
      <c r="H174" s="71">
        <f t="shared" si="10"/>
        <v>0</v>
      </c>
      <c r="I174" s="71">
        <f t="shared" si="9"/>
        <v>0</v>
      </c>
      <c r="J174" s="69">
        <f t="shared" si="11"/>
        <v>0</v>
      </c>
    </row>
    <row r="175" ht="1.75" customHeight="1" spans="1:10">
      <c r="A175" s="68"/>
      <c r="B175" s="69"/>
      <c r="C175" s="70"/>
      <c r="D175" s="71">
        <f>'10-3-26'!I175</f>
        <v>0</v>
      </c>
      <c r="E175" s="68"/>
      <c r="F175" s="69"/>
      <c r="G175" s="69"/>
      <c r="H175" s="71">
        <f t="shared" si="10"/>
        <v>0</v>
      </c>
      <c r="I175" s="71">
        <f t="shared" si="9"/>
        <v>0</v>
      </c>
      <c r="J175" s="69">
        <f t="shared" si="11"/>
        <v>0</v>
      </c>
    </row>
    <row r="176" ht="1.75" customHeight="1" spans="1:10">
      <c r="A176" s="68"/>
      <c r="B176" s="69"/>
      <c r="C176" s="70"/>
      <c r="D176" s="71">
        <f>'10-3-26'!I176</f>
        <v>0</v>
      </c>
      <c r="E176" s="68"/>
      <c r="F176" s="69"/>
      <c r="G176" s="69"/>
      <c r="H176" s="71">
        <f t="shared" si="10"/>
        <v>0</v>
      </c>
      <c r="I176" s="71">
        <f t="shared" si="9"/>
        <v>0</v>
      </c>
      <c r="J176" s="69">
        <f t="shared" si="11"/>
        <v>0</v>
      </c>
    </row>
    <row r="177" ht="1.75" customHeight="1" spans="1:11">
      <c r="A177" s="68"/>
      <c r="B177" s="69"/>
      <c r="C177" s="70"/>
      <c r="D177" s="71">
        <f>'10-3-26'!I177</f>
        <v>0</v>
      </c>
      <c r="E177" s="68"/>
      <c r="F177" s="69"/>
      <c r="G177" s="69"/>
      <c r="H177" s="71">
        <f t="shared" si="10"/>
        <v>0</v>
      </c>
      <c r="I177" s="71">
        <f t="shared" si="9"/>
        <v>0</v>
      </c>
      <c r="J177" s="69">
        <f t="shared" si="11"/>
        <v>0</v>
      </c>
    </row>
    <row r="178" ht="1.75" customHeight="1" spans="1:11">
      <c r="A178" s="68"/>
      <c r="B178" s="69"/>
      <c r="C178" s="70"/>
      <c r="D178" s="71">
        <f>'10-3-26'!I178</f>
        <v>0</v>
      </c>
      <c r="E178" s="68"/>
      <c r="F178" s="69"/>
      <c r="G178" s="69"/>
      <c r="H178" s="71">
        <f t="shared" si="10"/>
        <v>0</v>
      </c>
      <c r="I178" s="71">
        <f t="shared" si="9"/>
        <v>0</v>
      </c>
      <c r="J178" s="69">
        <f t="shared" si="11"/>
        <v>0</v>
      </c>
    </row>
    <row r="179" ht="1.75" customHeight="1" spans="1:11">
      <c r="A179" s="68"/>
      <c r="B179" s="69"/>
      <c r="C179" s="70"/>
      <c r="D179" s="71">
        <f>'10-3-26'!I179</f>
        <v>0</v>
      </c>
      <c r="E179" s="68"/>
      <c r="F179" s="69"/>
      <c r="G179" s="69"/>
      <c r="H179" s="71">
        <f t="shared" si="10"/>
        <v>0</v>
      </c>
      <c r="I179" s="71">
        <f t="shared" si="9"/>
        <v>0</v>
      </c>
      <c r="J179" s="69">
        <f t="shared" si="11"/>
        <v>0</v>
      </c>
    </row>
    <row r="180" ht="1.75" customHeight="1" spans="1:11">
      <c r="A180" s="68"/>
      <c r="B180" s="69"/>
      <c r="C180" s="70"/>
      <c r="D180" s="71">
        <f>'10-3-26'!I180</f>
        <v>0</v>
      </c>
      <c r="E180" s="68"/>
      <c r="F180" s="69"/>
      <c r="G180" s="69"/>
      <c r="H180" s="71">
        <f t="shared" si="10"/>
        <v>0</v>
      </c>
      <c r="I180" s="71">
        <f t="shared" si="9"/>
        <v>0</v>
      </c>
      <c r="J180" s="69">
        <f t="shared" si="11"/>
        <v>0</v>
      </c>
    </row>
    <row r="181" ht="1.75" customHeight="1" spans="1:11">
      <c r="A181" s="68"/>
      <c r="B181" s="69"/>
      <c r="C181" s="70"/>
      <c r="D181" s="71">
        <f>'10-3-26'!I181</f>
        <v>0</v>
      </c>
      <c r="E181" s="68"/>
      <c r="F181" s="69"/>
      <c r="G181" s="69"/>
      <c r="H181" s="71">
        <f t="shared" si="10"/>
        <v>0</v>
      </c>
      <c r="I181" s="71">
        <f t="shared" si="9"/>
        <v>0</v>
      </c>
      <c r="J181" s="69">
        <f t="shared" si="11"/>
        <v>0</v>
      </c>
    </row>
    <row r="182" ht="1.75" customHeight="1" spans="1:11">
      <c r="A182" s="68"/>
      <c r="B182" s="69"/>
      <c r="C182" s="70"/>
      <c r="D182" s="71">
        <f>'10-3-26'!I182</f>
        <v>0</v>
      </c>
      <c r="E182" s="68"/>
      <c r="F182" s="69"/>
      <c r="G182" s="69"/>
      <c r="H182" s="71">
        <f t="shared" si="10"/>
        <v>0</v>
      </c>
      <c r="I182" s="71">
        <f t="shared" si="9"/>
        <v>0</v>
      </c>
      <c r="J182" s="69">
        <f t="shared" si="11"/>
        <v>0</v>
      </c>
    </row>
    <row r="183" ht="1.75" customHeight="1" spans="1:11">
      <c r="A183" s="68"/>
      <c r="B183" s="69"/>
      <c r="C183" s="70"/>
      <c r="D183" s="71">
        <f>'10-3-26'!I183</f>
        <v>0</v>
      </c>
      <c r="E183" s="68"/>
      <c r="F183" s="69"/>
      <c r="G183" s="69"/>
      <c r="H183" s="71">
        <f t="shared" si="10"/>
        <v>0</v>
      </c>
      <c r="I183" s="71">
        <f t="shared" si="9"/>
        <v>0</v>
      </c>
      <c r="J183" s="69">
        <f t="shared" si="11"/>
        <v>0</v>
      </c>
    </row>
    <row r="184" ht="1.75" customHeight="1" spans="1:11">
      <c r="A184" s="68"/>
      <c r="B184" s="69"/>
      <c r="C184" s="70"/>
      <c r="D184" s="71">
        <f>'10-3-26'!I184</f>
        <v>0</v>
      </c>
      <c r="E184" s="68"/>
      <c r="F184" s="69"/>
      <c r="G184" s="69"/>
      <c r="H184" s="71">
        <f t="shared" si="10"/>
        <v>0</v>
      </c>
      <c r="I184" s="71">
        <f t="shared" si="9"/>
        <v>0</v>
      </c>
      <c r="J184" s="69">
        <f t="shared" si="11"/>
        <v>0</v>
      </c>
    </row>
    <row r="185" ht="12.75" customHeight="1" spans="1:11">
      <c r="A185" s="68"/>
      <c r="B185" s="69"/>
      <c r="C185" s="70"/>
      <c r="D185" s="71">
        <f>'10-3-26'!I185</f>
        <v>0</v>
      </c>
      <c r="E185" s="68"/>
      <c r="F185" s="69"/>
      <c r="G185" s="69"/>
      <c r="H185" s="71">
        <f t="shared" si="10"/>
        <v>0</v>
      </c>
      <c r="I185" s="71">
        <f t="shared" si="9"/>
        <v>0</v>
      </c>
      <c r="J185" s="69">
        <f t="shared" si="11"/>
        <v>0</v>
      </c>
    </row>
    <row r="186" ht="12.75" customHeight="1" spans="1:11">
      <c r="A186" s="68"/>
      <c r="B186" s="69"/>
      <c r="C186" s="70"/>
      <c r="D186" s="71">
        <f>'10-3-26'!I186</f>
        <v>0</v>
      </c>
      <c r="E186" s="68"/>
      <c r="F186" s="69"/>
      <c r="G186" s="69"/>
      <c r="H186" s="71">
        <f t="shared" si="10"/>
        <v>0</v>
      </c>
      <c r="I186" s="71">
        <f t="shared" si="9"/>
        <v>0</v>
      </c>
      <c r="J186" s="69">
        <f t="shared" si="11"/>
        <v>0</v>
      </c>
    </row>
    <row r="187" ht="12.75" spans="1:11">
      <c r="A187" s="68"/>
      <c r="B187" s="69"/>
      <c r="C187" s="74"/>
      <c r="D187" s="71">
        <f>'10-3-26'!I187</f>
        <v>0</v>
      </c>
      <c r="E187" s="68"/>
      <c r="F187" s="69"/>
      <c r="G187" s="69"/>
      <c r="H187" s="71">
        <f t="shared" si="10"/>
        <v>0</v>
      </c>
      <c r="I187" s="71">
        <f t="shared" si="9"/>
        <v>0</v>
      </c>
      <c r="J187" s="69">
        <f t="shared" si="11"/>
        <v>0</v>
      </c>
    </row>
    <row r="188" ht="11.25" spans="1:11">
      <c r="A188" s="75"/>
      <c r="B188" s="76" t="s">
        <v>124</v>
      </c>
      <c r="C188" s="77"/>
      <c r="D188" s="78">
        <f>SUM(D9:D187)</f>
        <v>465887000</v>
      </c>
      <c r="E188" s="79">
        <f t="shared" ref="E188:J188" si="12">SUM(E9:E187)</f>
        <v>23</v>
      </c>
      <c r="F188" s="78">
        <f t="shared" si="12"/>
        <v>750000</v>
      </c>
      <c r="G188" s="78">
        <f t="shared" si="12"/>
        <v>120000</v>
      </c>
      <c r="H188" s="78">
        <f t="shared" si="12"/>
        <v>870000</v>
      </c>
      <c r="I188" s="78">
        <f t="shared" si="12"/>
        <v>465137000</v>
      </c>
      <c r="J188" s="78">
        <f t="shared" si="12"/>
        <v>12000</v>
      </c>
    </row>
    <row r="189" ht="12.75" spans="1:11">
      <c r="A189" s="80"/>
      <c r="B189" s="80"/>
      <c r="C189" s="81"/>
    </row>
    <row r="190" customHeight="1" spans="1:11">
      <c r="A190" s="82"/>
      <c r="B190" s="80" t="s">
        <v>125</v>
      </c>
      <c r="C190" s="83" t="s">
        <v>126</v>
      </c>
      <c r="D190" s="84"/>
      <c r="K190" s="82"/>
    </row>
    <row r="191" customHeight="1" spans="1:11">
      <c r="A191" s="82"/>
      <c r="B191" s="80" t="s">
        <v>127</v>
      </c>
      <c r="C191" s="83" t="s">
        <v>128</v>
      </c>
      <c r="D191" s="80">
        <f>G188</f>
        <v>120000</v>
      </c>
      <c r="F191" s="129" t="s">
        <v>179</v>
      </c>
      <c r="G191" s="80"/>
      <c r="H191" s="80"/>
      <c r="I191" s="80"/>
      <c r="K191" s="82"/>
    </row>
    <row r="192" customHeight="1" spans="1:11">
      <c r="A192" s="82"/>
      <c r="B192" s="80" t="s">
        <v>130</v>
      </c>
      <c r="C192" s="83" t="s">
        <v>128</v>
      </c>
      <c r="D192" s="80">
        <f>D191/20</f>
        <v>6000</v>
      </c>
      <c r="F192" s="80" t="s">
        <v>131</v>
      </c>
      <c r="G192" s="80"/>
      <c r="H192" s="80"/>
      <c r="I192" s="80"/>
      <c r="K192" s="82"/>
    </row>
    <row r="193" customHeight="1" spans="1:11">
      <c r="A193" s="82"/>
      <c r="B193" s="80" t="s">
        <v>132</v>
      </c>
      <c r="C193" s="83" t="s">
        <v>133</v>
      </c>
      <c r="D193" s="80"/>
      <c r="F193" s="80" t="s">
        <v>134</v>
      </c>
      <c r="G193" s="86"/>
      <c r="H193" s="80" t="s">
        <v>135</v>
      </c>
      <c r="K193" s="82"/>
    </row>
    <row r="194" customHeight="1" spans="1:11">
      <c r="A194" s="82"/>
      <c r="B194" s="80" t="s">
        <v>136</v>
      </c>
      <c r="C194" s="83" t="s">
        <v>128</v>
      </c>
      <c r="D194" s="80">
        <f>11*D192</f>
        <v>66000</v>
      </c>
      <c r="F194" s="80"/>
      <c r="G194" s="86"/>
      <c r="H194" s="80"/>
      <c r="K194" s="82"/>
    </row>
    <row r="195" customHeight="1" spans="1:11">
      <c r="A195" s="82"/>
      <c r="B195" s="80" t="s">
        <v>137</v>
      </c>
      <c r="C195" s="83" t="s">
        <v>128</v>
      </c>
      <c r="D195" s="80">
        <f>1/2*D192</f>
        <v>3000</v>
      </c>
      <c r="F195" s="80"/>
      <c r="G195" s="86"/>
      <c r="H195" s="80"/>
      <c r="K195" s="82"/>
    </row>
    <row r="196" customHeight="1" spans="1:11">
      <c r="A196" s="82"/>
      <c r="B196" s="80" t="s">
        <v>138</v>
      </c>
      <c r="C196" s="83" t="s">
        <v>128</v>
      </c>
      <c r="D196" s="80">
        <f>1/2*D192</f>
        <v>3000</v>
      </c>
      <c r="F196" s="80"/>
      <c r="G196" s="86"/>
      <c r="H196" s="80"/>
      <c r="K196" s="82"/>
    </row>
    <row r="197" customHeight="1" spans="1:11">
      <c r="B197" s="80" t="s">
        <v>139</v>
      </c>
      <c r="C197" s="83" t="s">
        <v>128</v>
      </c>
      <c r="D197" s="80">
        <f>1/2*D192</f>
        <v>3000</v>
      </c>
      <c r="F197" s="80"/>
      <c r="G197" s="86"/>
      <c r="H197" s="80"/>
    </row>
    <row r="198" customHeight="1" spans="1:11">
      <c r="B198" s="80" t="s">
        <v>140</v>
      </c>
      <c r="C198" s="83" t="s">
        <v>128</v>
      </c>
      <c r="D198" s="80">
        <f>1/2*D192</f>
        <v>3000</v>
      </c>
      <c r="F198" s="80" t="s">
        <v>141</v>
      </c>
      <c r="G198" s="86"/>
      <c r="H198" s="80" t="s">
        <v>142</v>
      </c>
    </row>
    <row r="199" customHeight="1" spans="1:11">
      <c r="B199" s="80" t="s">
        <v>10</v>
      </c>
      <c r="C199" s="83" t="s">
        <v>128</v>
      </c>
      <c r="D199" s="80">
        <f>2*D192</f>
        <v>12000</v>
      </c>
      <c r="G199" s="80"/>
      <c r="H199" s="80"/>
      <c r="I199" s="80"/>
    </row>
    <row r="200" customHeight="1" spans="1:11">
      <c r="B200" s="80" t="s">
        <v>143</v>
      </c>
      <c r="C200" s="83" t="s">
        <v>128</v>
      </c>
      <c r="D200" s="80">
        <f>5*D192</f>
        <v>30000</v>
      </c>
    </row>
    <row r="201" customHeight="1" spans="1:11">
      <c r="B201" s="87" t="s">
        <v>124</v>
      </c>
      <c r="C201" s="88" t="s">
        <v>128</v>
      </c>
      <c r="D201" s="87">
        <f>SUM(D194:D200)</f>
        <v>120000</v>
      </c>
    </row>
    <row r="206" ht="12.75" spans="1:11">
      <c r="D206" s="89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1.2" right="0.2" top="0.75" bottom="0.75" header="0.3" footer="0.3"/>
  <pageSetup paperSize="5" orientation="portrait" horizontalDpi="600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41" zoomScaleNormal="141" workbookViewId="0">
      <selection activeCell="J4" sqref="J4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8.91428571428571" style="46" customWidth="1"/>
    <col min="4" max="4" width="10.3333333333333" style="45" customWidth="1"/>
    <col min="5" max="5" width="5.26666666666667" style="47" customWidth="1"/>
    <col min="6" max="6" width="8.90476190476191" style="45" customWidth="1"/>
    <col min="7" max="7" width="8.7047619047619" style="45" customWidth="1"/>
    <col min="8" max="8" width="8.81904761904762" style="45" customWidth="1"/>
    <col min="9" max="9" width="10.2285714285714" style="45" customWidth="1"/>
    <col min="10" max="10" width="8.09523809523809" style="45" customWidth="1"/>
    <col min="11" max="16384" width="9.14285714285714" style="45"/>
  </cols>
  <sheetData>
    <row r="1" ht="11.2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ht="12.75" spans="1:10">
      <c r="A4" s="51"/>
      <c r="B4" s="51"/>
      <c r="C4" s="52"/>
      <c r="D4" s="53"/>
      <c r="E4" s="54"/>
      <c r="F4" s="53"/>
      <c r="G4" s="53"/>
    </row>
    <row r="5" ht="11.2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0">
      <c r="A6" s="55" t="s">
        <v>180</v>
      </c>
      <c r="B6" s="55"/>
      <c r="C6" s="55"/>
      <c r="D6" s="55"/>
      <c r="E6" s="55"/>
      <c r="F6" s="55"/>
      <c r="G6" s="55"/>
      <c r="H6" s="55"/>
      <c r="I6" s="55"/>
      <c r="J6" s="55"/>
    </row>
    <row r="7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0">
      <c r="A9" s="68">
        <v>1</v>
      </c>
      <c r="B9" s="69" t="s">
        <v>15</v>
      </c>
      <c r="C9" s="127" t="s">
        <v>16</v>
      </c>
      <c r="D9" s="71">
        <f>'17-3-26'!I9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67" si="1">D9-F9</f>
        <v>5500000</v>
      </c>
      <c r="J9" s="69">
        <f t="shared" ref="J9:J72" si="2">1/10*G9</f>
        <v>0</v>
      </c>
    </row>
    <row r="10" ht="12.75" spans="1:10">
      <c r="A10" s="68">
        <v>2</v>
      </c>
      <c r="B10" s="69" t="s">
        <v>17</v>
      </c>
      <c r="C10" s="127" t="s">
        <v>18</v>
      </c>
      <c r="D10" s="71">
        <f>'17-3-26'!I10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ht="12.75" spans="1:10">
      <c r="A11" s="68">
        <v>3</v>
      </c>
      <c r="B11" s="69" t="s">
        <v>19</v>
      </c>
      <c r="C11" s="127" t="s">
        <v>20</v>
      </c>
      <c r="D11" s="71">
        <f>'17-3-26'!I11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ht="12.75" spans="1:10">
      <c r="A12" s="68">
        <v>4</v>
      </c>
      <c r="B12" s="69" t="s">
        <v>21</v>
      </c>
      <c r="C12" s="127" t="s">
        <v>22</v>
      </c>
      <c r="D12" s="71">
        <f>'17-3-26'!I12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ht="12.75" spans="1:10">
      <c r="A13" s="68">
        <v>5</v>
      </c>
      <c r="B13" s="69" t="s">
        <v>23</v>
      </c>
      <c r="C13" s="127" t="s">
        <v>24</v>
      </c>
      <c r="D13" s="71">
        <f>'17-3-26'!I13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ht="12.75" spans="1:10">
      <c r="A14" s="68">
        <v>6</v>
      </c>
      <c r="B14" s="69" t="s">
        <v>25</v>
      </c>
      <c r="C14" s="127" t="s">
        <v>26</v>
      </c>
      <c r="D14" s="71">
        <f>'17-3-26'!I14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ht="12.75" spans="1:10">
      <c r="A15" s="68">
        <v>7</v>
      </c>
      <c r="B15" s="69" t="s">
        <v>27</v>
      </c>
      <c r="C15" s="127" t="s">
        <v>28</v>
      </c>
      <c r="D15" s="71">
        <f>'17-3-26'!I15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ht="12.75" spans="1:10">
      <c r="A16" s="68">
        <v>8</v>
      </c>
      <c r="B16" s="69" t="s">
        <v>29</v>
      </c>
      <c r="C16" s="127" t="s">
        <v>30</v>
      </c>
      <c r="D16" s="71">
        <f>'17-3-26'!I16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'17-3-26'!I17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'17-3-26'!I18</f>
        <v>12595000</v>
      </c>
      <c r="E18" s="68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ht="12.75" spans="1:10">
      <c r="A19" s="68">
        <v>11</v>
      </c>
      <c r="B19" s="69" t="s">
        <v>35</v>
      </c>
      <c r="C19" s="128" t="s">
        <v>36</v>
      </c>
      <c r="D19" s="71">
        <f>'17-3-26'!I19</f>
        <v>3750000</v>
      </c>
      <c r="E19" s="68">
        <v>6</v>
      </c>
      <c r="F19" s="69">
        <v>250000</v>
      </c>
      <c r="G19" s="69">
        <v>100000</v>
      </c>
      <c r="H19" s="71">
        <f t="shared" si="0"/>
        <v>350000</v>
      </c>
      <c r="I19" s="71">
        <f t="shared" si="1"/>
        <v>3500000</v>
      </c>
      <c r="J19" s="69">
        <f t="shared" si="2"/>
        <v>10000</v>
      </c>
    </row>
    <row r="20" ht="12.75" spans="1:10">
      <c r="A20" s="68">
        <v>12</v>
      </c>
      <c r="B20" s="69" t="s">
        <v>37</v>
      </c>
      <c r="C20" s="128" t="s">
        <v>38</v>
      </c>
      <c r="D20" s="71">
        <f>'17-3-26'!I20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ht="12.75" spans="1:10">
      <c r="A21" s="68">
        <v>13</v>
      </c>
      <c r="B21" s="69" t="s">
        <v>39</v>
      </c>
      <c r="C21" s="128" t="s">
        <v>40</v>
      </c>
      <c r="D21" s="71">
        <f>'17-3-26'!I21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ht="12.75" spans="1:10">
      <c r="A22" s="68">
        <v>14</v>
      </c>
      <c r="B22" s="69" t="s">
        <v>41</v>
      </c>
      <c r="C22" s="128" t="s">
        <v>42</v>
      </c>
      <c r="D22" s="71">
        <f>'17-3-26'!I22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ht="12.75" spans="1:10">
      <c r="A23" s="68">
        <v>15</v>
      </c>
      <c r="B23" s="69" t="s">
        <v>43</v>
      </c>
      <c r="C23" s="128" t="s">
        <v>42</v>
      </c>
      <c r="D23" s="71">
        <f>'17-3-26'!I23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ht="12.75" spans="1:10">
      <c r="A24" s="68">
        <v>16</v>
      </c>
      <c r="B24" s="69" t="s">
        <v>44</v>
      </c>
      <c r="C24" s="128" t="s">
        <v>42</v>
      </c>
      <c r="D24" s="71">
        <f>'17-3-26'!I24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ht="12.75" spans="1:10">
      <c r="A25" s="68">
        <v>17</v>
      </c>
      <c r="B25" s="69" t="s">
        <v>45</v>
      </c>
      <c r="C25" s="128" t="s">
        <v>46</v>
      </c>
      <c r="D25" s="71">
        <f>'17-3-26'!I25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ht="12.75" spans="1:10">
      <c r="A26" s="68">
        <v>18</v>
      </c>
      <c r="B26" s="69" t="s">
        <v>47</v>
      </c>
      <c r="C26" s="128" t="s">
        <v>48</v>
      </c>
      <c r="D26" s="71">
        <f>'17-3-26'!I26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ht="12.75" spans="1:10">
      <c r="A27" s="68">
        <v>19</v>
      </c>
      <c r="B27" s="69" t="s">
        <v>49</v>
      </c>
      <c r="C27" s="128" t="s">
        <v>50</v>
      </c>
      <c r="D27" s="71">
        <f>'17-3-26'!I27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ht="12.75" spans="1:10">
      <c r="A28" s="68">
        <v>20</v>
      </c>
      <c r="B28" s="69" t="s">
        <v>51</v>
      </c>
      <c r="C28" s="128" t="s">
        <v>52</v>
      </c>
      <c r="D28" s="71">
        <f>'17-3-26'!I28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ht="12.75" spans="1:10">
      <c r="A29" s="68">
        <v>21</v>
      </c>
      <c r="B29" s="69" t="s">
        <v>53</v>
      </c>
      <c r="C29" s="128" t="s">
        <v>54</v>
      </c>
      <c r="D29" s="71">
        <f>'17-3-26'!I29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ht="12.75" spans="1:10">
      <c r="A30" s="68">
        <v>22</v>
      </c>
      <c r="B30" s="69" t="s">
        <v>55</v>
      </c>
      <c r="C30" s="128" t="s">
        <v>56</v>
      </c>
      <c r="D30" s="71">
        <f>'17-3-26'!I30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ht="12.75" spans="1:10">
      <c r="A31" s="68">
        <v>23</v>
      </c>
      <c r="B31" s="69" t="s">
        <v>57</v>
      </c>
      <c r="C31" s="128" t="s">
        <v>58</v>
      </c>
      <c r="D31" s="71">
        <f>'17-3-26'!I31</f>
        <v>1000000</v>
      </c>
      <c r="E31" s="68"/>
      <c r="F31" s="69"/>
      <c r="G31" s="69"/>
      <c r="H31" s="71">
        <f t="shared" si="0"/>
        <v>0</v>
      </c>
      <c r="I31" s="71">
        <f t="shared" si="1"/>
        <v>1000000</v>
      </c>
      <c r="J31" s="69">
        <f t="shared" si="2"/>
        <v>0</v>
      </c>
    </row>
    <row r="32" ht="12.75" spans="1:10">
      <c r="A32" s="68">
        <v>24</v>
      </c>
      <c r="B32" s="69" t="s">
        <v>59</v>
      </c>
      <c r="C32" s="128" t="s">
        <v>58</v>
      </c>
      <c r="D32" s="71">
        <f>'17-3-26'!I32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ht="12.75" spans="1:10">
      <c r="A33" s="68">
        <v>25</v>
      </c>
      <c r="B33" s="69" t="s">
        <v>60</v>
      </c>
      <c r="C33" s="127" t="s">
        <v>61</v>
      </c>
      <c r="D33" s="71">
        <f>'17-3-26'!I33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ht="12.75" spans="1:10">
      <c r="A34" s="68">
        <v>26</v>
      </c>
      <c r="B34" s="69" t="s">
        <v>62</v>
      </c>
      <c r="C34" s="127" t="s">
        <v>63</v>
      </c>
      <c r="D34" s="71">
        <f>'17-3-26'!I34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ht="12.75" spans="1:10">
      <c r="A35" s="68">
        <v>27</v>
      </c>
      <c r="B35" s="69" t="s">
        <v>64</v>
      </c>
      <c r="C35" s="127" t="s">
        <v>63</v>
      </c>
      <c r="D35" s="71">
        <f>'17-3-26'!I35</f>
        <v>3500000</v>
      </c>
      <c r="E35" s="68"/>
      <c r="F35" s="69"/>
      <c r="G35" s="69"/>
      <c r="H35" s="71">
        <f t="shared" si="0"/>
        <v>0</v>
      </c>
      <c r="I35" s="71">
        <f t="shared" si="1"/>
        <v>3500000</v>
      </c>
      <c r="J35" s="69">
        <f t="shared" si="2"/>
        <v>0</v>
      </c>
    </row>
    <row r="36" ht="12.75" spans="1:10">
      <c r="A36" s="68">
        <v>28</v>
      </c>
      <c r="B36" s="69" t="s">
        <v>65</v>
      </c>
      <c r="C36" s="127" t="s">
        <v>66</v>
      </c>
      <c r="D36" s="71">
        <f>'17-3-26'!I36</f>
        <v>9200000</v>
      </c>
      <c r="E36" s="68">
        <v>23</v>
      </c>
      <c r="F36" s="69">
        <v>1400000</v>
      </c>
      <c r="G36" s="69">
        <v>800000</v>
      </c>
      <c r="H36" s="71">
        <f t="shared" si="0"/>
        <v>2200000</v>
      </c>
      <c r="I36" s="71">
        <f t="shared" si="1"/>
        <v>7800000</v>
      </c>
      <c r="J36" s="69">
        <f t="shared" si="2"/>
        <v>80000</v>
      </c>
    </row>
    <row r="37" ht="12.75" spans="1:10">
      <c r="A37" s="68">
        <v>29</v>
      </c>
      <c r="B37" s="69" t="s">
        <v>67</v>
      </c>
      <c r="C37" s="127" t="s">
        <v>68</v>
      </c>
      <c r="D37" s="71">
        <f>'17-3-26'!I37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ht="12.75" spans="1:10">
      <c r="A38" s="68">
        <v>30</v>
      </c>
      <c r="B38" s="69" t="s">
        <v>69</v>
      </c>
      <c r="C38" s="127" t="s">
        <v>70</v>
      </c>
      <c r="D38" s="71">
        <f>'17-3-26'!I38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ht="12.75" spans="1:10">
      <c r="A39" s="68">
        <v>31</v>
      </c>
      <c r="B39" s="69" t="s">
        <v>71</v>
      </c>
      <c r="C39" s="127" t="s">
        <v>72</v>
      </c>
      <c r="D39" s="71">
        <f>'17-3-26'!I39</f>
        <v>14320000</v>
      </c>
      <c r="E39" s="68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ht="12.75" spans="1:10">
      <c r="A40" s="68">
        <v>32</v>
      </c>
      <c r="B40" s="69" t="s">
        <v>73</v>
      </c>
      <c r="C40" s="127" t="s">
        <v>74</v>
      </c>
      <c r="D40" s="71">
        <f>'17-3-26'!I40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ht="12.75" spans="1:10">
      <c r="A41" s="68">
        <v>33</v>
      </c>
      <c r="B41" s="69" t="s">
        <v>75</v>
      </c>
      <c r="C41" s="127" t="s">
        <v>76</v>
      </c>
      <c r="D41" s="71">
        <f>'17-3-26'!I41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ht="12.75" spans="1:10">
      <c r="A42" s="68">
        <v>34</v>
      </c>
      <c r="B42" s="69" t="s">
        <v>77</v>
      </c>
      <c r="C42" s="127" t="s">
        <v>78</v>
      </c>
      <c r="D42" s="71">
        <f>'17-3-26'!I42</f>
        <v>1200000</v>
      </c>
      <c r="E42" s="68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ht="12.75" spans="1:10">
      <c r="A43" s="68">
        <v>35</v>
      </c>
      <c r="B43" s="69" t="s">
        <v>79</v>
      </c>
      <c r="C43" s="127" t="s">
        <v>80</v>
      </c>
      <c r="D43" s="71">
        <f>'17-3-26'!I43</f>
        <v>5250000</v>
      </c>
      <c r="E43" s="68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ht="12.75" spans="1:10">
      <c r="A44" s="68">
        <v>36</v>
      </c>
      <c r="B44" s="69" t="s">
        <v>81</v>
      </c>
      <c r="C44" s="127" t="s">
        <v>82</v>
      </c>
      <c r="D44" s="71">
        <f>'17-3-26'!I44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ht="12.75" spans="1:10">
      <c r="A45" s="68">
        <v>37</v>
      </c>
      <c r="B45" s="69" t="s">
        <v>83</v>
      </c>
      <c r="C45" s="70" t="s">
        <v>84</v>
      </c>
      <c r="D45" s="71">
        <f>'17-3-26'!I45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ht="12.75" spans="1:10">
      <c r="A46" s="68">
        <v>38</v>
      </c>
      <c r="B46" s="69" t="s">
        <v>85</v>
      </c>
      <c r="C46" s="127" t="s">
        <v>86</v>
      </c>
      <c r="D46" s="71">
        <f>'17-3-26'!I46</f>
        <v>300000</v>
      </c>
      <c r="E46" s="68"/>
      <c r="F46" s="69"/>
      <c r="G46" s="69"/>
      <c r="H46" s="71">
        <f t="shared" si="0"/>
        <v>0</v>
      </c>
      <c r="I46" s="71">
        <f t="shared" si="1"/>
        <v>300000</v>
      </c>
      <c r="J46" s="69">
        <f t="shared" si="2"/>
        <v>0</v>
      </c>
    </row>
    <row r="47" ht="12.75" spans="1:10">
      <c r="A47" s="68">
        <v>39</v>
      </c>
      <c r="B47" s="69" t="s">
        <v>87</v>
      </c>
      <c r="C47" s="127" t="s">
        <v>88</v>
      </c>
      <c r="D47" s="71">
        <f>'17-3-26'!I47</f>
        <v>9300000</v>
      </c>
      <c r="E47" s="68"/>
      <c r="F47" s="69"/>
      <c r="G47" s="69"/>
      <c r="H47" s="71">
        <f t="shared" si="0"/>
        <v>0</v>
      </c>
      <c r="I47" s="71">
        <f t="shared" si="1"/>
        <v>9300000</v>
      </c>
      <c r="J47" s="69">
        <f t="shared" si="2"/>
        <v>0</v>
      </c>
    </row>
    <row r="48" ht="12.75" spans="1:10">
      <c r="A48" s="68">
        <v>40</v>
      </c>
      <c r="B48" s="69" t="s">
        <v>89</v>
      </c>
      <c r="C48" s="127" t="s">
        <v>88</v>
      </c>
      <c r="D48" s="71">
        <f>'17-3-26'!I48</f>
        <v>1000000</v>
      </c>
      <c r="E48" s="68">
        <v>11</v>
      </c>
      <c r="F48" s="69">
        <v>200000</v>
      </c>
      <c r="G48" s="69">
        <v>60000</v>
      </c>
      <c r="H48" s="71">
        <f t="shared" si="0"/>
        <v>260000</v>
      </c>
      <c r="I48" s="71">
        <f t="shared" si="1"/>
        <v>800000</v>
      </c>
      <c r="J48" s="69">
        <f t="shared" si="2"/>
        <v>6000</v>
      </c>
    </row>
    <row r="49" ht="12.75" spans="1:10">
      <c r="A49" s="68">
        <v>41</v>
      </c>
      <c r="B49" s="69" t="s">
        <v>90</v>
      </c>
      <c r="C49" s="127" t="s">
        <v>91</v>
      </c>
      <c r="D49" s="71">
        <f>'17-3-26'!I49</f>
        <v>9600000</v>
      </c>
      <c r="E49" s="68"/>
      <c r="F49" s="69"/>
      <c r="G49" s="69"/>
      <c r="H49" s="71">
        <f t="shared" si="0"/>
        <v>0</v>
      </c>
      <c r="I49" s="71">
        <f t="shared" si="1"/>
        <v>9600000</v>
      </c>
      <c r="J49" s="69">
        <f t="shared" si="2"/>
        <v>0</v>
      </c>
    </row>
    <row r="50" ht="12.75" spans="1:10">
      <c r="A50" s="68">
        <v>42</v>
      </c>
      <c r="B50" s="69" t="s">
        <v>92</v>
      </c>
      <c r="C50" s="127" t="s">
        <v>93</v>
      </c>
      <c r="D50" s="71">
        <f>'17-3-26'!I50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ht="12.75" spans="1:10">
      <c r="A51" s="68">
        <v>43</v>
      </c>
      <c r="B51" s="69" t="s">
        <v>94</v>
      </c>
      <c r="C51" s="70" t="s">
        <v>95</v>
      </c>
      <c r="D51" s="71">
        <f>'17-3-26'!I51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ht="12.75" spans="1:10">
      <c r="A52" s="68">
        <v>44</v>
      </c>
      <c r="B52" s="69" t="s">
        <v>96</v>
      </c>
      <c r="C52" s="70" t="s">
        <v>97</v>
      </c>
      <c r="D52" s="71">
        <f>'17-3-26'!I52</f>
        <v>25000000</v>
      </c>
      <c r="E52" s="68"/>
      <c r="F52" s="69"/>
      <c r="G52" s="69"/>
      <c r="H52" s="71">
        <f t="shared" si="0"/>
        <v>0</v>
      </c>
      <c r="I52" s="71">
        <f t="shared" si="1"/>
        <v>25000000</v>
      </c>
      <c r="J52" s="69">
        <f t="shared" si="2"/>
        <v>0</v>
      </c>
    </row>
    <row r="53" ht="12.75" spans="1:10">
      <c r="A53" s="68">
        <v>45</v>
      </c>
      <c r="B53" s="69" t="s">
        <v>98</v>
      </c>
      <c r="C53" s="127" t="s">
        <v>99</v>
      </c>
      <c r="D53" s="71">
        <f>'17-3-26'!I53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ht="12.75" spans="1:10">
      <c r="A54" s="68">
        <v>46</v>
      </c>
      <c r="B54" s="69" t="s">
        <v>100</v>
      </c>
      <c r="C54" s="127" t="s">
        <v>99</v>
      </c>
      <c r="D54" s="71">
        <f>'17-3-26'!I54</f>
        <v>4800000</v>
      </c>
      <c r="E54" s="68">
        <v>3</v>
      </c>
      <c r="F54" s="69">
        <v>200000</v>
      </c>
      <c r="G54" s="69">
        <v>100000</v>
      </c>
      <c r="H54" s="71">
        <f t="shared" si="0"/>
        <v>300000</v>
      </c>
      <c r="I54" s="71">
        <f t="shared" si="1"/>
        <v>4600000</v>
      </c>
      <c r="J54" s="69">
        <f t="shared" si="2"/>
        <v>10000</v>
      </c>
    </row>
    <row r="55" ht="12.75" spans="1:10">
      <c r="A55" s="68">
        <v>47</v>
      </c>
      <c r="B55" s="69" t="s">
        <v>101</v>
      </c>
      <c r="C55" s="127" t="s">
        <v>102</v>
      </c>
      <c r="D55" s="71">
        <f>'17-3-26'!I55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ht="12.75" spans="1:10">
      <c r="A56" s="68">
        <v>48</v>
      </c>
      <c r="B56" s="69" t="s">
        <v>103</v>
      </c>
      <c r="C56" s="127" t="s">
        <v>102</v>
      </c>
      <c r="D56" s="71">
        <f>'17-3-26'!I56</f>
        <v>400000</v>
      </c>
      <c r="E56" s="68"/>
      <c r="F56" s="69"/>
      <c r="G56" s="69"/>
      <c r="H56" s="71">
        <f t="shared" si="0"/>
        <v>0</v>
      </c>
      <c r="I56" s="71">
        <f t="shared" si="1"/>
        <v>400000</v>
      </c>
      <c r="J56" s="69">
        <f t="shared" si="2"/>
        <v>0</v>
      </c>
    </row>
    <row r="57" ht="12.75" spans="1:10">
      <c r="A57" s="68">
        <v>49</v>
      </c>
      <c r="B57" s="69" t="s">
        <v>104</v>
      </c>
      <c r="C57" s="127" t="s">
        <v>102</v>
      </c>
      <c r="D57" s="71">
        <f>'17-3-26'!I57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ht="12.75" spans="1:10">
      <c r="A58" s="68">
        <v>50</v>
      </c>
      <c r="B58" s="69" t="s">
        <v>105</v>
      </c>
      <c r="C58" s="70" t="s">
        <v>106</v>
      </c>
      <c r="D58" s="71">
        <f>'17-3-26'!I58</f>
        <v>1315000</v>
      </c>
      <c r="E58" s="68">
        <v>12</v>
      </c>
      <c r="F58" s="69">
        <v>335000</v>
      </c>
      <c r="G58" s="69">
        <v>100000</v>
      </c>
      <c r="H58" s="71">
        <f t="shared" si="0"/>
        <v>435000</v>
      </c>
      <c r="I58" s="71">
        <f t="shared" si="1"/>
        <v>980000</v>
      </c>
      <c r="J58" s="69">
        <f t="shared" si="2"/>
        <v>10000</v>
      </c>
    </row>
    <row r="59" ht="12.75" spans="1:10">
      <c r="A59" s="68">
        <v>51</v>
      </c>
      <c r="B59" s="69" t="s">
        <v>107</v>
      </c>
      <c r="C59" s="127" t="s">
        <v>108</v>
      </c>
      <c r="D59" s="71">
        <f>'17-3-26'!I59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ht="12.75" spans="1:10">
      <c r="A60" s="68">
        <v>52</v>
      </c>
      <c r="B60" s="69" t="s">
        <v>109</v>
      </c>
      <c r="C60" s="127" t="s">
        <v>110</v>
      </c>
      <c r="D60" s="71">
        <f>'17-3-26'!I60</f>
        <v>3000000</v>
      </c>
      <c r="E60" s="68"/>
      <c r="F60" s="69"/>
      <c r="G60" s="69"/>
      <c r="H60" s="71">
        <f t="shared" si="0"/>
        <v>0</v>
      </c>
      <c r="I60" s="71">
        <f t="shared" si="1"/>
        <v>3000000</v>
      </c>
      <c r="J60" s="69">
        <f t="shared" si="2"/>
        <v>0</v>
      </c>
    </row>
    <row r="61" ht="12.75" spans="1:10">
      <c r="A61" s="68">
        <v>53</v>
      </c>
      <c r="B61" s="69" t="s">
        <v>111</v>
      </c>
      <c r="C61" s="70" t="s">
        <v>112</v>
      </c>
      <c r="D61" s="71">
        <f>'17-3-26'!I61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ht="12.75" spans="1:10">
      <c r="A62" s="68">
        <v>54</v>
      </c>
      <c r="B62" s="69" t="s">
        <v>113</v>
      </c>
      <c r="C62" s="127" t="s">
        <v>114</v>
      </c>
      <c r="D62" s="71">
        <f>'17-3-26'!I62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ht="12.75" spans="1:10">
      <c r="A63" s="68">
        <v>55</v>
      </c>
      <c r="B63" s="69" t="s">
        <v>115</v>
      </c>
      <c r="C63" s="127" t="s">
        <v>116</v>
      </c>
      <c r="D63" s="71">
        <f>'17-3-26'!I63</f>
        <v>0</v>
      </c>
      <c r="E63" s="68"/>
      <c r="F63" s="69"/>
      <c r="G63" s="69"/>
      <c r="H63" s="71">
        <f t="shared" si="0"/>
        <v>0</v>
      </c>
      <c r="I63" s="71">
        <f t="shared" si="1"/>
        <v>0</v>
      </c>
      <c r="J63" s="69">
        <f t="shared" si="2"/>
        <v>0</v>
      </c>
    </row>
    <row r="64" ht="12.75" spans="1:10">
      <c r="A64" s="68">
        <v>56</v>
      </c>
      <c r="B64" s="69" t="s">
        <v>117</v>
      </c>
      <c r="C64" s="127" t="s">
        <v>118</v>
      </c>
      <c r="D64" s="71">
        <f>'17-3-26'!I64</f>
        <v>1350000</v>
      </c>
      <c r="E64" s="68"/>
      <c r="F64" s="69"/>
      <c r="G64" s="69"/>
      <c r="H64" s="71">
        <f t="shared" si="0"/>
        <v>0</v>
      </c>
      <c r="I64" s="71">
        <f t="shared" si="1"/>
        <v>1350000</v>
      </c>
      <c r="J64" s="69">
        <f t="shared" si="2"/>
        <v>0</v>
      </c>
    </row>
    <row r="65" ht="12.75" spans="1:10">
      <c r="A65" s="68">
        <v>57</v>
      </c>
      <c r="B65" s="69" t="s">
        <v>119</v>
      </c>
      <c r="C65" s="127" t="s">
        <v>120</v>
      </c>
      <c r="D65" s="71">
        <f>'17-3-26'!I65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ht="12.75" spans="1:10">
      <c r="A66" s="68">
        <v>58</v>
      </c>
      <c r="B66" s="69" t="s">
        <v>121</v>
      </c>
      <c r="C66" s="127" t="s">
        <v>120</v>
      </c>
      <c r="D66" s="71">
        <f>'17-3-26'!I66</f>
        <v>200000</v>
      </c>
      <c r="E66" s="68">
        <v>7</v>
      </c>
      <c r="F66" s="69">
        <v>50000</v>
      </c>
      <c r="G66" s="69">
        <v>10000</v>
      </c>
      <c r="H66" s="71">
        <f t="shared" si="0"/>
        <v>60000</v>
      </c>
      <c r="I66" s="71">
        <f t="shared" si="1"/>
        <v>150000</v>
      </c>
      <c r="J66" s="69">
        <f t="shared" si="2"/>
        <v>1000</v>
      </c>
    </row>
    <row r="67" ht="12.75" customHeight="1" spans="1:10">
      <c r="A67" s="68">
        <v>59</v>
      </c>
      <c r="B67" s="69" t="s">
        <v>122</v>
      </c>
      <c r="C67" s="127" t="s">
        <v>123</v>
      </c>
      <c r="D67" s="71">
        <f>'17-3-26'!I67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ht="12.75" customHeight="1" spans="1:10">
      <c r="A68" s="68">
        <v>60</v>
      </c>
      <c r="B68" s="69" t="s">
        <v>159</v>
      </c>
      <c r="C68" s="127" t="s">
        <v>160</v>
      </c>
      <c r="D68" s="71">
        <f>'17-3-26'!I68</f>
        <v>10000000</v>
      </c>
      <c r="E68" s="68"/>
      <c r="F68" s="69"/>
      <c r="G68" s="69"/>
      <c r="H68" s="71">
        <f t="shared" si="0"/>
        <v>0</v>
      </c>
      <c r="I68" s="71">
        <f t="shared" ref="I68:I73" si="3">D68-F68</f>
        <v>10000000</v>
      </c>
      <c r="J68" s="69">
        <f t="shared" si="2"/>
        <v>0</v>
      </c>
    </row>
    <row r="69" ht="12.75" customHeight="1" spans="1:10">
      <c r="A69" s="68">
        <v>61</v>
      </c>
      <c r="B69" s="69" t="s">
        <v>161</v>
      </c>
      <c r="C69" s="127" t="s">
        <v>160</v>
      </c>
      <c r="D69" s="71">
        <f>'17-3-26'!I69</f>
        <v>50000000</v>
      </c>
      <c r="E69" s="68"/>
      <c r="F69" s="69"/>
      <c r="G69" s="69"/>
      <c r="H69" s="71">
        <f t="shared" si="0"/>
        <v>0</v>
      </c>
      <c r="I69" s="71">
        <f t="shared" si="3"/>
        <v>50000000</v>
      </c>
      <c r="J69" s="69">
        <f t="shared" si="2"/>
        <v>0</v>
      </c>
    </row>
    <row r="70" ht="12.75" customHeight="1" spans="1:10">
      <c r="A70" s="68">
        <v>62</v>
      </c>
      <c r="B70" s="69" t="s">
        <v>141</v>
      </c>
      <c r="C70" s="127" t="s">
        <v>160</v>
      </c>
      <c r="D70" s="71">
        <f>'17-3-26'!I70</f>
        <v>1000000</v>
      </c>
      <c r="E70" s="68"/>
      <c r="F70" s="69"/>
      <c r="G70" s="69"/>
      <c r="H70" s="71">
        <f t="shared" si="0"/>
        <v>0</v>
      </c>
      <c r="I70" s="71">
        <f t="shared" si="3"/>
        <v>1000000</v>
      </c>
      <c r="J70" s="69">
        <f t="shared" si="2"/>
        <v>0</v>
      </c>
    </row>
    <row r="71" ht="12.75" customHeight="1" spans="1:10">
      <c r="A71" s="68">
        <v>63</v>
      </c>
      <c r="B71" s="69" t="s">
        <v>162</v>
      </c>
      <c r="C71" s="127" t="s">
        <v>160</v>
      </c>
      <c r="D71" s="71">
        <f>'17-3-26'!I71</f>
        <v>2500000</v>
      </c>
      <c r="E71" s="68"/>
      <c r="F71" s="69"/>
      <c r="G71" s="69"/>
      <c r="H71" s="71">
        <f t="shared" si="0"/>
        <v>0</v>
      </c>
      <c r="I71" s="71">
        <f t="shared" si="3"/>
        <v>2500000</v>
      </c>
      <c r="J71" s="69">
        <f t="shared" si="2"/>
        <v>0</v>
      </c>
    </row>
    <row r="72" ht="12.75" customHeight="1" spans="1:10">
      <c r="A72" s="68">
        <v>64</v>
      </c>
      <c r="B72" s="69" t="s">
        <v>98</v>
      </c>
      <c r="C72" s="127" t="s">
        <v>160</v>
      </c>
      <c r="D72" s="71">
        <f>'17-3-26'!I72</f>
        <v>2000000</v>
      </c>
      <c r="E72" s="68">
        <v>1</v>
      </c>
      <c r="F72" s="69">
        <v>200000</v>
      </c>
      <c r="G72" s="69">
        <v>40000</v>
      </c>
      <c r="H72" s="71">
        <f t="shared" si="0"/>
        <v>240000</v>
      </c>
      <c r="I72" s="71">
        <f t="shared" si="3"/>
        <v>1800000</v>
      </c>
      <c r="J72" s="69">
        <f t="shared" si="2"/>
        <v>4000</v>
      </c>
    </row>
    <row r="73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>SUM(F73:G73)</f>
        <v>0</v>
      </c>
      <c r="I73" s="71">
        <f t="shared" si="3"/>
        <v>5000000</v>
      </c>
      <c r="J73" s="69">
        <f>1/10*G73</f>
        <v>0</v>
      </c>
    </row>
    <row r="74" ht="12.75" customHeight="1" spans="1:10">
      <c r="A74" s="68">
        <v>66</v>
      </c>
      <c r="B74" s="69" t="s">
        <v>166</v>
      </c>
      <c r="C74" s="127" t="s">
        <v>167</v>
      </c>
      <c r="D74" s="71">
        <f>'17-3-26'!I74</f>
        <v>4000000</v>
      </c>
      <c r="E74" s="68"/>
      <c r="F74" s="69"/>
      <c r="G74" s="69"/>
      <c r="H74" s="71">
        <f t="shared" ref="H74:H137" si="4">SUM(F74:G74)</f>
        <v>0</v>
      </c>
      <c r="I74" s="71">
        <f t="shared" ref="I74:I187" si="5">D74-F74</f>
        <v>4000000</v>
      </c>
      <c r="J74" s="69">
        <f t="shared" ref="J74:J137" si="6">1/10*G74</f>
        <v>0</v>
      </c>
    </row>
    <row r="75" ht="12.75" customHeight="1" spans="1:10">
      <c r="A75" s="68">
        <v>67</v>
      </c>
      <c r="B75" s="69" t="s">
        <v>53</v>
      </c>
      <c r="C75" s="127" t="s">
        <v>167</v>
      </c>
      <c r="D75" s="71">
        <f>'17-3-26'!I75</f>
        <v>3000000</v>
      </c>
      <c r="E75" s="68"/>
      <c r="F75" s="69"/>
      <c r="G75" s="69"/>
      <c r="H75" s="71">
        <f t="shared" si="4"/>
        <v>0</v>
      </c>
      <c r="I75" s="71">
        <f t="shared" si="5"/>
        <v>3000000</v>
      </c>
      <c r="J75" s="69">
        <f t="shared" si="6"/>
        <v>0</v>
      </c>
    </row>
    <row r="76" ht="12.75" customHeight="1" spans="1:10">
      <c r="A76" s="68">
        <v>68</v>
      </c>
      <c r="B76" s="69" t="s">
        <v>170</v>
      </c>
      <c r="C76" s="127" t="s">
        <v>171</v>
      </c>
      <c r="D76" s="71">
        <f>'17-3-26'!I76</f>
        <v>1100000</v>
      </c>
      <c r="E76" s="68"/>
      <c r="F76" s="69"/>
      <c r="G76" s="69"/>
      <c r="H76" s="71">
        <f t="shared" si="4"/>
        <v>0</v>
      </c>
      <c r="I76" s="71">
        <f t="shared" si="5"/>
        <v>1100000</v>
      </c>
      <c r="J76" s="69">
        <f t="shared" si="6"/>
        <v>0</v>
      </c>
    </row>
    <row r="77" ht="12.75" customHeight="1" spans="1:10">
      <c r="A77" s="68">
        <v>69</v>
      </c>
      <c r="B77" s="69" t="s">
        <v>172</v>
      </c>
      <c r="C77" s="127" t="s">
        <v>171</v>
      </c>
      <c r="D77" s="71">
        <f>'17-3-26'!I77</f>
        <v>5000000</v>
      </c>
      <c r="E77" s="68"/>
      <c r="F77" s="69"/>
      <c r="G77" s="69"/>
      <c r="H77" s="71">
        <f t="shared" si="4"/>
        <v>0</v>
      </c>
      <c r="I77" s="71">
        <f t="shared" si="5"/>
        <v>5000000</v>
      </c>
      <c r="J77" s="69">
        <f t="shared" si="6"/>
        <v>0</v>
      </c>
    </row>
    <row r="78" ht="12.75" customHeight="1" spans="1:10">
      <c r="A78" s="68">
        <v>70</v>
      </c>
      <c r="B78" s="69" t="s">
        <v>175</v>
      </c>
      <c r="C78" s="127" t="s">
        <v>176</v>
      </c>
      <c r="D78" s="71">
        <f>'17-3-26'!I78</f>
        <v>10000000</v>
      </c>
      <c r="E78" s="68"/>
      <c r="F78" s="69"/>
      <c r="G78" s="69"/>
      <c r="H78" s="71">
        <f t="shared" si="4"/>
        <v>0</v>
      </c>
      <c r="I78" s="71">
        <f t="shared" si="5"/>
        <v>10000000</v>
      </c>
      <c r="J78" s="69">
        <f t="shared" si="6"/>
        <v>0</v>
      </c>
    </row>
    <row r="79" ht="12.75" customHeight="1" spans="1:10">
      <c r="A79" s="68">
        <v>71</v>
      </c>
      <c r="B79" s="69" t="s">
        <v>107</v>
      </c>
      <c r="C79" s="127" t="s">
        <v>176</v>
      </c>
      <c r="D79" s="71">
        <f>'17-3-26'!I79</f>
        <v>3000000</v>
      </c>
      <c r="E79" s="68"/>
      <c r="F79" s="69"/>
      <c r="G79" s="69"/>
      <c r="H79" s="71">
        <f t="shared" si="4"/>
        <v>0</v>
      </c>
      <c r="I79" s="71">
        <f t="shared" si="5"/>
        <v>3000000</v>
      </c>
      <c r="J79" s="69">
        <f t="shared" si="6"/>
        <v>0</v>
      </c>
    </row>
    <row r="80" ht="12.75" customHeight="1" spans="1:10">
      <c r="A80" s="68">
        <v>72</v>
      </c>
      <c r="B80" s="69" t="s">
        <v>177</v>
      </c>
      <c r="C80" s="127" t="s">
        <v>176</v>
      </c>
      <c r="D80" s="71">
        <f>'17-3-26'!I80</f>
        <v>1000000</v>
      </c>
      <c r="E80" s="68"/>
      <c r="F80" s="69"/>
      <c r="G80" s="69"/>
      <c r="H80" s="71">
        <f t="shared" si="4"/>
        <v>0</v>
      </c>
      <c r="I80" s="71">
        <f t="shared" si="5"/>
        <v>1000000</v>
      </c>
      <c r="J80" s="69">
        <f t="shared" si="6"/>
        <v>0</v>
      </c>
    </row>
    <row r="81" ht="12.75" customHeight="1" spans="1:10">
      <c r="A81" s="68">
        <v>73</v>
      </c>
      <c r="B81" s="69" t="s">
        <v>178</v>
      </c>
      <c r="C81" s="127" t="s">
        <v>176</v>
      </c>
      <c r="D81" s="71">
        <f>'17-3-26'!I81</f>
        <v>7000000</v>
      </c>
      <c r="E81" s="68"/>
      <c r="F81" s="69"/>
      <c r="G81" s="69"/>
      <c r="H81" s="71">
        <f t="shared" si="4"/>
        <v>0</v>
      </c>
      <c r="I81" s="71">
        <f t="shared" si="5"/>
        <v>7000000</v>
      </c>
      <c r="J81" s="69">
        <f t="shared" si="6"/>
        <v>0</v>
      </c>
    </row>
    <row r="82" ht="12.75" customHeight="1" spans="1:10">
      <c r="A82" s="68"/>
      <c r="B82" s="69"/>
      <c r="C82" s="70"/>
      <c r="D82" s="71">
        <f>'17-3-26'!I82</f>
        <v>0</v>
      </c>
      <c r="E82" s="68"/>
      <c r="F82" s="69"/>
      <c r="G82" s="69"/>
      <c r="H82" s="71">
        <f t="shared" si="4"/>
        <v>0</v>
      </c>
      <c r="I82" s="71">
        <f t="shared" si="5"/>
        <v>0</v>
      </c>
      <c r="J82" s="69">
        <f t="shared" si="6"/>
        <v>0</v>
      </c>
    </row>
    <row r="83" ht="12.75" customHeight="1" spans="1:10">
      <c r="A83" s="68"/>
      <c r="B83" s="69"/>
      <c r="C83" s="70"/>
      <c r="D83" s="71">
        <f>'17-3-26'!I83</f>
        <v>0</v>
      </c>
      <c r="E83" s="68"/>
      <c r="F83" s="69"/>
      <c r="G83" s="69"/>
      <c r="H83" s="71">
        <f t="shared" si="4"/>
        <v>0</v>
      </c>
      <c r="I83" s="71">
        <f t="shared" si="5"/>
        <v>0</v>
      </c>
      <c r="J83" s="69">
        <f t="shared" si="6"/>
        <v>0</v>
      </c>
    </row>
    <row r="84" ht="1.75" customHeight="1" spans="1:10">
      <c r="A84" s="68"/>
      <c r="B84" s="69"/>
      <c r="C84" s="70"/>
      <c r="D84" s="71">
        <f>'17-3-26'!I84</f>
        <v>0</v>
      </c>
      <c r="E84" s="68"/>
      <c r="F84" s="69"/>
      <c r="G84" s="69"/>
      <c r="H84" s="71">
        <f t="shared" si="4"/>
        <v>0</v>
      </c>
      <c r="I84" s="71">
        <f t="shared" si="5"/>
        <v>0</v>
      </c>
      <c r="J84" s="69">
        <f t="shared" si="6"/>
        <v>0</v>
      </c>
    </row>
    <row r="85" ht="1.75" customHeight="1" spans="1:10">
      <c r="A85" s="68"/>
      <c r="B85" s="69"/>
      <c r="C85" s="70"/>
      <c r="D85" s="71">
        <f>'17-3-26'!I85</f>
        <v>0</v>
      </c>
      <c r="E85" s="68"/>
      <c r="F85" s="69"/>
      <c r="G85" s="69"/>
      <c r="H85" s="71">
        <f t="shared" si="4"/>
        <v>0</v>
      </c>
      <c r="I85" s="71">
        <f t="shared" si="5"/>
        <v>0</v>
      </c>
      <c r="J85" s="69">
        <f t="shared" si="6"/>
        <v>0</v>
      </c>
    </row>
    <row r="86" ht="1.75" customHeight="1" spans="1:10">
      <c r="A86" s="68"/>
      <c r="B86" s="69"/>
      <c r="C86" s="70"/>
      <c r="D86" s="71">
        <f>'17-3-26'!I86</f>
        <v>0</v>
      </c>
      <c r="E86" s="68"/>
      <c r="F86" s="69"/>
      <c r="G86" s="69"/>
      <c r="H86" s="71">
        <f t="shared" si="4"/>
        <v>0</v>
      </c>
      <c r="I86" s="71">
        <f t="shared" si="5"/>
        <v>0</v>
      </c>
      <c r="J86" s="69">
        <f t="shared" si="6"/>
        <v>0</v>
      </c>
    </row>
    <row r="87" ht="1.75" customHeight="1" spans="1:10">
      <c r="A87" s="68"/>
      <c r="B87" s="69"/>
      <c r="C87" s="70"/>
      <c r="D87" s="71">
        <f>'17-3-26'!I87</f>
        <v>0</v>
      </c>
      <c r="E87" s="68"/>
      <c r="F87" s="69"/>
      <c r="G87" s="69"/>
      <c r="H87" s="71">
        <f t="shared" si="4"/>
        <v>0</v>
      </c>
      <c r="I87" s="71">
        <f t="shared" si="5"/>
        <v>0</v>
      </c>
      <c r="J87" s="69">
        <f t="shared" si="6"/>
        <v>0</v>
      </c>
    </row>
    <row r="88" ht="1.75" customHeight="1" spans="1:10">
      <c r="A88" s="68"/>
      <c r="B88" s="69"/>
      <c r="C88" s="70"/>
      <c r="D88" s="71">
        <f>'17-3-26'!I88</f>
        <v>0</v>
      </c>
      <c r="E88" s="68"/>
      <c r="F88" s="69"/>
      <c r="G88" s="69"/>
      <c r="H88" s="71">
        <f t="shared" si="4"/>
        <v>0</v>
      </c>
      <c r="I88" s="71">
        <f t="shared" si="5"/>
        <v>0</v>
      </c>
      <c r="J88" s="69">
        <f t="shared" si="6"/>
        <v>0</v>
      </c>
    </row>
    <row r="89" ht="1.75" customHeight="1" spans="1:10">
      <c r="A89" s="68"/>
      <c r="B89" s="69"/>
      <c r="C89" s="70"/>
      <c r="D89" s="71">
        <f>'17-3-26'!I89</f>
        <v>0</v>
      </c>
      <c r="E89" s="68"/>
      <c r="F89" s="69"/>
      <c r="G89" s="69"/>
      <c r="H89" s="71">
        <f t="shared" si="4"/>
        <v>0</v>
      </c>
      <c r="I89" s="71">
        <f t="shared" si="5"/>
        <v>0</v>
      </c>
      <c r="J89" s="69">
        <f t="shared" si="6"/>
        <v>0</v>
      </c>
    </row>
    <row r="90" ht="1.75" customHeight="1" spans="1:10">
      <c r="A90" s="68"/>
      <c r="B90" s="69"/>
      <c r="C90" s="70"/>
      <c r="D90" s="71">
        <f>'17-3-26'!I90</f>
        <v>0</v>
      </c>
      <c r="E90" s="68"/>
      <c r="F90" s="69"/>
      <c r="G90" s="69"/>
      <c r="H90" s="71">
        <f t="shared" si="4"/>
        <v>0</v>
      </c>
      <c r="I90" s="71">
        <f t="shared" si="5"/>
        <v>0</v>
      </c>
      <c r="J90" s="69">
        <f t="shared" si="6"/>
        <v>0</v>
      </c>
    </row>
    <row r="91" ht="1.75" customHeight="1" spans="1:10">
      <c r="A91" s="68"/>
      <c r="B91" s="69"/>
      <c r="C91" s="70"/>
      <c r="D91" s="71">
        <f>'17-3-26'!I91</f>
        <v>0</v>
      </c>
      <c r="E91" s="68"/>
      <c r="F91" s="69"/>
      <c r="G91" s="69"/>
      <c r="H91" s="71">
        <f t="shared" si="4"/>
        <v>0</v>
      </c>
      <c r="I91" s="71">
        <f t="shared" si="5"/>
        <v>0</v>
      </c>
      <c r="J91" s="69">
        <f t="shared" si="6"/>
        <v>0</v>
      </c>
    </row>
    <row r="92" ht="1.75" customHeight="1" spans="1:10">
      <c r="A92" s="68"/>
      <c r="B92" s="69"/>
      <c r="C92" s="70"/>
      <c r="D92" s="71">
        <f>'17-3-26'!I92</f>
        <v>0</v>
      </c>
      <c r="E92" s="68"/>
      <c r="F92" s="69"/>
      <c r="G92" s="69"/>
      <c r="H92" s="71">
        <f t="shared" si="4"/>
        <v>0</v>
      </c>
      <c r="I92" s="71">
        <f t="shared" si="5"/>
        <v>0</v>
      </c>
      <c r="J92" s="69">
        <f t="shared" si="6"/>
        <v>0</v>
      </c>
    </row>
    <row r="93" ht="1.75" customHeight="1" spans="1:10">
      <c r="A93" s="68"/>
      <c r="B93" s="69"/>
      <c r="C93" s="70"/>
      <c r="D93" s="71">
        <f>'17-3-26'!I93</f>
        <v>0</v>
      </c>
      <c r="E93" s="68"/>
      <c r="F93" s="69"/>
      <c r="G93" s="69"/>
      <c r="H93" s="71">
        <f t="shared" si="4"/>
        <v>0</v>
      </c>
      <c r="I93" s="71">
        <f t="shared" si="5"/>
        <v>0</v>
      </c>
      <c r="J93" s="69">
        <f t="shared" si="6"/>
        <v>0</v>
      </c>
    </row>
    <row r="94" ht="1.75" customHeight="1" spans="1:10">
      <c r="A94" s="68"/>
      <c r="B94" s="69"/>
      <c r="C94" s="70"/>
      <c r="D94" s="71">
        <f>'17-3-26'!I94</f>
        <v>0</v>
      </c>
      <c r="E94" s="68"/>
      <c r="F94" s="69"/>
      <c r="G94" s="69"/>
      <c r="H94" s="71">
        <f t="shared" si="4"/>
        <v>0</v>
      </c>
      <c r="I94" s="71">
        <f t="shared" si="5"/>
        <v>0</v>
      </c>
      <c r="J94" s="69">
        <f t="shared" si="6"/>
        <v>0</v>
      </c>
    </row>
    <row r="95" ht="1.75" customHeight="1" spans="1:10">
      <c r="A95" s="68"/>
      <c r="B95" s="69"/>
      <c r="C95" s="70"/>
      <c r="D95" s="71">
        <f>'17-3-26'!I95</f>
        <v>0</v>
      </c>
      <c r="E95" s="68"/>
      <c r="F95" s="69"/>
      <c r="G95" s="69"/>
      <c r="H95" s="71">
        <f t="shared" si="4"/>
        <v>0</v>
      </c>
      <c r="I95" s="71">
        <f t="shared" si="5"/>
        <v>0</v>
      </c>
      <c r="J95" s="69">
        <f t="shared" si="6"/>
        <v>0</v>
      </c>
    </row>
    <row r="96" ht="1.75" customHeight="1" spans="1:10">
      <c r="A96" s="68"/>
      <c r="B96" s="69"/>
      <c r="C96" s="70"/>
      <c r="D96" s="71">
        <f>'17-3-26'!I96</f>
        <v>0</v>
      </c>
      <c r="E96" s="68"/>
      <c r="F96" s="69"/>
      <c r="G96" s="69"/>
      <c r="H96" s="71">
        <f t="shared" si="4"/>
        <v>0</v>
      </c>
      <c r="I96" s="71">
        <f t="shared" si="5"/>
        <v>0</v>
      </c>
      <c r="J96" s="69">
        <f t="shared" si="6"/>
        <v>0</v>
      </c>
    </row>
    <row r="97" ht="1.75" customHeight="1" spans="1:10">
      <c r="A97" s="68"/>
      <c r="B97" s="69"/>
      <c r="C97" s="70"/>
      <c r="D97" s="71">
        <f>'17-3-26'!I97</f>
        <v>0</v>
      </c>
      <c r="E97" s="68"/>
      <c r="F97" s="69"/>
      <c r="G97" s="69"/>
      <c r="H97" s="71">
        <f t="shared" si="4"/>
        <v>0</v>
      </c>
      <c r="I97" s="71">
        <f t="shared" si="5"/>
        <v>0</v>
      </c>
      <c r="J97" s="69">
        <f t="shared" si="6"/>
        <v>0</v>
      </c>
    </row>
    <row r="98" ht="1.75" customHeight="1" spans="1:10">
      <c r="A98" s="68"/>
      <c r="B98" s="69"/>
      <c r="C98" s="70"/>
      <c r="D98" s="71">
        <f>'17-3-26'!I98</f>
        <v>0</v>
      </c>
      <c r="E98" s="68"/>
      <c r="F98" s="69"/>
      <c r="G98" s="69"/>
      <c r="H98" s="71">
        <f t="shared" si="4"/>
        <v>0</v>
      </c>
      <c r="I98" s="71">
        <f t="shared" si="5"/>
        <v>0</v>
      </c>
      <c r="J98" s="69">
        <f t="shared" si="6"/>
        <v>0</v>
      </c>
    </row>
    <row r="99" ht="1.75" customHeight="1" spans="1:10">
      <c r="A99" s="68"/>
      <c r="B99" s="69"/>
      <c r="C99" s="70"/>
      <c r="D99" s="71">
        <f>'17-3-26'!I99</f>
        <v>0</v>
      </c>
      <c r="E99" s="68"/>
      <c r="F99" s="69"/>
      <c r="G99" s="69"/>
      <c r="H99" s="71">
        <f t="shared" si="4"/>
        <v>0</v>
      </c>
      <c r="I99" s="71">
        <f t="shared" si="5"/>
        <v>0</v>
      </c>
      <c r="J99" s="69">
        <f t="shared" si="6"/>
        <v>0</v>
      </c>
    </row>
    <row r="100" ht="1.75" customHeight="1" spans="1:10">
      <c r="A100" s="68"/>
      <c r="B100" s="69"/>
      <c r="C100" s="70"/>
      <c r="D100" s="71">
        <f>'17-3-26'!I100</f>
        <v>0</v>
      </c>
      <c r="E100" s="68"/>
      <c r="F100" s="69"/>
      <c r="G100" s="69"/>
      <c r="H100" s="71">
        <f t="shared" si="4"/>
        <v>0</v>
      </c>
      <c r="I100" s="71">
        <f t="shared" si="5"/>
        <v>0</v>
      </c>
      <c r="J100" s="69">
        <f t="shared" si="6"/>
        <v>0</v>
      </c>
    </row>
    <row r="101" ht="1.75" customHeight="1" spans="1:10">
      <c r="A101" s="68"/>
      <c r="B101" s="69"/>
      <c r="C101" s="70"/>
      <c r="D101" s="71">
        <f>'17-3-26'!I101</f>
        <v>0</v>
      </c>
      <c r="E101" s="68"/>
      <c r="F101" s="69"/>
      <c r="G101" s="69"/>
      <c r="H101" s="71">
        <f t="shared" si="4"/>
        <v>0</v>
      </c>
      <c r="I101" s="71">
        <f t="shared" si="5"/>
        <v>0</v>
      </c>
      <c r="J101" s="69">
        <f t="shared" si="6"/>
        <v>0</v>
      </c>
    </row>
    <row r="102" ht="1.75" customHeight="1" spans="1:10">
      <c r="A102" s="68"/>
      <c r="B102" s="69"/>
      <c r="C102" s="70"/>
      <c r="D102" s="71">
        <f>'17-3-26'!I102</f>
        <v>0</v>
      </c>
      <c r="E102" s="68"/>
      <c r="F102" s="69"/>
      <c r="G102" s="69"/>
      <c r="H102" s="71">
        <f t="shared" si="4"/>
        <v>0</v>
      </c>
      <c r="I102" s="71">
        <f t="shared" si="5"/>
        <v>0</v>
      </c>
      <c r="J102" s="69">
        <f t="shared" si="6"/>
        <v>0</v>
      </c>
    </row>
    <row r="103" ht="1.75" customHeight="1" spans="1:10">
      <c r="A103" s="68"/>
      <c r="B103" s="69"/>
      <c r="C103" s="70"/>
      <c r="D103" s="71">
        <f>'17-3-26'!I103</f>
        <v>0</v>
      </c>
      <c r="E103" s="68"/>
      <c r="F103" s="69"/>
      <c r="G103" s="69"/>
      <c r="H103" s="71">
        <f t="shared" si="4"/>
        <v>0</v>
      </c>
      <c r="I103" s="71">
        <f t="shared" si="5"/>
        <v>0</v>
      </c>
      <c r="J103" s="69">
        <f t="shared" si="6"/>
        <v>0</v>
      </c>
    </row>
    <row r="104" ht="1.75" customHeight="1" spans="1:10">
      <c r="A104" s="68"/>
      <c r="B104" s="69"/>
      <c r="C104" s="70"/>
      <c r="D104" s="71">
        <f>'17-3-26'!I104</f>
        <v>0</v>
      </c>
      <c r="E104" s="68"/>
      <c r="F104" s="69"/>
      <c r="G104" s="69"/>
      <c r="H104" s="71">
        <f t="shared" si="4"/>
        <v>0</v>
      </c>
      <c r="I104" s="71">
        <f t="shared" si="5"/>
        <v>0</v>
      </c>
      <c r="J104" s="69">
        <f t="shared" si="6"/>
        <v>0</v>
      </c>
    </row>
    <row r="105" ht="1.75" customHeight="1" spans="1:10">
      <c r="A105" s="68"/>
      <c r="B105" s="69"/>
      <c r="C105" s="70"/>
      <c r="D105" s="71">
        <f>'17-3-26'!I105</f>
        <v>0</v>
      </c>
      <c r="E105" s="68"/>
      <c r="F105" s="69"/>
      <c r="G105" s="69"/>
      <c r="H105" s="71">
        <f t="shared" si="4"/>
        <v>0</v>
      </c>
      <c r="I105" s="71">
        <f t="shared" si="5"/>
        <v>0</v>
      </c>
      <c r="J105" s="69">
        <f t="shared" si="6"/>
        <v>0</v>
      </c>
    </row>
    <row r="106" ht="1.75" customHeight="1" spans="1:10">
      <c r="A106" s="68"/>
      <c r="B106" s="69"/>
      <c r="C106" s="70"/>
      <c r="D106" s="71">
        <f>'17-3-26'!I106</f>
        <v>0</v>
      </c>
      <c r="E106" s="68"/>
      <c r="F106" s="69"/>
      <c r="G106" s="69"/>
      <c r="H106" s="71">
        <f t="shared" si="4"/>
        <v>0</v>
      </c>
      <c r="I106" s="71">
        <f t="shared" si="5"/>
        <v>0</v>
      </c>
      <c r="J106" s="69">
        <f t="shared" si="6"/>
        <v>0</v>
      </c>
    </row>
    <row r="107" ht="1.75" customHeight="1" spans="1:10">
      <c r="A107" s="68"/>
      <c r="B107" s="69"/>
      <c r="C107" s="70"/>
      <c r="D107" s="71">
        <f>'17-3-26'!I107</f>
        <v>0</v>
      </c>
      <c r="E107" s="68"/>
      <c r="F107" s="69"/>
      <c r="G107" s="69"/>
      <c r="H107" s="71">
        <f t="shared" si="4"/>
        <v>0</v>
      </c>
      <c r="I107" s="71">
        <f t="shared" si="5"/>
        <v>0</v>
      </c>
      <c r="J107" s="69">
        <f t="shared" si="6"/>
        <v>0</v>
      </c>
    </row>
    <row r="108" ht="1.75" customHeight="1" spans="1:10">
      <c r="A108" s="68"/>
      <c r="B108" s="69"/>
      <c r="C108" s="70"/>
      <c r="D108" s="71">
        <f>'17-3-26'!I108</f>
        <v>0</v>
      </c>
      <c r="E108" s="68"/>
      <c r="F108" s="69"/>
      <c r="G108" s="69"/>
      <c r="H108" s="71">
        <f t="shared" si="4"/>
        <v>0</v>
      </c>
      <c r="I108" s="71">
        <f t="shared" si="5"/>
        <v>0</v>
      </c>
      <c r="J108" s="69">
        <f t="shared" si="6"/>
        <v>0</v>
      </c>
    </row>
    <row r="109" ht="1.75" customHeight="1" spans="1:10">
      <c r="A109" s="68"/>
      <c r="B109" s="69"/>
      <c r="C109" s="70"/>
      <c r="D109" s="71">
        <f>'17-3-26'!I109</f>
        <v>0</v>
      </c>
      <c r="E109" s="68"/>
      <c r="F109" s="69"/>
      <c r="G109" s="69"/>
      <c r="H109" s="71">
        <f t="shared" si="4"/>
        <v>0</v>
      </c>
      <c r="I109" s="71">
        <f t="shared" si="5"/>
        <v>0</v>
      </c>
      <c r="J109" s="69">
        <f t="shared" si="6"/>
        <v>0</v>
      </c>
    </row>
    <row r="110" ht="1.75" customHeight="1" spans="1:10">
      <c r="A110" s="68"/>
      <c r="B110" s="69"/>
      <c r="C110" s="70"/>
      <c r="D110" s="71">
        <f>'17-3-26'!I110</f>
        <v>0</v>
      </c>
      <c r="E110" s="68"/>
      <c r="F110" s="69"/>
      <c r="G110" s="69"/>
      <c r="H110" s="71">
        <f t="shared" si="4"/>
        <v>0</v>
      </c>
      <c r="I110" s="71">
        <f t="shared" si="5"/>
        <v>0</v>
      </c>
      <c r="J110" s="69">
        <f t="shared" si="6"/>
        <v>0</v>
      </c>
    </row>
    <row r="111" ht="1.75" customHeight="1" spans="1:10">
      <c r="A111" s="68"/>
      <c r="B111" s="69"/>
      <c r="C111" s="70"/>
      <c r="D111" s="71">
        <f>'17-3-26'!I111</f>
        <v>0</v>
      </c>
      <c r="E111" s="68"/>
      <c r="F111" s="69"/>
      <c r="G111" s="69"/>
      <c r="H111" s="71">
        <f t="shared" si="4"/>
        <v>0</v>
      </c>
      <c r="I111" s="71">
        <f t="shared" si="5"/>
        <v>0</v>
      </c>
      <c r="J111" s="69">
        <f t="shared" si="6"/>
        <v>0</v>
      </c>
    </row>
    <row r="112" ht="1.75" customHeight="1" spans="1:10">
      <c r="A112" s="68"/>
      <c r="B112" s="69"/>
      <c r="C112" s="70"/>
      <c r="D112" s="71">
        <f>'17-3-26'!I112</f>
        <v>0</v>
      </c>
      <c r="E112" s="68"/>
      <c r="F112" s="69"/>
      <c r="G112" s="69"/>
      <c r="H112" s="71">
        <f t="shared" si="4"/>
        <v>0</v>
      </c>
      <c r="I112" s="71">
        <f t="shared" si="5"/>
        <v>0</v>
      </c>
      <c r="J112" s="69">
        <f t="shared" si="6"/>
        <v>0</v>
      </c>
    </row>
    <row r="113" ht="1.75" customHeight="1" spans="1:10">
      <c r="A113" s="68"/>
      <c r="B113" s="69"/>
      <c r="C113" s="70"/>
      <c r="D113" s="71">
        <f>'17-3-26'!I113</f>
        <v>0</v>
      </c>
      <c r="E113" s="68"/>
      <c r="F113" s="69"/>
      <c r="G113" s="69"/>
      <c r="H113" s="71">
        <f t="shared" si="4"/>
        <v>0</v>
      </c>
      <c r="I113" s="71">
        <f t="shared" si="5"/>
        <v>0</v>
      </c>
      <c r="J113" s="69">
        <f t="shared" si="6"/>
        <v>0</v>
      </c>
    </row>
    <row r="114" ht="1.75" customHeight="1" spans="1:10">
      <c r="A114" s="68"/>
      <c r="B114" s="69"/>
      <c r="C114" s="70"/>
      <c r="D114" s="71">
        <f>'17-3-26'!I114</f>
        <v>0</v>
      </c>
      <c r="E114" s="68"/>
      <c r="F114" s="69"/>
      <c r="G114" s="69"/>
      <c r="H114" s="71">
        <f t="shared" si="4"/>
        <v>0</v>
      </c>
      <c r="I114" s="71">
        <f t="shared" si="5"/>
        <v>0</v>
      </c>
      <c r="J114" s="69">
        <f t="shared" si="6"/>
        <v>0</v>
      </c>
    </row>
    <row r="115" ht="1.75" customHeight="1" spans="1:10">
      <c r="A115" s="68"/>
      <c r="B115" s="69"/>
      <c r="C115" s="70"/>
      <c r="D115" s="71">
        <f>'17-3-26'!I115</f>
        <v>0</v>
      </c>
      <c r="E115" s="68"/>
      <c r="F115" s="69"/>
      <c r="G115" s="69"/>
      <c r="H115" s="71">
        <f t="shared" si="4"/>
        <v>0</v>
      </c>
      <c r="I115" s="71">
        <f t="shared" si="5"/>
        <v>0</v>
      </c>
      <c r="J115" s="69">
        <f t="shared" si="6"/>
        <v>0</v>
      </c>
    </row>
    <row r="116" ht="1.75" customHeight="1" spans="1:10">
      <c r="A116" s="68"/>
      <c r="B116" s="69"/>
      <c r="C116" s="70"/>
      <c r="D116" s="71">
        <f>'17-3-26'!I116</f>
        <v>0</v>
      </c>
      <c r="E116" s="68"/>
      <c r="F116" s="69"/>
      <c r="G116" s="69"/>
      <c r="H116" s="71">
        <f t="shared" si="4"/>
        <v>0</v>
      </c>
      <c r="I116" s="71">
        <f t="shared" si="5"/>
        <v>0</v>
      </c>
      <c r="J116" s="69">
        <f t="shared" si="6"/>
        <v>0</v>
      </c>
    </row>
    <row r="117" ht="1.75" customHeight="1" spans="1:10">
      <c r="A117" s="68"/>
      <c r="B117" s="69"/>
      <c r="C117" s="70"/>
      <c r="D117" s="71">
        <f>'17-3-26'!I117</f>
        <v>0</v>
      </c>
      <c r="E117" s="68"/>
      <c r="F117" s="69"/>
      <c r="G117" s="69"/>
      <c r="H117" s="71">
        <f t="shared" si="4"/>
        <v>0</v>
      </c>
      <c r="I117" s="71">
        <f t="shared" si="5"/>
        <v>0</v>
      </c>
      <c r="J117" s="69">
        <f t="shared" si="6"/>
        <v>0</v>
      </c>
    </row>
    <row r="118" ht="1.75" customHeight="1" spans="1:10">
      <c r="A118" s="68"/>
      <c r="B118" s="69"/>
      <c r="C118" s="70"/>
      <c r="D118" s="71">
        <f>'17-3-26'!I118</f>
        <v>0</v>
      </c>
      <c r="E118" s="68"/>
      <c r="F118" s="69"/>
      <c r="G118" s="69"/>
      <c r="H118" s="71">
        <f t="shared" si="4"/>
        <v>0</v>
      </c>
      <c r="I118" s="71">
        <f t="shared" si="5"/>
        <v>0</v>
      </c>
      <c r="J118" s="69">
        <f t="shared" si="6"/>
        <v>0</v>
      </c>
    </row>
    <row r="119" ht="1.75" customHeight="1" spans="1:10">
      <c r="A119" s="68"/>
      <c r="B119" s="69"/>
      <c r="C119" s="70"/>
      <c r="D119" s="71">
        <f>'17-3-26'!I119</f>
        <v>0</v>
      </c>
      <c r="E119" s="68"/>
      <c r="F119" s="69"/>
      <c r="G119" s="69"/>
      <c r="H119" s="71">
        <f t="shared" si="4"/>
        <v>0</v>
      </c>
      <c r="I119" s="71">
        <f t="shared" si="5"/>
        <v>0</v>
      </c>
      <c r="J119" s="69">
        <f t="shared" si="6"/>
        <v>0</v>
      </c>
    </row>
    <row r="120" ht="1.75" customHeight="1" spans="1:10">
      <c r="A120" s="68"/>
      <c r="B120" s="69"/>
      <c r="C120" s="70"/>
      <c r="D120" s="71">
        <f>'17-3-26'!I120</f>
        <v>0</v>
      </c>
      <c r="E120" s="68"/>
      <c r="F120" s="69"/>
      <c r="G120" s="69"/>
      <c r="H120" s="71">
        <f t="shared" si="4"/>
        <v>0</v>
      </c>
      <c r="I120" s="71">
        <f t="shared" si="5"/>
        <v>0</v>
      </c>
      <c r="J120" s="69">
        <f t="shared" si="6"/>
        <v>0</v>
      </c>
    </row>
    <row r="121" ht="1.75" customHeight="1" spans="1:10">
      <c r="A121" s="68"/>
      <c r="B121" s="69"/>
      <c r="C121" s="70"/>
      <c r="D121" s="71">
        <f>'17-3-26'!I121</f>
        <v>0</v>
      </c>
      <c r="E121" s="68"/>
      <c r="F121" s="69"/>
      <c r="G121" s="69"/>
      <c r="H121" s="71">
        <f t="shared" si="4"/>
        <v>0</v>
      </c>
      <c r="I121" s="71">
        <f t="shared" si="5"/>
        <v>0</v>
      </c>
      <c r="J121" s="69">
        <f t="shared" si="6"/>
        <v>0</v>
      </c>
    </row>
    <row r="122" ht="1.75" customHeight="1" spans="1:10">
      <c r="A122" s="68"/>
      <c r="B122" s="69"/>
      <c r="C122" s="70"/>
      <c r="D122" s="71">
        <f>'17-3-26'!I122</f>
        <v>0</v>
      </c>
      <c r="E122" s="68"/>
      <c r="F122" s="69"/>
      <c r="G122" s="69"/>
      <c r="H122" s="71">
        <f t="shared" si="4"/>
        <v>0</v>
      </c>
      <c r="I122" s="71">
        <f t="shared" si="5"/>
        <v>0</v>
      </c>
      <c r="J122" s="69">
        <f t="shared" si="6"/>
        <v>0</v>
      </c>
    </row>
    <row r="123" ht="1.75" customHeight="1" spans="1:10">
      <c r="A123" s="68"/>
      <c r="B123" s="69"/>
      <c r="C123" s="70"/>
      <c r="D123" s="71">
        <f>'17-3-26'!I123</f>
        <v>0</v>
      </c>
      <c r="E123" s="68"/>
      <c r="F123" s="69"/>
      <c r="G123" s="69"/>
      <c r="H123" s="71">
        <f t="shared" si="4"/>
        <v>0</v>
      </c>
      <c r="I123" s="71">
        <f t="shared" si="5"/>
        <v>0</v>
      </c>
      <c r="J123" s="69">
        <f t="shared" si="6"/>
        <v>0</v>
      </c>
    </row>
    <row r="124" ht="1.75" customHeight="1" spans="1:10">
      <c r="A124" s="68"/>
      <c r="B124" s="69"/>
      <c r="C124" s="70"/>
      <c r="D124" s="71">
        <f>'17-3-26'!I124</f>
        <v>0</v>
      </c>
      <c r="E124" s="68"/>
      <c r="F124" s="69"/>
      <c r="G124" s="69"/>
      <c r="H124" s="71">
        <f t="shared" si="4"/>
        <v>0</v>
      </c>
      <c r="I124" s="71">
        <f t="shared" si="5"/>
        <v>0</v>
      </c>
      <c r="J124" s="69">
        <f t="shared" si="6"/>
        <v>0</v>
      </c>
    </row>
    <row r="125" ht="1.75" customHeight="1" spans="1:10">
      <c r="A125" s="68"/>
      <c r="B125" s="69"/>
      <c r="C125" s="70"/>
      <c r="D125" s="71">
        <f>'17-3-26'!I125</f>
        <v>0</v>
      </c>
      <c r="E125" s="68"/>
      <c r="F125" s="69"/>
      <c r="G125" s="69"/>
      <c r="H125" s="71">
        <f t="shared" si="4"/>
        <v>0</v>
      </c>
      <c r="I125" s="71">
        <f t="shared" si="5"/>
        <v>0</v>
      </c>
      <c r="J125" s="69">
        <f t="shared" si="6"/>
        <v>0</v>
      </c>
    </row>
    <row r="126" ht="1.75" customHeight="1" spans="1:10">
      <c r="A126" s="68"/>
      <c r="B126" s="69"/>
      <c r="C126" s="70"/>
      <c r="D126" s="71">
        <f>'17-3-26'!I126</f>
        <v>0</v>
      </c>
      <c r="E126" s="68"/>
      <c r="F126" s="69"/>
      <c r="G126" s="69"/>
      <c r="H126" s="71">
        <f t="shared" si="4"/>
        <v>0</v>
      </c>
      <c r="I126" s="71">
        <f t="shared" si="5"/>
        <v>0</v>
      </c>
      <c r="J126" s="69">
        <f t="shared" si="6"/>
        <v>0</v>
      </c>
    </row>
    <row r="127" ht="1.75" customHeight="1" spans="1:10">
      <c r="A127" s="68"/>
      <c r="B127" s="69"/>
      <c r="C127" s="70"/>
      <c r="D127" s="71">
        <f>'17-3-26'!I127</f>
        <v>0</v>
      </c>
      <c r="E127" s="68"/>
      <c r="F127" s="69"/>
      <c r="G127" s="69"/>
      <c r="H127" s="71">
        <f t="shared" si="4"/>
        <v>0</v>
      </c>
      <c r="I127" s="71">
        <f t="shared" si="5"/>
        <v>0</v>
      </c>
      <c r="J127" s="69">
        <f t="shared" si="6"/>
        <v>0</v>
      </c>
    </row>
    <row r="128" ht="1.75" customHeight="1" spans="1:10">
      <c r="A128" s="68"/>
      <c r="B128" s="69"/>
      <c r="C128" s="70"/>
      <c r="D128" s="71">
        <f>'17-3-26'!I128</f>
        <v>0</v>
      </c>
      <c r="E128" s="68"/>
      <c r="F128" s="69"/>
      <c r="G128" s="69"/>
      <c r="H128" s="71">
        <f t="shared" si="4"/>
        <v>0</v>
      </c>
      <c r="I128" s="71">
        <f t="shared" si="5"/>
        <v>0</v>
      </c>
      <c r="J128" s="69">
        <f t="shared" si="6"/>
        <v>0</v>
      </c>
    </row>
    <row r="129" ht="1.75" customHeight="1" spans="1:10">
      <c r="A129" s="68"/>
      <c r="B129" s="69"/>
      <c r="C129" s="70"/>
      <c r="D129" s="71">
        <f>'17-3-26'!I129</f>
        <v>0</v>
      </c>
      <c r="E129" s="68"/>
      <c r="F129" s="69"/>
      <c r="G129" s="69"/>
      <c r="H129" s="71">
        <f t="shared" si="4"/>
        <v>0</v>
      </c>
      <c r="I129" s="71">
        <f t="shared" si="5"/>
        <v>0</v>
      </c>
      <c r="J129" s="69">
        <f t="shared" si="6"/>
        <v>0</v>
      </c>
    </row>
    <row r="130" ht="1.75" customHeight="1" spans="1:10">
      <c r="A130" s="68"/>
      <c r="B130" s="69"/>
      <c r="C130" s="70"/>
      <c r="D130" s="71">
        <f>'17-3-26'!I130</f>
        <v>0</v>
      </c>
      <c r="E130" s="68"/>
      <c r="F130" s="69"/>
      <c r="G130" s="69"/>
      <c r="H130" s="71">
        <f t="shared" si="4"/>
        <v>0</v>
      </c>
      <c r="I130" s="71">
        <f t="shared" si="5"/>
        <v>0</v>
      </c>
      <c r="J130" s="69">
        <f t="shared" si="6"/>
        <v>0</v>
      </c>
    </row>
    <row r="131" ht="1.75" customHeight="1" spans="1:10">
      <c r="A131" s="68"/>
      <c r="B131" s="69"/>
      <c r="C131" s="70"/>
      <c r="D131" s="71">
        <f>'17-3-26'!I131</f>
        <v>0</v>
      </c>
      <c r="E131" s="68"/>
      <c r="F131" s="69"/>
      <c r="G131" s="69"/>
      <c r="H131" s="71">
        <f t="shared" si="4"/>
        <v>0</v>
      </c>
      <c r="I131" s="71">
        <f t="shared" si="5"/>
        <v>0</v>
      </c>
      <c r="J131" s="69">
        <f t="shared" si="6"/>
        <v>0</v>
      </c>
    </row>
    <row r="132" ht="1.75" customHeight="1" spans="1:10">
      <c r="A132" s="68"/>
      <c r="B132" s="69"/>
      <c r="C132" s="70"/>
      <c r="D132" s="71">
        <f>'17-3-26'!I132</f>
        <v>0</v>
      </c>
      <c r="E132" s="68"/>
      <c r="F132" s="69"/>
      <c r="G132" s="69"/>
      <c r="H132" s="71">
        <f t="shared" si="4"/>
        <v>0</v>
      </c>
      <c r="I132" s="71">
        <f t="shared" si="5"/>
        <v>0</v>
      </c>
      <c r="J132" s="69">
        <f t="shared" si="6"/>
        <v>0</v>
      </c>
    </row>
    <row r="133" ht="1.75" customHeight="1" spans="1:10">
      <c r="A133" s="68"/>
      <c r="B133" s="69"/>
      <c r="C133" s="70"/>
      <c r="D133" s="71">
        <f>'17-3-26'!I133</f>
        <v>0</v>
      </c>
      <c r="E133" s="68"/>
      <c r="F133" s="69"/>
      <c r="G133" s="69"/>
      <c r="H133" s="71">
        <f t="shared" si="4"/>
        <v>0</v>
      </c>
      <c r="I133" s="71">
        <f t="shared" si="5"/>
        <v>0</v>
      </c>
      <c r="J133" s="69">
        <f t="shared" si="6"/>
        <v>0</v>
      </c>
    </row>
    <row r="134" ht="1.75" customHeight="1" spans="1:10">
      <c r="A134" s="68"/>
      <c r="B134" s="69"/>
      <c r="C134" s="70"/>
      <c r="D134" s="71">
        <f>'17-3-26'!I134</f>
        <v>0</v>
      </c>
      <c r="E134" s="68"/>
      <c r="F134" s="69"/>
      <c r="G134" s="69"/>
      <c r="H134" s="71">
        <f t="shared" si="4"/>
        <v>0</v>
      </c>
      <c r="I134" s="71">
        <f t="shared" si="5"/>
        <v>0</v>
      </c>
      <c r="J134" s="69">
        <f t="shared" si="6"/>
        <v>0</v>
      </c>
    </row>
    <row r="135" ht="1.75" customHeight="1" spans="1:10">
      <c r="A135" s="68"/>
      <c r="B135" s="69"/>
      <c r="C135" s="70"/>
      <c r="D135" s="71">
        <f>'17-3-26'!I135</f>
        <v>0</v>
      </c>
      <c r="E135" s="68"/>
      <c r="F135" s="69"/>
      <c r="G135" s="69"/>
      <c r="H135" s="71">
        <f t="shared" si="4"/>
        <v>0</v>
      </c>
      <c r="I135" s="71">
        <f t="shared" si="5"/>
        <v>0</v>
      </c>
      <c r="J135" s="69">
        <f t="shared" si="6"/>
        <v>0</v>
      </c>
    </row>
    <row r="136" ht="1.75" customHeight="1" spans="1:10">
      <c r="A136" s="68"/>
      <c r="B136" s="69"/>
      <c r="C136" s="70"/>
      <c r="D136" s="71">
        <f>'17-3-26'!I136</f>
        <v>0</v>
      </c>
      <c r="E136" s="68"/>
      <c r="F136" s="69"/>
      <c r="G136" s="69"/>
      <c r="H136" s="71">
        <f t="shared" si="4"/>
        <v>0</v>
      </c>
      <c r="I136" s="71">
        <f t="shared" si="5"/>
        <v>0</v>
      </c>
      <c r="J136" s="69">
        <f t="shared" si="6"/>
        <v>0</v>
      </c>
    </row>
    <row r="137" ht="1.75" customHeight="1" spans="1:10">
      <c r="A137" s="68"/>
      <c r="B137" s="69"/>
      <c r="C137" s="70"/>
      <c r="D137" s="71">
        <f>'17-3-26'!I137</f>
        <v>0</v>
      </c>
      <c r="E137" s="68"/>
      <c r="F137" s="69"/>
      <c r="G137" s="69"/>
      <c r="H137" s="71">
        <f t="shared" si="4"/>
        <v>0</v>
      </c>
      <c r="I137" s="71">
        <f t="shared" si="5"/>
        <v>0</v>
      </c>
      <c r="J137" s="69">
        <f t="shared" si="6"/>
        <v>0</v>
      </c>
    </row>
    <row r="138" ht="1.75" customHeight="1" spans="1:10">
      <c r="A138" s="68"/>
      <c r="B138" s="69"/>
      <c r="C138" s="70"/>
      <c r="D138" s="71">
        <f>'17-3-26'!I138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si="5"/>
        <v>0</v>
      </c>
      <c r="J138" s="69">
        <f t="shared" ref="J138:J187" si="8">1/10*G138</f>
        <v>0</v>
      </c>
    </row>
    <row r="139" ht="1.75" customHeight="1" spans="1:10">
      <c r="A139" s="68"/>
      <c r="B139" s="69"/>
      <c r="C139" s="70"/>
      <c r="D139" s="71">
        <f>'17-3-26'!I139</f>
        <v>0</v>
      </c>
      <c r="E139" s="68"/>
      <c r="F139" s="69"/>
      <c r="G139" s="69"/>
      <c r="H139" s="71">
        <f t="shared" si="7"/>
        <v>0</v>
      </c>
      <c r="I139" s="71">
        <f t="shared" si="5"/>
        <v>0</v>
      </c>
      <c r="J139" s="69">
        <f t="shared" si="8"/>
        <v>0</v>
      </c>
    </row>
    <row r="140" ht="1.75" customHeight="1" spans="1:10">
      <c r="A140" s="68"/>
      <c r="B140" s="69"/>
      <c r="C140" s="70"/>
      <c r="D140" s="71">
        <f>'17-3-26'!I140</f>
        <v>0</v>
      </c>
      <c r="E140" s="68"/>
      <c r="F140" s="69"/>
      <c r="G140" s="69"/>
      <c r="H140" s="71">
        <f t="shared" si="7"/>
        <v>0</v>
      </c>
      <c r="I140" s="71">
        <f t="shared" si="5"/>
        <v>0</v>
      </c>
      <c r="J140" s="69">
        <f t="shared" si="8"/>
        <v>0</v>
      </c>
    </row>
    <row r="141" ht="1.75" customHeight="1" spans="1:10">
      <c r="A141" s="68"/>
      <c r="B141" s="69"/>
      <c r="C141" s="70"/>
      <c r="D141" s="71">
        <f>'17-3-26'!I141</f>
        <v>0</v>
      </c>
      <c r="E141" s="68"/>
      <c r="F141" s="69"/>
      <c r="G141" s="69"/>
      <c r="H141" s="71">
        <f t="shared" si="7"/>
        <v>0</v>
      </c>
      <c r="I141" s="71">
        <f t="shared" si="5"/>
        <v>0</v>
      </c>
      <c r="J141" s="69">
        <f t="shared" si="8"/>
        <v>0</v>
      </c>
    </row>
    <row r="142" ht="1.75" customHeight="1" spans="1:10">
      <c r="A142" s="68"/>
      <c r="B142" s="69"/>
      <c r="C142" s="70"/>
      <c r="D142" s="71">
        <f>'17-3-26'!I142</f>
        <v>0</v>
      </c>
      <c r="E142" s="68"/>
      <c r="F142" s="69"/>
      <c r="G142" s="69"/>
      <c r="H142" s="71">
        <f t="shared" si="7"/>
        <v>0</v>
      </c>
      <c r="I142" s="71">
        <f t="shared" si="5"/>
        <v>0</v>
      </c>
      <c r="J142" s="69">
        <f t="shared" si="8"/>
        <v>0</v>
      </c>
    </row>
    <row r="143" ht="1.75" customHeight="1" spans="1:10">
      <c r="A143" s="68"/>
      <c r="B143" s="69"/>
      <c r="C143" s="70"/>
      <c r="D143" s="71">
        <f>'17-3-26'!I143</f>
        <v>0</v>
      </c>
      <c r="E143" s="68"/>
      <c r="F143" s="69"/>
      <c r="G143" s="69"/>
      <c r="H143" s="71">
        <f t="shared" si="7"/>
        <v>0</v>
      </c>
      <c r="I143" s="71">
        <f t="shared" si="5"/>
        <v>0</v>
      </c>
      <c r="J143" s="69">
        <f t="shared" si="8"/>
        <v>0</v>
      </c>
    </row>
    <row r="144" ht="1.75" customHeight="1" spans="1:10">
      <c r="A144" s="68"/>
      <c r="B144" s="69"/>
      <c r="C144" s="70"/>
      <c r="D144" s="71">
        <f>'17-3-26'!I144</f>
        <v>0</v>
      </c>
      <c r="E144" s="68"/>
      <c r="F144" s="69"/>
      <c r="G144" s="69"/>
      <c r="H144" s="71">
        <f t="shared" si="7"/>
        <v>0</v>
      </c>
      <c r="I144" s="71">
        <f t="shared" si="5"/>
        <v>0</v>
      </c>
      <c r="J144" s="69">
        <f t="shared" si="8"/>
        <v>0</v>
      </c>
    </row>
    <row r="145" ht="1.75" customHeight="1" spans="1:10">
      <c r="A145" s="68"/>
      <c r="B145" s="69"/>
      <c r="C145" s="70"/>
      <c r="D145" s="71">
        <f>'17-3-26'!I145</f>
        <v>0</v>
      </c>
      <c r="E145" s="68"/>
      <c r="F145" s="69"/>
      <c r="G145" s="69"/>
      <c r="H145" s="71">
        <f t="shared" si="7"/>
        <v>0</v>
      </c>
      <c r="I145" s="71">
        <f t="shared" si="5"/>
        <v>0</v>
      </c>
      <c r="J145" s="69">
        <f t="shared" si="8"/>
        <v>0</v>
      </c>
    </row>
    <row r="146" ht="1.75" customHeight="1" spans="1:10">
      <c r="A146" s="68"/>
      <c r="B146" s="69"/>
      <c r="C146" s="70"/>
      <c r="D146" s="71">
        <f>'17-3-26'!I146</f>
        <v>0</v>
      </c>
      <c r="E146" s="68"/>
      <c r="F146" s="69"/>
      <c r="G146" s="69"/>
      <c r="H146" s="71">
        <f t="shared" si="7"/>
        <v>0</v>
      </c>
      <c r="I146" s="71">
        <f t="shared" si="5"/>
        <v>0</v>
      </c>
      <c r="J146" s="69">
        <f t="shared" si="8"/>
        <v>0</v>
      </c>
    </row>
    <row r="147" ht="1.75" customHeight="1" spans="1:10">
      <c r="A147" s="68"/>
      <c r="B147" s="69"/>
      <c r="C147" s="70"/>
      <c r="D147" s="71">
        <f>'17-3-26'!I147</f>
        <v>0</v>
      </c>
      <c r="E147" s="68"/>
      <c r="F147" s="69"/>
      <c r="G147" s="69"/>
      <c r="H147" s="71">
        <f t="shared" si="7"/>
        <v>0</v>
      </c>
      <c r="I147" s="71">
        <f t="shared" si="5"/>
        <v>0</v>
      </c>
      <c r="J147" s="69">
        <f t="shared" si="8"/>
        <v>0</v>
      </c>
    </row>
    <row r="148" ht="1.75" customHeight="1" spans="1:10">
      <c r="A148" s="68"/>
      <c r="B148" s="69"/>
      <c r="C148" s="70"/>
      <c r="D148" s="71">
        <f>'17-3-26'!I148</f>
        <v>0</v>
      </c>
      <c r="E148" s="68"/>
      <c r="F148" s="69"/>
      <c r="G148" s="69"/>
      <c r="H148" s="71">
        <f t="shared" si="7"/>
        <v>0</v>
      </c>
      <c r="I148" s="71">
        <f t="shared" si="5"/>
        <v>0</v>
      </c>
      <c r="J148" s="69">
        <f t="shared" si="8"/>
        <v>0</v>
      </c>
    </row>
    <row r="149" ht="1.75" customHeight="1" spans="1:10">
      <c r="A149" s="68"/>
      <c r="B149" s="69"/>
      <c r="C149" s="70"/>
      <c r="D149" s="71">
        <f>'17-3-26'!I149</f>
        <v>0</v>
      </c>
      <c r="E149" s="68"/>
      <c r="F149" s="69"/>
      <c r="G149" s="69"/>
      <c r="H149" s="71">
        <f t="shared" si="7"/>
        <v>0</v>
      </c>
      <c r="I149" s="71">
        <f t="shared" si="5"/>
        <v>0</v>
      </c>
      <c r="J149" s="69">
        <f t="shared" si="8"/>
        <v>0</v>
      </c>
    </row>
    <row r="150" ht="1.75" customHeight="1" spans="1:10">
      <c r="A150" s="68"/>
      <c r="B150" s="69"/>
      <c r="C150" s="70"/>
      <c r="D150" s="71">
        <f>'17-3-26'!I150</f>
        <v>0</v>
      </c>
      <c r="E150" s="68"/>
      <c r="F150" s="69"/>
      <c r="G150" s="69"/>
      <c r="H150" s="71">
        <f t="shared" si="7"/>
        <v>0</v>
      </c>
      <c r="I150" s="71">
        <f t="shared" si="5"/>
        <v>0</v>
      </c>
      <c r="J150" s="69">
        <f t="shared" si="8"/>
        <v>0</v>
      </c>
    </row>
    <row r="151" ht="1.75" customHeight="1" spans="1:10">
      <c r="A151" s="68"/>
      <c r="B151" s="69"/>
      <c r="C151" s="70"/>
      <c r="D151" s="71">
        <f>'17-3-26'!I151</f>
        <v>0</v>
      </c>
      <c r="E151" s="68"/>
      <c r="F151" s="69"/>
      <c r="G151" s="69"/>
      <c r="H151" s="71">
        <f t="shared" si="7"/>
        <v>0</v>
      </c>
      <c r="I151" s="71">
        <f t="shared" si="5"/>
        <v>0</v>
      </c>
      <c r="J151" s="69">
        <f t="shared" si="8"/>
        <v>0</v>
      </c>
    </row>
    <row r="152" ht="1.75" customHeight="1" spans="1:10">
      <c r="A152" s="68"/>
      <c r="B152" s="69"/>
      <c r="C152" s="70"/>
      <c r="D152" s="71">
        <f>'17-3-26'!I152</f>
        <v>0</v>
      </c>
      <c r="E152" s="68"/>
      <c r="F152" s="69"/>
      <c r="G152" s="69"/>
      <c r="H152" s="71">
        <f t="shared" si="7"/>
        <v>0</v>
      </c>
      <c r="I152" s="71">
        <f t="shared" si="5"/>
        <v>0</v>
      </c>
      <c r="J152" s="69">
        <f t="shared" si="8"/>
        <v>0</v>
      </c>
    </row>
    <row r="153" ht="1.75" customHeight="1" spans="1:10">
      <c r="A153" s="68"/>
      <c r="B153" s="69"/>
      <c r="C153" s="70"/>
      <c r="D153" s="71">
        <f>'17-3-26'!I153</f>
        <v>0</v>
      </c>
      <c r="E153" s="68"/>
      <c r="F153" s="69"/>
      <c r="G153" s="69"/>
      <c r="H153" s="71">
        <f t="shared" si="7"/>
        <v>0</v>
      </c>
      <c r="I153" s="71">
        <f t="shared" si="5"/>
        <v>0</v>
      </c>
      <c r="J153" s="69">
        <f t="shared" si="8"/>
        <v>0</v>
      </c>
    </row>
    <row r="154" ht="1.75" customHeight="1" spans="1:10">
      <c r="A154" s="68"/>
      <c r="B154" s="69"/>
      <c r="C154" s="70"/>
      <c r="D154" s="71">
        <f>'17-3-26'!I154</f>
        <v>0</v>
      </c>
      <c r="E154" s="68"/>
      <c r="F154" s="69"/>
      <c r="G154" s="69"/>
      <c r="H154" s="71">
        <f t="shared" si="7"/>
        <v>0</v>
      </c>
      <c r="I154" s="71">
        <f t="shared" si="5"/>
        <v>0</v>
      </c>
      <c r="J154" s="69">
        <f t="shared" si="8"/>
        <v>0</v>
      </c>
    </row>
    <row r="155" ht="1.75" customHeight="1" spans="1:10">
      <c r="A155" s="68"/>
      <c r="B155" s="69"/>
      <c r="C155" s="70"/>
      <c r="D155" s="71">
        <f>'17-3-26'!I155</f>
        <v>0</v>
      </c>
      <c r="E155" s="68"/>
      <c r="F155" s="69"/>
      <c r="G155" s="69"/>
      <c r="H155" s="71">
        <f t="shared" si="7"/>
        <v>0</v>
      </c>
      <c r="I155" s="71">
        <f t="shared" si="5"/>
        <v>0</v>
      </c>
      <c r="J155" s="69">
        <f t="shared" si="8"/>
        <v>0</v>
      </c>
    </row>
    <row r="156" ht="1.75" customHeight="1" spans="1:10">
      <c r="A156" s="68"/>
      <c r="B156" s="69"/>
      <c r="C156" s="70"/>
      <c r="D156" s="71">
        <f>'17-3-26'!I156</f>
        <v>0</v>
      </c>
      <c r="E156" s="68"/>
      <c r="F156" s="69"/>
      <c r="G156" s="69"/>
      <c r="H156" s="71">
        <f t="shared" si="7"/>
        <v>0</v>
      </c>
      <c r="I156" s="71">
        <f t="shared" si="5"/>
        <v>0</v>
      </c>
      <c r="J156" s="69">
        <f t="shared" si="8"/>
        <v>0</v>
      </c>
    </row>
    <row r="157" ht="1.75" customHeight="1" spans="1:10">
      <c r="A157" s="68"/>
      <c r="B157" s="69"/>
      <c r="C157" s="70"/>
      <c r="D157" s="71">
        <f>'17-3-26'!I157</f>
        <v>0</v>
      </c>
      <c r="E157" s="68"/>
      <c r="F157" s="69"/>
      <c r="G157" s="69"/>
      <c r="H157" s="71">
        <f t="shared" si="7"/>
        <v>0</v>
      </c>
      <c r="I157" s="71">
        <f t="shared" si="5"/>
        <v>0</v>
      </c>
      <c r="J157" s="69">
        <f t="shared" si="8"/>
        <v>0</v>
      </c>
    </row>
    <row r="158" ht="1.75" customHeight="1" spans="1:10">
      <c r="A158" s="68"/>
      <c r="B158" s="69"/>
      <c r="C158" s="70"/>
      <c r="D158" s="71">
        <f>'17-3-26'!I158</f>
        <v>0</v>
      </c>
      <c r="E158" s="68"/>
      <c r="F158" s="69"/>
      <c r="G158" s="69"/>
      <c r="H158" s="71">
        <f t="shared" si="7"/>
        <v>0</v>
      </c>
      <c r="I158" s="71">
        <f t="shared" si="5"/>
        <v>0</v>
      </c>
      <c r="J158" s="69">
        <f t="shared" si="8"/>
        <v>0</v>
      </c>
    </row>
    <row r="159" ht="1.75" customHeight="1" spans="1:10">
      <c r="A159" s="68"/>
      <c r="B159" s="69"/>
      <c r="C159" s="70"/>
      <c r="D159" s="71">
        <f>'17-3-26'!I159</f>
        <v>0</v>
      </c>
      <c r="E159" s="68"/>
      <c r="F159" s="69"/>
      <c r="G159" s="69"/>
      <c r="H159" s="71">
        <f t="shared" si="7"/>
        <v>0</v>
      </c>
      <c r="I159" s="71">
        <f t="shared" si="5"/>
        <v>0</v>
      </c>
      <c r="J159" s="69">
        <f t="shared" si="8"/>
        <v>0</v>
      </c>
    </row>
    <row r="160" ht="1.75" customHeight="1" spans="1:10">
      <c r="A160" s="68"/>
      <c r="B160" s="69"/>
      <c r="C160" s="70"/>
      <c r="D160" s="71">
        <f>'17-3-26'!I160</f>
        <v>0</v>
      </c>
      <c r="E160" s="68"/>
      <c r="F160" s="69"/>
      <c r="G160" s="69"/>
      <c r="H160" s="71">
        <f t="shared" si="7"/>
        <v>0</v>
      </c>
      <c r="I160" s="71">
        <f t="shared" si="5"/>
        <v>0</v>
      </c>
      <c r="J160" s="69">
        <f t="shared" si="8"/>
        <v>0</v>
      </c>
    </row>
    <row r="161" ht="1.75" customHeight="1" spans="1:10">
      <c r="A161" s="68"/>
      <c r="B161" s="69"/>
      <c r="C161" s="70"/>
      <c r="D161" s="71">
        <f>'17-3-26'!I161</f>
        <v>0</v>
      </c>
      <c r="E161" s="68"/>
      <c r="F161" s="69"/>
      <c r="G161" s="69"/>
      <c r="H161" s="71">
        <f t="shared" si="7"/>
        <v>0</v>
      </c>
      <c r="I161" s="71">
        <f t="shared" si="5"/>
        <v>0</v>
      </c>
      <c r="J161" s="69">
        <f t="shared" si="8"/>
        <v>0</v>
      </c>
    </row>
    <row r="162" ht="1.75" customHeight="1" spans="1:10">
      <c r="A162" s="68"/>
      <c r="B162" s="69"/>
      <c r="C162" s="70"/>
      <c r="D162" s="71">
        <f>'17-3-26'!I162</f>
        <v>0</v>
      </c>
      <c r="E162" s="68"/>
      <c r="F162" s="69"/>
      <c r="G162" s="69"/>
      <c r="H162" s="71">
        <f t="shared" si="7"/>
        <v>0</v>
      </c>
      <c r="I162" s="71">
        <f t="shared" si="5"/>
        <v>0</v>
      </c>
      <c r="J162" s="69">
        <f t="shared" si="8"/>
        <v>0</v>
      </c>
    </row>
    <row r="163" ht="1.75" customHeight="1" spans="1:10">
      <c r="A163" s="68"/>
      <c r="B163" s="69"/>
      <c r="C163" s="70"/>
      <c r="D163" s="71">
        <f>'17-3-26'!I163</f>
        <v>0</v>
      </c>
      <c r="E163" s="68"/>
      <c r="F163" s="69"/>
      <c r="G163" s="69"/>
      <c r="H163" s="71">
        <f t="shared" si="7"/>
        <v>0</v>
      </c>
      <c r="I163" s="71">
        <f t="shared" si="5"/>
        <v>0</v>
      </c>
      <c r="J163" s="69">
        <f t="shared" si="8"/>
        <v>0</v>
      </c>
    </row>
    <row r="164" ht="1.75" customHeight="1" spans="1:10">
      <c r="A164" s="68"/>
      <c r="B164" s="69"/>
      <c r="C164" s="70"/>
      <c r="D164" s="71">
        <f>'17-3-26'!I164</f>
        <v>0</v>
      </c>
      <c r="E164" s="68"/>
      <c r="F164" s="69"/>
      <c r="G164" s="69"/>
      <c r="H164" s="71">
        <f t="shared" si="7"/>
        <v>0</v>
      </c>
      <c r="I164" s="71">
        <f t="shared" si="5"/>
        <v>0</v>
      </c>
      <c r="J164" s="69">
        <f t="shared" si="8"/>
        <v>0</v>
      </c>
    </row>
    <row r="165" ht="1.75" customHeight="1" spans="1:10">
      <c r="A165" s="68"/>
      <c r="B165" s="69"/>
      <c r="C165" s="70"/>
      <c r="D165" s="71">
        <f>'17-3-26'!I165</f>
        <v>0</v>
      </c>
      <c r="E165" s="68"/>
      <c r="F165" s="69"/>
      <c r="G165" s="69"/>
      <c r="H165" s="71">
        <f t="shared" si="7"/>
        <v>0</v>
      </c>
      <c r="I165" s="71">
        <f t="shared" si="5"/>
        <v>0</v>
      </c>
      <c r="J165" s="69">
        <f t="shared" si="8"/>
        <v>0</v>
      </c>
    </row>
    <row r="166" ht="1.75" customHeight="1" spans="1:10">
      <c r="A166" s="68"/>
      <c r="B166" s="69"/>
      <c r="C166" s="70"/>
      <c r="D166" s="71">
        <f>'17-3-26'!I166</f>
        <v>0</v>
      </c>
      <c r="E166" s="68"/>
      <c r="F166" s="69"/>
      <c r="G166" s="69"/>
      <c r="H166" s="71">
        <f t="shared" si="7"/>
        <v>0</v>
      </c>
      <c r="I166" s="71">
        <f t="shared" si="5"/>
        <v>0</v>
      </c>
      <c r="J166" s="69">
        <f t="shared" si="8"/>
        <v>0</v>
      </c>
    </row>
    <row r="167" ht="1.75" customHeight="1" spans="1:10">
      <c r="A167" s="68"/>
      <c r="B167" s="69"/>
      <c r="C167" s="70"/>
      <c r="D167" s="71">
        <f>'17-3-26'!I167</f>
        <v>0</v>
      </c>
      <c r="E167" s="68"/>
      <c r="F167" s="69"/>
      <c r="G167" s="69"/>
      <c r="H167" s="71">
        <f t="shared" si="7"/>
        <v>0</v>
      </c>
      <c r="I167" s="71">
        <f t="shared" si="5"/>
        <v>0</v>
      </c>
      <c r="J167" s="69">
        <f t="shared" si="8"/>
        <v>0</v>
      </c>
    </row>
    <row r="168" ht="1.75" customHeight="1" spans="1:10">
      <c r="A168" s="68"/>
      <c r="B168" s="69"/>
      <c r="C168" s="70"/>
      <c r="D168" s="71">
        <f>'17-3-26'!I168</f>
        <v>0</v>
      </c>
      <c r="E168" s="68"/>
      <c r="F168" s="69"/>
      <c r="G168" s="69"/>
      <c r="H168" s="71">
        <f t="shared" si="7"/>
        <v>0</v>
      </c>
      <c r="I168" s="71">
        <f t="shared" si="5"/>
        <v>0</v>
      </c>
      <c r="J168" s="69">
        <f t="shared" si="8"/>
        <v>0</v>
      </c>
    </row>
    <row r="169" ht="1.75" customHeight="1" spans="1:10">
      <c r="A169" s="68"/>
      <c r="B169" s="69"/>
      <c r="C169" s="70"/>
      <c r="D169" s="71">
        <f>'17-3-26'!I169</f>
        <v>0</v>
      </c>
      <c r="E169" s="68"/>
      <c r="F169" s="69"/>
      <c r="G169" s="69"/>
      <c r="H169" s="71">
        <f t="shared" si="7"/>
        <v>0</v>
      </c>
      <c r="I169" s="71">
        <f t="shared" si="5"/>
        <v>0</v>
      </c>
      <c r="J169" s="69">
        <f t="shared" si="8"/>
        <v>0</v>
      </c>
    </row>
    <row r="170" ht="1.75" customHeight="1" spans="1:10">
      <c r="A170" s="68"/>
      <c r="B170" s="69"/>
      <c r="C170" s="70"/>
      <c r="D170" s="71">
        <f>'17-3-26'!I170</f>
        <v>0</v>
      </c>
      <c r="E170" s="68"/>
      <c r="F170" s="69"/>
      <c r="G170" s="69"/>
      <c r="H170" s="71">
        <f t="shared" si="7"/>
        <v>0</v>
      </c>
      <c r="I170" s="71">
        <f t="shared" si="5"/>
        <v>0</v>
      </c>
      <c r="J170" s="69">
        <f t="shared" si="8"/>
        <v>0</v>
      </c>
    </row>
    <row r="171" ht="1.75" customHeight="1" spans="1:10">
      <c r="A171" s="68"/>
      <c r="B171" s="69"/>
      <c r="C171" s="70"/>
      <c r="D171" s="71">
        <f>'17-3-26'!I171</f>
        <v>0</v>
      </c>
      <c r="E171" s="68"/>
      <c r="F171" s="69"/>
      <c r="G171" s="69"/>
      <c r="H171" s="71">
        <f t="shared" si="7"/>
        <v>0</v>
      </c>
      <c r="I171" s="71">
        <f t="shared" si="5"/>
        <v>0</v>
      </c>
      <c r="J171" s="69">
        <f t="shared" si="8"/>
        <v>0</v>
      </c>
    </row>
    <row r="172" ht="1.75" customHeight="1" spans="1:10">
      <c r="A172" s="68"/>
      <c r="B172" s="69"/>
      <c r="C172" s="70"/>
      <c r="D172" s="71">
        <f>'17-3-26'!I172</f>
        <v>0</v>
      </c>
      <c r="E172" s="68"/>
      <c r="F172" s="69"/>
      <c r="G172" s="69"/>
      <c r="H172" s="71">
        <f t="shared" si="7"/>
        <v>0</v>
      </c>
      <c r="I172" s="71">
        <f t="shared" si="5"/>
        <v>0</v>
      </c>
      <c r="J172" s="69">
        <f t="shared" si="8"/>
        <v>0</v>
      </c>
    </row>
    <row r="173" ht="1.75" customHeight="1" spans="1:10">
      <c r="A173" s="68"/>
      <c r="B173" s="69"/>
      <c r="C173" s="70"/>
      <c r="D173" s="71">
        <f>'17-3-26'!I173</f>
        <v>0</v>
      </c>
      <c r="E173" s="68"/>
      <c r="F173" s="69"/>
      <c r="G173" s="69"/>
      <c r="H173" s="71">
        <f t="shared" si="7"/>
        <v>0</v>
      </c>
      <c r="I173" s="71">
        <f t="shared" si="5"/>
        <v>0</v>
      </c>
      <c r="J173" s="69">
        <f t="shared" si="8"/>
        <v>0</v>
      </c>
    </row>
    <row r="174" ht="1.75" customHeight="1" spans="1:10">
      <c r="A174" s="68"/>
      <c r="B174" s="69"/>
      <c r="C174" s="70"/>
      <c r="D174" s="71">
        <f>'17-3-26'!I174</f>
        <v>0</v>
      </c>
      <c r="E174" s="68"/>
      <c r="F174" s="69"/>
      <c r="G174" s="69"/>
      <c r="H174" s="71">
        <f t="shared" si="7"/>
        <v>0</v>
      </c>
      <c r="I174" s="71">
        <f t="shared" si="5"/>
        <v>0</v>
      </c>
      <c r="J174" s="69">
        <f t="shared" si="8"/>
        <v>0</v>
      </c>
    </row>
    <row r="175" ht="1.75" customHeight="1" spans="1:10">
      <c r="A175" s="68"/>
      <c r="B175" s="69"/>
      <c r="C175" s="70"/>
      <c r="D175" s="71">
        <f>'17-3-26'!I175</f>
        <v>0</v>
      </c>
      <c r="E175" s="68"/>
      <c r="F175" s="69"/>
      <c r="G175" s="69"/>
      <c r="H175" s="71">
        <f t="shared" si="7"/>
        <v>0</v>
      </c>
      <c r="I175" s="71">
        <f t="shared" si="5"/>
        <v>0</v>
      </c>
      <c r="J175" s="69">
        <f t="shared" si="8"/>
        <v>0</v>
      </c>
    </row>
    <row r="176" ht="1.75" customHeight="1" spans="1:10">
      <c r="A176" s="68"/>
      <c r="B176" s="69"/>
      <c r="C176" s="70"/>
      <c r="D176" s="71">
        <f>'17-3-26'!I176</f>
        <v>0</v>
      </c>
      <c r="E176" s="68"/>
      <c r="F176" s="69"/>
      <c r="G176" s="69"/>
      <c r="H176" s="71">
        <f t="shared" si="7"/>
        <v>0</v>
      </c>
      <c r="I176" s="71">
        <f t="shared" si="5"/>
        <v>0</v>
      </c>
      <c r="J176" s="69">
        <f t="shared" si="8"/>
        <v>0</v>
      </c>
    </row>
    <row r="177" ht="1.75" customHeight="1" spans="1:11">
      <c r="A177" s="68"/>
      <c r="B177" s="69"/>
      <c r="C177" s="70"/>
      <c r="D177" s="71">
        <f>'17-3-26'!I177</f>
        <v>0</v>
      </c>
      <c r="E177" s="68"/>
      <c r="F177" s="69"/>
      <c r="G177" s="69"/>
      <c r="H177" s="71">
        <f t="shared" si="7"/>
        <v>0</v>
      </c>
      <c r="I177" s="71">
        <f t="shared" si="5"/>
        <v>0</v>
      </c>
      <c r="J177" s="69">
        <f t="shared" si="8"/>
        <v>0</v>
      </c>
    </row>
    <row r="178" ht="1.75" customHeight="1" spans="1:11">
      <c r="A178" s="68"/>
      <c r="B178" s="69"/>
      <c r="C178" s="70"/>
      <c r="D178" s="71">
        <f>'17-3-26'!I178</f>
        <v>0</v>
      </c>
      <c r="E178" s="68"/>
      <c r="F178" s="69"/>
      <c r="G178" s="69"/>
      <c r="H178" s="71">
        <f t="shared" si="7"/>
        <v>0</v>
      </c>
      <c r="I178" s="71">
        <f t="shared" si="5"/>
        <v>0</v>
      </c>
      <c r="J178" s="69">
        <f t="shared" si="8"/>
        <v>0</v>
      </c>
    </row>
    <row r="179" ht="1.75" customHeight="1" spans="1:11">
      <c r="A179" s="68"/>
      <c r="B179" s="69"/>
      <c r="C179" s="70"/>
      <c r="D179" s="71">
        <f>'17-3-26'!I179</f>
        <v>0</v>
      </c>
      <c r="E179" s="68"/>
      <c r="F179" s="69"/>
      <c r="G179" s="69"/>
      <c r="H179" s="71">
        <f t="shared" si="7"/>
        <v>0</v>
      </c>
      <c r="I179" s="71">
        <f t="shared" si="5"/>
        <v>0</v>
      </c>
      <c r="J179" s="69">
        <f t="shared" si="8"/>
        <v>0</v>
      </c>
    </row>
    <row r="180" ht="1.75" customHeight="1" spans="1:11">
      <c r="A180" s="68"/>
      <c r="B180" s="69"/>
      <c r="C180" s="70"/>
      <c r="D180" s="71">
        <f>'17-3-26'!I180</f>
        <v>0</v>
      </c>
      <c r="E180" s="68"/>
      <c r="F180" s="69"/>
      <c r="G180" s="69"/>
      <c r="H180" s="71">
        <f t="shared" si="7"/>
        <v>0</v>
      </c>
      <c r="I180" s="71">
        <f t="shared" si="5"/>
        <v>0</v>
      </c>
      <c r="J180" s="69">
        <f t="shared" si="8"/>
        <v>0</v>
      </c>
    </row>
    <row r="181" ht="1.75" customHeight="1" spans="1:11">
      <c r="A181" s="68"/>
      <c r="B181" s="69"/>
      <c r="C181" s="70"/>
      <c r="D181" s="71">
        <f>'17-3-26'!I181</f>
        <v>0</v>
      </c>
      <c r="E181" s="68"/>
      <c r="F181" s="69"/>
      <c r="G181" s="69"/>
      <c r="H181" s="71">
        <f t="shared" si="7"/>
        <v>0</v>
      </c>
      <c r="I181" s="71">
        <f t="shared" si="5"/>
        <v>0</v>
      </c>
      <c r="J181" s="69">
        <f t="shared" si="8"/>
        <v>0</v>
      </c>
    </row>
    <row r="182" ht="1.75" customHeight="1" spans="1:11">
      <c r="A182" s="68"/>
      <c r="B182" s="69"/>
      <c r="C182" s="70"/>
      <c r="D182" s="71">
        <f>'17-3-26'!I182</f>
        <v>0</v>
      </c>
      <c r="E182" s="68"/>
      <c r="F182" s="69"/>
      <c r="G182" s="69"/>
      <c r="H182" s="71">
        <f t="shared" si="7"/>
        <v>0</v>
      </c>
      <c r="I182" s="71">
        <f t="shared" si="5"/>
        <v>0</v>
      </c>
      <c r="J182" s="69">
        <f t="shared" si="8"/>
        <v>0</v>
      </c>
    </row>
    <row r="183" ht="1.75" customHeight="1" spans="1:11">
      <c r="A183" s="68"/>
      <c r="B183" s="69"/>
      <c r="C183" s="70"/>
      <c r="D183" s="71">
        <f>'17-3-26'!I183</f>
        <v>0</v>
      </c>
      <c r="E183" s="68"/>
      <c r="F183" s="69"/>
      <c r="G183" s="69"/>
      <c r="H183" s="71">
        <f t="shared" si="7"/>
        <v>0</v>
      </c>
      <c r="I183" s="71">
        <f t="shared" si="5"/>
        <v>0</v>
      </c>
      <c r="J183" s="69">
        <f t="shared" si="8"/>
        <v>0</v>
      </c>
    </row>
    <row r="184" ht="1.75" customHeight="1" spans="1:11">
      <c r="A184" s="68"/>
      <c r="B184" s="69"/>
      <c r="C184" s="70"/>
      <c r="D184" s="71">
        <f>'17-3-26'!I184</f>
        <v>0</v>
      </c>
      <c r="E184" s="68"/>
      <c r="F184" s="69"/>
      <c r="G184" s="69"/>
      <c r="H184" s="71">
        <f t="shared" si="7"/>
        <v>0</v>
      </c>
      <c r="I184" s="71">
        <f t="shared" si="5"/>
        <v>0</v>
      </c>
      <c r="J184" s="69">
        <f t="shared" si="8"/>
        <v>0</v>
      </c>
    </row>
    <row r="185" ht="12.75" customHeight="1" spans="1:11">
      <c r="A185" s="68"/>
      <c r="B185" s="69"/>
      <c r="C185" s="70"/>
      <c r="D185" s="71">
        <f>'17-3-26'!I185</f>
        <v>0</v>
      </c>
      <c r="E185" s="68"/>
      <c r="F185" s="69"/>
      <c r="G185" s="69"/>
      <c r="H185" s="71">
        <f t="shared" si="7"/>
        <v>0</v>
      </c>
      <c r="I185" s="71">
        <f t="shared" si="5"/>
        <v>0</v>
      </c>
      <c r="J185" s="69">
        <f t="shared" si="8"/>
        <v>0</v>
      </c>
    </row>
    <row r="186" ht="12.75" customHeight="1" spans="1:11">
      <c r="A186" s="68"/>
      <c r="B186" s="69"/>
      <c r="C186" s="70"/>
      <c r="D186" s="71">
        <f>'17-3-26'!I186</f>
        <v>0</v>
      </c>
      <c r="E186" s="68"/>
      <c r="F186" s="69"/>
      <c r="G186" s="69"/>
      <c r="H186" s="71">
        <f t="shared" si="7"/>
        <v>0</v>
      </c>
      <c r="I186" s="71">
        <f t="shared" si="5"/>
        <v>0</v>
      </c>
      <c r="J186" s="69">
        <f t="shared" si="8"/>
        <v>0</v>
      </c>
    </row>
    <row r="187" ht="12.75" spans="1:11">
      <c r="A187" s="68"/>
      <c r="B187" s="69"/>
      <c r="C187" s="74"/>
      <c r="D187" s="71">
        <f>'17-3-26'!I187</f>
        <v>0</v>
      </c>
      <c r="E187" s="68"/>
      <c r="F187" s="69"/>
      <c r="G187" s="69"/>
      <c r="H187" s="71">
        <f t="shared" si="7"/>
        <v>0</v>
      </c>
      <c r="I187" s="71">
        <f t="shared" si="5"/>
        <v>0</v>
      </c>
      <c r="J187" s="69">
        <f t="shared" si="8"/>
        <v>0</v>
      </c>
    </row>
    <row r="188" ht="11.25" spans="1:11">
      <c r="A188" s="75"/>
      <c r="B188" s="76" t="s">
        <v>124</v>
      </c>
      <c r="C188" s="77"/>
      <c r="D188" s="78">
        <f>SUM(D9:D187)</f>
        <v>465137000</v>
      </c>
      <c r="E188" s="79">
        <f t="shared" ref="E188:J188" si="9">SUM(E9:E187)</f>
        <v>63</v>
      </c>
      <c r="F188" s="78">
        <f t="shared" si="9"/>
        <v>2635000</v>
      </c>
      <c r="G188" s="78">
        <f t="shared" si="9"/>
        <v>1210000</v>
      </c>
      <c r="H188" s="78">
        <f t="shared" si="9"/>
        <v>3845000</v>
      </c>
      <c r="I188" s="78">
        <f t="shared" si="9"/>
        <v>462502000</v>
      </c>
      <c r="J188" s="78">
        <f t="shared" si="9"/>
        <v>121000</v>
      </c>
    </row>
    <row r="189" ht="12.75" spans="1:11">
      <c r="A189" s="80"/>
      <c r="B189" s="80"/>
      <c r="C189" s="81"/>
    </row>
    <row r="190" customHeight="1" spans="1:11">
      <c r="A190" s="82"/>
      <c r="B190" s="80" t="s">
        <v>125</v>
      </c>
      <c r="C190" s="83" t="s">
        <v>126</v>
      </c>
      <c r="D190" s="84"/>
      <c r="K190" s="82"/>
    </row>
    <row r="191" customHeight="1" spans="1:11">
      <c r="A191" s="82"/>
      <c r="B191" s="80" t="s">
        <v>127</v>
      </c>
      <c r="C191" s="83" t="s">
        <v>128</v>
      </c>
      <c r="D191" s="80">
        <f>G188</f>
        <v>1210000</v>
      </c>
      <c r="F191" s="129" t="s">
        <v>181</v>
      </c>
      <c r="G191" s="80"/>
      <c r="H191" s="80"/>
      <c r="I191" s="80"/>
      <c r="K191" s="82"/>
    </row>
    <row r="192" customHeight="1" spans="1:11">
      <c r="A192" s="82"/>
      <c r="B192" s="80" t="s">
        <v>130</v>
      </c>
      <c r="C192" s="83" t="s">
        <v>128</v>
      </c>
      <c r="D192" s="80">
        <f>D191/20</f>
        <v>60500</v>
      </c>
      <c r="F192" s="80" t="s">
        <v>131</v>
      </c>
      <c r="G192" s="80"/>
      <c r="H192" s="80"/>
      <c r="I192" s="80"/>
      <c r="K192" s="82"/>
    </row>
    <row r="193" customHeight="1" spans="1:11">
      <c r="A193" s="82"/>
      <c r="B193" s="80" t="s">
        <v>132</v>
      </c>
      <c r="C193" s="83" t="s">
        <v>133</v>
      </c>
      <c r="D193" s="80"/>
      <c r="F193" s="80" t="s">
        <v>134</v>
      </c>
      <c r="G193" s="86"/>
      <c r="H193" s="80" t="s">
        <v>135</v>
      </c>
      <c r="K193" s="82"/>
    </row>
    <row r="194" customHeight="1" spans="1:11">
      <c r="A194" s="82"/>
      <c r="B194" s="80" t="s">
        <v>136</v>
      </c>
      <c r="C194" s="83" t="s">
        <v>128</v>
      </c>
      <c r="D194" s="80">
        <f>11*D192</f>
        <v>665500</v>
      </c>
      <c r="F194" s="80"/>
      <c r="G194" s="86"/>
      <c r="H194" s="80"/>
      <c r="K194" s="82"/>
    </row>
    <row r="195" customHeight="1" spans="1:11">
      <c r="A195" s="82"/>
      <c r="B195" s="80" t="s">
        <v>137</v>
      </c>
      <c r="C195" s="83" t="s">
        <v>128</v>
      </c>
      <c r="D195" s="80">
        <f>1/2*D192</f>
        <v>30250</v>
      </c>
      <c r="F195" s="80"/>
      <c r="G195" s="86"/>
      <c r="H195" s="80"/>
      <c r="K195" s="82"/>
    </row>
    <row r="196" customHeight="1" spans="1:11">
      <c r="A196" s="82"/>
      <c r="B196" s="80" t="s">
        <v>138</v>
      </c>
      <c r="C196" s="83" t="s">
        <v>128</v>
      </c>
      <c r="D196" s="80">
        <f>1/2*D192</f>
        <v>30250</v>
      </c>
      <c r="F196" s="80"/>
      <c r="G196" s="86"/>
      <c r="H196" s="80"/>
      <c r="K196" s="82"/>
    </row>
    <row r="197" customHeight="1" spans="1:11">
      <c r="B197" s="80" t="s">
        <v>139</v>
      </c>
      <c r="C197" s="83" t="s">
        <v>128</v>
      </c>
      <c r="D197" s="80">
        <f>1/2*D192</f>
        <v>30250</v>
      </c>
      <c r="F197" s="80"/>
      <c r="G197" s="86"/>
      <c r="H197" s="80"/>
    </row>
    <row r="198" customHeight="1" spans="1:11">
      <c r="B198" s="80" t="s">
        <v>140</v>
      </c>
      <c r="C198" s="83" t="s">
        <v>128</v>
      </c>
      <c r="D198" s="80">
        <f>1/2*D192</f>
        <v>30250</v>
      </c>
      <c r="F198" s="80" t="s">
        <v>141</v>
      </c>
      <c r="G198" s="86"/>
      <c r="H198" s="80" t="s">
        <v>142</v>
      </c>
    </row>
    <row r="199" customHeight="1" spans="1:11">
      <c r="B199" s="80" t="s">
        <v>10</v>
      </c>
      <c r="C199" s="83" t="s">
        <v>128</v>
      </c>
      <c r="D199" s="80">
        <f>2*D192</f>
        <v>121000</v>
      </c>
      <c r="G199" s="80"/>
      <c r="H199" s="80"/>
      <c r="I199" s="80"/>
    </row>
    <row r="200" customHeight="1" spans="1:11">
      <c r="B200" s="80" t="s">
        <v>143</v>
      </c>
      <c r="C200" s="83" t="s">
        <v>128</v>
      </c>
      <c r="D200" s="80">
        <f>5*D192</f>
        <v>302500</v>
      </c>
    </row>
    <row r="201" customHeight="1" spans="1:11">
      <c r="B201" s="87" t="s">
        <v>124</v>
      </c>
      <c r="C201" s="88" t="s">
        <v>128</v>
      </c>
      <c r="D201" s="87">
        <f>SUM(D194:D200)</f>
        <v>1210000</v>
      </c>
    </row>
    <row r="206" ht="12.75" spans="1:11">
      <c r="D206" s="89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1.2" right="0.2" top="0.75" bottom="2.24930555555556" header="0.3" footer="0.3"/>
  <pageSetup paperSize="5" orientation="portrait" horizontalDpi="600"/>
  <headerFooter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6"/>
  <sheetViews>
    <sheetView topLeftCell="A185" workbookViewId="0">
      <selection activeCell="N205" sqref="N205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9" style="46" customWidth="1"/>
    <col min="4" max="4" width="10.5714285714286" style="45" customWidth="1"/>
    <col min="5" max="5" width="5" style="47" customWidth="1"/>
    <col min="6" max="6" width="8.28571428571429" style="45" customWidth="1"/>
    <col min="7" max="7" width="9.85714285714286" style="45" customWidth="1"/>
    <col min="8" max="8" width="10" style="45" customWidth="1"/>
    <col min="9" max="9" width="10.5714285714286" style="45" customWidth="1"/>
    <col min="10" max="10" width="7.14285714285714" style="45" customWidth="1"/>
    <col min="11" max="16384" width="9.14285714285714" style="45"/>
  </cols>
  <sheetData>
    <row r="1" ht="11.25" spans="1:17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7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ht="13.5" spans="1:17">
      <c r="A3" s="50" t="s">
        <v>2</v>
      </c>
      <c r="B3" s="50"/>
      <c r="C3" s="50"/>
      <c r="D3" s="50"/>
      <c r="E3" s="50"/>
      <c r="F3" s="50"/>
      <c r="G3" s="50"/>
      <c r="H3" s="90"/>
      <c r="I3" s="90"/>
      <c r="J3" s="90"/>
    </row>
    <row r="4" ht="12.75" spans="1:17">
      <c r="A4" s="51"/>
      <c r="B4" s="51"/>
      <c r="C4" s="52"/>
      <c r="D4" s="53"/>
      <c r="E4" s="54"/>
      <c r="F4" s="53"/>
      <c r="G4" s="53"/>
    </row>
    <row r="5" ht="11.25" spans="1:17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ht="12.75" spans="1:17">
      <c r="A6" s="55" t="s">
        <v>182</v>
      </c>
      <c r="B6" s="55"/>
      <c r="C6" s="55"/>
      <c r="D6" s="55"/>
      <c r="E6" s="55"/>
      <c r="F6" s="55"/>
      <c r="G6" s="55"/>
      <c r="H6" s="55"/>
      <c r="I6" s="55"/>
      <c r="J6" s="55"/>
      <c r="Q6" s="91"/>
    </row>
    <row r="7" ht="15" customHeight="1" spans="1:17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ht="12.75" spans="1:17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ht="12.75" spans="1:17">
      <c r="A9" s="68">
        <v>1</v>
      </c>
      <c r="B9" s="69" t="s">
        <v>15</v>
      </c>
      <c r="C9" s="127" t="s">
        <v>16</v>
      </c>
      <c r="D9" s="71">
        <f>'24-3-26'!I9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67" si="1">D9-F9</f>
        <v>5500000</v>
      </c>
      <c r="J9" s="69">
        <f t="shared" ref="J9:J72" si="2">1/10*G9</f>
        <v>0</v>
      </c>
    </row>
    <row r="10" ht="12.75" spans="1:17">
      <c r="A10" s="68">
        <v>2</v>
      </c>
      <c r="B10" s="69" t="s">
        <v>17</v>
      </c>
      <c r="C10" s="127" t="s">
        <v>18</v>
      </c>
      <c r="D10" s="71">
        <f>'24-3-26'!I10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ht="12.75" spans="1:17">
      <c r="A11" s="68">
        <v>3</v>
      </c>
      <c r="B11" s="69" t="s">
        <v>19</v>
      </c>
      <c r="C11" s="127" t="s">
        <v>20</v>
      </c>
      <c r="D11" s="71">
        <f>'24-3-26'!I11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ht="12.75" spans="1:17">
      <c r="A12" s="68">
        <v>4</v>
      </c>
      <c r="B12" s="69" t="s">
        <v>21</v>
      </c>
      <c r="C12" s="127" t="s">
        <v>22</v>
      </c>
      <c r="D12" s="71">
        <f>'24-3-26'!I12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ht="12.75" spans="1:17">
      <c r="A13" s="68">
        <v>5</v>
      </c>
      <c r="B13" s="69" t="s">
        <v>23</v>
      </c>
      <c r="C13" s="127" t="s">
        <v>24</v>
      </c>
      <c r="D13" s="71">
        <f>'24-3-26'!I13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ht="12.75" spans="1:17">
      <c r="A14" s="68">
        <v>6</v>
      </c>
      <c r="B14" s="69" t="s">
        <v>25</v>
      </c>
      <c r="C14" s="127" t="s">
        <v>26</v>
      </c>
      <c r="D14" s="71">
        <f>'24-3-26'!I14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ht="12.75" spans="1:17">
      <c r="A15" s="68">
        <v>7</v>
      </c>
      <c r="B15" s="69" t="s">
        <v>27</v>
      </c>
      <c r="C15" s="127" t="s">
        <v>28</v>
      </c>
      <c r="D15" s="71">
        <f>'24-3-26'!I15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ht="12.75" spans="1:17">
      <c r="A16" s="68">
        <v>8</v>
      </c>
      <c r="B16" s="69" t="s">
        <v>29</v>
      </c>
      <c r="C16" s="127" t="s">
        <v>30</v>
      </c>
      <c r="D16" s="71">
        <f>'24-3-26'!I16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ht="12.75" spans="1:10">
      <c r="A17" s="68">
        <v>9</v>
      </c>
      <c r="B17" s="69" t="s">
        <v>31</v>
      </c>
      <c r="C17" s="128" t="s">
        <v>32</v>
      </c>
      <c r="D17" s="71">
        <f>'24-3-26'!I17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ht="12.75" spans="1:10">
      <c r="A18" s="68">
        <v>10</v>
      </c>
      <c r="B18" s="69" t="s">
        <v>33</v>
      </c>
      <c r="C18" s="128" t="s">
        <v>34</v>
      </c>
      <c r="D18" s="71">
        <f>'24-3-26'!I18</f>
        <v>12595000</v>
      </c>
      <c r="E18" s="68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ht="12.75" spans="1:10">
      <c r="A19" s="68">
        <v>11</v>
      </c>
      <c r="B19" s="69" t="s">
        <v>35</v>
      </c>
      <c r="C19" s="128" t="s">
        <v>36</v>
      </c>
      <c r="D19" s="71">
        <f>'24-3-26'!I19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ht="12.75" spans="1:10">
      <c r="A20" s="68">
        <v>12</v>
      </c>
      <c r="B20" s="69" t="s">
        <v>37</v>
      </c>
      <c r="C20" s="128" t="s">
        <v>38</v>
      </c>
      <c r="D20" s="71">
        <f>'24-3-26'!I20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ht="12.75" spans="1:10">
      <c r="A21" s="68">
        <v>13</v>
      </c>
      <c r="B21" s="69" t="s">
        <v>39</v>
      </c>
      <c r="C21" s="128" t="s">
        <v>40</v>
      </c>
      <c r="D21" s="71">
        <f>'24-3-26'!I21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ht="12.75" spans="1:10">
      <c r="A22" s="68">
        <v>14</v>
      </c>
      <c r="B22" s="69" t="s">
        <v>41</v>
      </c>
      <c r="C22" s="128" t="s">
        <v>42</v>
      </c>
      <c r="D22" s="71">
        <f>'24-3-26'!I22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ht="12.75" spans="1:10">
      <c r="A23" s="68">
        <v>15</v>
      </c>
      <c r="B23" s="69" t="s">
        <v>43</v>
      </c>
      <c r="C23" s="128" t="s">
        <v>42</v>
      </c>
      <c r="D23" s="71">
        <f>'24-3-26'!I23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ht="12.75" spans="1:10">
      <c r="A24" s="68">
        <v>16</v>
      </c>
      <c r="B24" s="69" t="s">
        <v>44</v>
      </c>
      <c r="C24" s="128" t="s">
        <v>42</v>
      </c>
      <c r="D24" s="71">
        <f>'24-3-26'!I24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ht="12.75" spans="1:10">
      <c r="A25" s="68">
        <v>17</v>
      </c>
      <c r="B25" s="69" t="s">
        <v>45</v>
      </c>
      <c r="C25" s="128" t="s">
        <v>46</v>
      </c>
      <c r="D25" s="71">
        <f>'24-3-26'!I25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ht="12.75" spans="1:10">
      <c r="A26" s="68">
        <v>18</v>
      </c>
      <c r="B26" s="69" t="s">
        <v>47</v>
      </c>
      <c r="C26" s="128" t="s">
        <v>48</v>
      </c>
      <c r="D26" s="71">
        <f>'24-3-26'!I26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ht="12.75" spans="1:10">
      <c r="A27" s="68">
        <v>19</v>
      </c>
      <c r="B27" s="69" t="s">
        <v>49</v>
      </c>
      <c r="C27" s="128" t="s">
        <v>50</v>
      </c>
      <c r="D27" s="71">
        <f>'24-3-26'!I27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ht="12.75" spans="1:10">
      <c r="A28" s="68">
        <v>20</v>
      </c>
      <c r="B28" s="69" t="s">
        <v>51</v>
      </c>
      <c r="C28" s="128" t="s">
        <v>52</v>
      </c>
      <c r="D28" s="71">
        <f>'24-3-26'!I28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ht="12.75" spans="1:10">
      <c r="A29" s="68">
        <v>21</v>
      </c>
      <c r="B29" s="69" t="s">
        <v>53</v>
      </c>
      <c r="C29" s="128" t="s">
        <v>54</v>
      </c>
      <c r="D29" s="71">
        <f>'24-3-26'!I29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ht="12.75" spans="1:10">
      <c r="A30" s="68">
        <v>22</v>
      </c>
      <c r="B30" s="69" t="s">
        <v>55</v>
      </c>
      <c r="C30" s="128" t="s">
        <v>56</v>
      </c>
      <c r="D30" s="71">
        <f>'24-3-26'!I30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ht="12.75" spans="1:10">
      <c r="A31" s="68">
        <v>23</v>
      </c>
      <c r="B31" s="69" t="s">
        <v>57</v>
      </c>
      <c r="C31" s="128" t="s">
        <v>58</v>
      </c>
      <c r="D31" s="71">
        <f>'24-3-26'!I31</f>
        <v>1000000</v>
      </c>
      <c r="E31" s="68">
        <v>17</v>
      </c>
      <c r="F31" s="69">
        <v>250000</v>
      </c>
      <c r="G31" s="69">
        <v>100000</v>
      </c>
      <c r="H31" s="71">
        <f t="shared" si="0"/>
        <v>350000</v>
      </c>
      <c r="I31" s="71">
        <f t="shared" si="1"/>
        <v>750000</v>
      </c>
      <c r="J31" s="69">
        <f t="shared" si="2"/>
        <v>10000</v>
      </c>
    </row>
    <row r="32" ht="12.75" spans="1:10">
      <c r="A32" s="68">
        <v>24</v>
      </c>
      <c r="B32" s="69" t="s">
        <v>59</v>
      </c>
      <c r="C32" s="128" t="s">
        <v>58</v>
      </c>
      <c r="D32" s="71">
        <f>'24-3-26'!I32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ht="12.75" spans="1:10">
      <c r="A33" s="68">
        <v>25</v>
      </c>
      <c r="B33" s="69" t="s">
        <v>60</v>
      </c>
      <c r="C33" s="127" t="s">
        <v>61</v>
      </c>
      <c r="D33" s="71">
        <f>'24-3-26'!I33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ht="12.75" spans="1:10">
      <c r="A34" s="68">
        <v>26</v>
      </c>
      <c r="B34" s="69" t="s">
        <v>62</v>
      </c>
      <c r="C34" s="127" t="s">
        <v>63</v>
      </c>
      <c r="D34" s="71">
        <f>'24-3-26'!I34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ht="12.75" spans="1:10">
      <c r="A35" s="68">
        <v>27</v>
      </c>
      <c r="B35" s="69" t="s">
        <v>64</v>
      </c>
      <c r="C35" s="127" t="s">
        <v>63</v>
      </c>
      <c r="D35" s="71">
        <f>'24-3-26'!I35</f>
        <v>3500000</v>
      </c>
      <c r="E35" s="68"/>
      <c r="F35" s="69"/>
      <c r="G35" s="69"/>
      <c r="H35" s="71">
        <f t="shared" si="0"/>
        <v>0</v>
      </c>
      <c r="I35" s="71">
        <f t="shared" si="1"/>
        <v>3500000</v>
      </c>
      <c r="J35" s="69">
        <f t="shared" si="2"/>
        <v>0</v>
      </c>
    </row>
    <row r="36" ht="12.75" spans="1:10">
      <c r="A36" s="68">
        <v>28</v>
      </c>
      <c r="B36" s="69" t="s">
        <v>65</v>
      </c>
      <c r="C36" s="127" t="s">
        <v>66</v>
      </c>
      <c r="D36" s="71">
        <f>'24-3-26'!I36</f>
        <v>7800000</v>
      </c>
      <c r="E36" s="68"/>
      <c r="F36" s="69"/>
      <c r="G36" s="69"/>
      <c r="H36" s="71">
        <f t="shared" si="0"/>
        <v>0</v>
      </c>
      <c r="I36" s="71">
        <f t="shared" si="1"/>
        <v>7800000</v>
      </c>
      <c r="J36" s="69">
        <f t="shared" si="2"/>
        <v>0</v>
      </c>
    </row>
    <row r="37" ht="12.75" spans="1:10">
      <c r="A37" s="68">
        <v>29</v>
      </c>
      <c r="B37" s="69" t="s">
        <v>67</v>
      </c>
      <c r="C37" s="127" t="s">
        <v>68</v>
      </c>
      <c r="D37" s="71">
        <f>'24-3-26'!I37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ht="12.75" spans="1:10">
      <c r="A38" s="68">
        <v>30</v>
      </c>
      <c r="B38" s="69" t="s">
        <v>69</v>
      </c>
      <c r="C38" s="127" t="s">
        <v>70</v>
      </c>
      <c r="D38" s="71">
        <f>'24-3-26'!I38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ht="12.75" spans="1:10">
      <c r="A39" s="68">
        <v>31</v>
      </c>
      <c r="B39" s="69" t="s">
        <v>71</v>
      </c>
      <c r="C39" s="127" t="s">
        <v>72</v>
      </c>
      <c r="D39" s="71">
        <f>'24-3-26'!I39</f>
        <v>14320000</v>
      </c>
      <c r="E39" s="68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ht="12.75" spans="1:10">
      <c r="A40" s="68">
        <v>32</v>
      </c>
      <c r="B40" s="69" t="s">
        <v>73</v>
      </c>
      <c r="C40" s="127" t="s">
        <v>74</v>
      </c>
      <c r="D40" s="71">
        <f>'24-3-26'!I40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ht="12.75" spans="1:10">
      <c r="A41" s="68">
        <v>33</v>
      </c>
      <c r="B41" s="69" t="s">
        <v>75</v>
      </c>
      <c r="C41" s="127" t="s">
        <v>76</v>
      </c>
      <c r="D41" s="71">
        <f>'24-3-26'!I41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ht="12.75" spans="1:10">
      <c r="A42" s="68">
        <v>34</v>
      </c>
      <c r="B42" s="69" t="s">
        <v>77</v>
      </c>
      <c r="C42" s="127" t="s">
        <v>78</v>
      </c>
      <c r="D42" s="71">
        <f>'24-3-26'!I42</f>
        <v>1200000</v>
      </c>
      <c r="E42" s="68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ht="12.75" spans="1:10">
      <c r="A43" s="68">
        <v>35</v>
      </c>
      <c r="B43" s="69" t="s">
        <v>79</v>
      </c>
      <c r="C43" s="127" t="s">
        <v>80</v>
      </c>
      <c r="D43" s="71">
        <f>'24-3-26'!I43</f>
        <v>5250000</v>
      </c>
      <c r="E43" s="68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ht="12.75" spans="1:10">
      <c r="A44" s="68">
        <v>36</v>
      </c>
      <c r="B44" s="69" t="s">
        <v>81</v>
      </c>
      <c r="C44" s="127" t="s">
        <v>82</v>
      </c>
      <c r="D44" s="71">
        <f>'24-3-26'!I44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ht="12.75" spans="1:10">
      <c r="A45" s="68">
        <v>37</v>
      </c>
      <c r="B45" s="69" t="s">
        <v>83</v>
      </c>
      <c r="C45" s="70" t="s">
        <v>84</v>
      </c>
      <c r="D45" s="71">
        <f>'24-3-26'!I45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ht="12.75" spans="1:10">
      <c r="A46" s="68">
        <v>38</v>
      </c>
      <c r="B46" s="69" t="s">
        <v>85</v>
      </c>
      <c r="C46" s="127" t="s">
        <v>86</v>
      </c>
      <c r="D46" s="71">
        <f>'24-3-26'!I46</f>
        <v>300000</v>
      </c>
      <c r="E46" s="68"/>
      <c r="F46" s="69"/>
      <c r="G46" s="69"/>
      <c r="H46" s="71">
        <f t="shared" si="0"/>
        <v>0</v>
      </c>
      <c r="I46" s="71">
        <f t="shared" si="1"/>
        <v>300000</v>
      </c>
      <c r="J46" s="69">
        <f t="shared" si="2"/>
        <v>0</v>
      </c>
    </row>
    <row r="47" ht="12.75" spans="1:10">
      <c r="A47" s="68">
        <v>39</v>
      </c>
      <c r="B47" s="69" t="s">
        <v>87</v>
      </c>
      <c r="C47" s="127" t="s">
        <v>88</v>
      </c>
      <c r="D47" s="71">
        <f>'24-3-26'!I47</f>
        <v>9300000</v>
      </c>
      <c r="E47" s="68"/>
      <c r="F47" s="69"/>
      <c r="G47" s="69"/>
      <c r="H47" s="71">
        <f t="shared" si="0"/>
        <v>0</v>
      </c>
      <c r="I47" s="71">
        <f t="shared" si="1"/>
        <v>9300000</v>
      </c>
      <c r="J47" s="69">
        <f t="shared" si="2"/>
        <v>0</v>
      </c>
    </row>
    <row r="48" ht="12.75" spans="1:10">
      <c r="A48" s="68">
        <v>40</v>
      </c>
      <c r="B48" s="69" t="s">
        <v>89</v>
      </c>
      <c r="C48" s="127" t="s">
        <v>88</v>
      </c>
      <c r="D48" s="71">
        <f>'24-3-26'!I48</f>
        <v>800000</v>
      </c>
      <c r="E48" s="68"/>
      <c r="F48" s="69"/>
      <c r="G48" s="69"/>
      <c r="H48" s="71">
        <f t="shared" si="0"/>
        <v>0</v>
      </c>
      <c r="I48" s="71">
        <f t="shared" si="1"/>
        <v>800000</v>
      </c>
      <c r="J48" s="69">
        <f t="shared" si="2"/>
        <v>0</v>
      </c>
    </row>
    <row r="49" ht="12.75" spans="1:10">
      <c r="A49" s="68">
        <v>41</v>
      </c>
      <c r="B49" s="69" t="s">
        <v>90</v>
      </c>
      <c r="C49" s="127" t="s">
        <v>91</v>
      </c>
      <c r="D49" s="71">
        <f>'24-3-26'!I49</f>
        <v>9600000</v>
      </c>
      <c r="E49" s="68"/>
      <c r="F49" s="69"/>
      <c r="G49" s="69"/>
      <c r="H49" s="71">
        <f t="shared" si="0"/>
        <v>0</v>
      </c>
      <c r="I49" s="71">
        <f t="shared" si="1"/>
        <v>9600000</v>
      </c>
      <c r="J49" s="69">
        <f t="shared" si="2"/>
        <v>0</v>
      </c>
    </row>
    <row r="50" ht="12.75" spans="1:10">
      <c r="A50" s="68">
        <v>42</v>
      </c>
      <c r="B50" s="69" t="s">
        <v>92</v>
      </c>
      <c r="C50" s="127" t="s">
        <v>93</v>
      </c>
      <c r="D50" s="71">
        <f>'24-3-26'!I50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ht="12.75" spans="1:10">
      <c r="A51" s="68">
        <v>43</v>
      </c>
      <c r="B51" s="69" t="s">
        <v>94</v>
      </c>
      <c r="C51" s="70" t="s">
        <v>95</v>
      </c>
      <c r="D51" s="71">
        <f>'24-3-26'!I51</f>
        <v>15700000</v>
      </c>
      <c r="E51" s="68"/>
      <c r="F51" s="69"/>
      <c r="G51" s="69">
        <v>400000</v>
      </c>
      <c r="H51" s="71">
        <f t="shared" si="0"/>
        <v>400000</v>
      </c>
      <c r="I51" s="71">
        <f t="shared" si="1"/>
        <v>15700000</v>
      </c>
      <c r="J51" s="69">
        <f t="shared" si="2"/>
        <v>40000</v>
      </c>
    </row>
    <row r="52" ht="12.75" spans="1:10">
      <c r="A52" s="68">
        <v>44</v>
      </c>
      <c r="B52" s="69" t="s">
        <v>96</v>
      </c>
      <c r="C52" s="70" t="s">
        <v>97</v>
      </c>
      <c r="D52" s="71">
        <f>'24-3-26'!I52</f>
        <v>25000000</v>
      </c>
      <c r="E52" s="68"/>
      <c r="F52" s="69"/>
      <c r="G52" s="69"/>
      <c r="H52" s="71">
        <f t="shared" si="0"/>
        <v>0</v>
      </c>
      <c r="I52" s="71">
        <f t="shared" si="1"/>
        <v>25000000</v>
      </c>
      <c r="J52" s="69">
        <f t="shared" si="2"/>
        <v>0</v>
      </c>
    </row>
    <row r="53" ht="12.75" spans="1:10">
      <c r="A53" s="68">
        <v>45</v>
      </c>
      <c r="B53" s="69" t="s">
        <v>98</v>
      </c>
      <c r="C53" s="127" t="s">
        <v>99</v>
      </c>
      <c r="D53" s="71">
        <f>'24-3-26'!I53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ht="12.75" spans="1:10">
      <c r="A54" s="68">
        <v>46</v>
      </c>
      <c r="B54" s="69" t="s">
        <v>100</v>
      </c>
      <c r="C54" s="127" t="s">
        <v>99</v>
      </c>
      <c r="D54" s="71">
        <f>'24-3-26'!I54</f>
        <v>4600000</v>
      </c>
      <c r="E54" s="68"/>
      <c r="F54" s="69"/>
      <c r="G54" s="69"/>
      <c r="H54" s="71">
        <f t="shared" si="0"/>
        <v>0</v>
      </c>
      <c r="I54" s="71">
        <f t="shared" si="1"/>
        <v>4600000</v>
      </c>
      <c r="J54" s="69">
        <f t="shared" si="2"/>
        <v>0</v>
      </c>
    </row>
    <row r="55" ht="12.75" spans="1:10">
      <c r="A55" s="68">
        <v>47</v>
      </c>
      <c r="B55" s="69" t="s">
        <v>101</v>
      </c>
      <c r="C55" s="127" t="s">
        <v>102</v>
      </c>
      <c r="D55" s="71">
        <f>'24-3-26'!I55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ht="12.75" spans="1:10">
      <c r="A56" s="68">
        <v>48</v>
      </c>
      <c r="B56" s="69" t="s">
        <v>103</v>
      </c>
      <c r="C56" s="127" t="s">
        <v>102</v>
      </c>
      <c r="D56" s="71">
        <f>'24-3-26'!I56</f>
        <v>400000</v>
      </c>
      <c r="E56" s="68">
        <v>9</v>
      </c>
      <c r="F56" s="69">
        <v>200000</v>
      </c>
      <c r="G56" s="69">
        <v>40000</v>
      </c>
      <c r="H56" s="71">
        <f t="shared" si="0"/>
        <v>240000</v>
      </c>
      <c r="I56" s="71">
        <f t="shared" si="1"/>
        <v>200000</v>
      </c>
      <c r="J56" s="69">
        <f t="shared" si="2"/>
        <v>4000</v>
      </c>
    </row>
    <row r="57" ht="12.75" spans="1:10">
      <c r="A57" s="68">
        <v>49</v>
      </c>
      <c r="B57" s="69" t="s">
        <v>104</v>
      </c>
      <c r="C57" s="127" t="s">
        <v>102</v>
      </c>
      <c r="D57" s="71">
        <f>'24-3-26'!I57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ht="12.75" spans="1:10">
      <c r="A58" s="68">
        <v>50</v>
      </c>
      <c r="B58" s="69" t="s">
        <v>105</v>
      </c>
      <c r="C58" s="70" t="s">
        <v>106</v>
      </c>
      <c r="D58" s="71">
        <f>'24-3-26'!I58</f>
        <v>980000</v>
      </c>
      <c r="E58" s="68"/>
      <c r="F58" s="69"/>
      <c r="G58" s="69"/>
      <c r="H58" s="71">
        <f t="shared" si="0"/>
        <v>0</v>
      </c>
      <c r="I58" s="71">
        <f t="shared" si="1"/>
        <v>980000</v>
      </c>
      <c r="J58" s="69">
        <f t="shared" si="2"/>
        <v>0</v>
      </c>
    </row>
    <row r="59" ht="12.75" spans="1:10">
      <c r="A59" s="68">
        <v>51</v>
      </c>
      <c r="B59" s="69" t="s">
        <v>107</v>
      </c>
      <c r="C59" s="127" t="s">
        <v>108</v>
      </c>
      <c r="D59" s="71">
        <f>'24-3-26'!I59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ht="12.75" spans="1:10">
      <c r="A60" s="68">
        <v>52</v>
      </c>
      <c r="B60" s="69" t="s">
        <v>109</v>
      </c>
      <c r="C60" s="127" t="s">
        <v>110</v>
      </c>
      <c r="D60" s="71">
        <f>'24-3-26'!I60</f>
        <v>3000000</v>
      </c>
      <c r="E60" s="68"/>
      <c r="F60" s="69"/>
      <c r="G60" s="69"/>
      <c r="H60" s="71">
        <f t="shared" si="0"/>
        <v>0</v>
      </c>
      <c r="I60" s="71">
        <f t="shared" si="1"/>
        <v>3000000</v>
      </c>
      <c r="J60" s="69">
        <f t="shared" si="2"/>
        <v>0</v>
      </c>
    </row>
    <row r="61" ht="12.75" spans="1:10">
      <c r="A61" s="68">
        <v>53</v>
      </c>
      <c r="B61" s="69" t="s">
        <v>111</v>
      </c>
      <c r="C61" s="70" t="s">
        <v>112</v>
      </c>
      <c r="D61" s="71">
        <f>'24-3-26'!I61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ht="12.75" spans="1:10">
      <c r="A62" s="68">
        <v>54</v>
      </c>
      <c r="B62" s="69" t="s">
        <v>113</v>
      </c>
      <c r="C62" s="127" t="s">
        <v>114</v>
      </c>
      <c r="D62" s="71">
        <f>'24-3-26'!I62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ht="12.75" spans="1:10">
      <c r="A63" s="68">
        <v>55</v>
      </c>
      <c r="B63" s="69" t="s">
        <v>115</v>
      </c>
      <c r="C63" s="127" t="s">
        <v>116</v>
      </c>
      <c r="D63" s="71">
        <f>'24-3-26'!I63</f>
        <v>0</v>
      </c>
      <c r="E63" s="68"/>
      <c r="F63" s="69"/>
      <c r="G63" s="69"/>
      <c r="H63" s="71">
        <f t="shared" si="0"/>
        <v>0</v>
      </c>
      <c r="I63" s="71">
        <f t="shared" si="1"/>
        <v>0</v>
      </c>
      <c r="J63" s="69">
        <f t="shared" si="2"/>
        <v>0</v>
      </c>
    </row>
    <row r="64" ht="12.75" spans="1:10">
      <c r="A64" s="68">
        <v>56</v>
      </c>
      <c r="B64" s="69" t="s">
        <v>117</v>
      </c>
      <c r="C64" s="127" t="s">
        <v>118</v>
      </c>
      <c r="D64" s="71">
        <f>'24-3-26'!I64</f>
        <v>1350000</v>
      </c>
      <c r="E64" s="68"/>
      <c r="F64" s="69"/>
      <c r="G64" s="69"/>
      <c r="H64" s="71">
        <f t="shared" si="0"/>
        <v>0</v>
      </c>
      <c r="I64" s="71">
        <f t="shared" si="1"/>
        <v>1350000</v>
      </c>
      <c r="J64" s="69">
        <f t="shared" si="2"/>
        <v>0</v>
      </c>
    </row>
    <row r="65" ht="12.75" spans="1:10">
      <c r="A65" s="68">
        <v>57</v>
      </c>
      <c r="B65" s="69" t="s">
        <v>119</v>
      </c>
      <c r="C65" s="127" t="s">
        <v>120</v>
      </c>
      <c r="D65" s="71">
        <f>'24-3-26'!I65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ht="12.75" spans="1:10">
      <c r="A66" s="68">
        <v>58</v>
      </c>
      <c r="B66" s="69" t="s">
        <v>121</v>
      </c>
      <c r="C66" s="127" t="s">
        <v>120</v>
      </c>
      <c r="D66" s="71">
        <f>'24-3-26'!I66</f>
        <v>150000</v>
      </c>
      <c r="E66" s="68"/>
      <c r="F66" s="69"/>
      <c r="G66" s="69"/>
      <c r="H66" s="71">
        <f t="shared" si="0"/>
        <v>0</v>
      </c>
      <c r="I66" s="71">
        <f t="shared" si="1"/>
        <v>150000</v>
      </c>
      <c r="J66" s="69">
        <f t="shared" si="2"/>
        <v>0</v>
      </c>
    </row>
    <row r="67" ht="12.75" customHeight="1" spans="1:10">
      <c r="A67" s="68">
        <v>59</v>
      </c>
      <c r="B67" s="69" t="s">
        <v>122</v>
      </c>
      <c r="C67" s="127" t="s">
        <v>123</v>
      </c>
      <c r="D67" s="71">
        <f>'24-3-26'!I67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ht="12.75" customHeight="1" spans="1:10">
      <c r="A68" s="68">
        <v>60</v>
      </c>
      <c r="B68" s="69" t="s">
        <v>159</v>
      </c>
      <c r="C68" s="127" t="s">
        <v>160</v>
      </c>
      <c r="D68" s="71">
        <f>'24-3-26'!I68</f>
        <v>10000000</v>
      </c>
      <c r="E68" s="68"/>
      <c r="F68" s="69"/>
      <c r="G68" s="69"/>
      <c r="H68" s="71">
        <f t="shared" si="0"/>
        <v>0</v>
      </c>
      <c r="I68" s="71">
        <f t="shared" ref="I68:I73" si="3">D68-F68</f>
        <v>10000000</v>
      </c>
      <c r="J68" s="69">
        <f t="shared" si="2"/>
        <v>0</v>
      </c>
    </row>
    <row r="69" ht="12.75" customHeight="1" spans="1:10">
      <c r="A69" s="68">
        <v>61</v>
      </c>
      <c r="B69" s="69" t="s">
        <v>161</v>
      </c>
      <c r="C69" s="127" t="s">
        <v>160</v>
      </c>
      <c r="D69" s="71">
        <f>'24-3-26'!I69</f>
        <v>50000000</v>
      </c>
      <c r="E69" s="68">
        <v>1</v>
      </c>
      <c r="F69" s="69"/>
      <c r="G69" s="69">
        <v>1000000</v>
      </c>
      <c r="H69" s="71">
        <f t="shared" si="0"/>
        <v>1000000</v>
      </c>
      <c r="I69" s="71">
        <f t="shared" si="3"/>
        <v>50000000</v>
      </c>
      <c r="J69" s="69">
        <f t="shared" si="2"/>
        <v>100000</v>
      </c>
    </row>
    <row r="70" ht="12.75" customHeight="1" spans="1:10">
      <c r="A70" s="68">
        <v>62</v>
      </c>
      <c r="B70" s="69" t="s">
        <v>141</v>
      </c>
      <c r="C70" s="127" t="s">
        <v>160</v>
      </c>
      <c r="D70" s="71">
        <f>'24-3-26'!I70</f>
        <v>1000000</v>
      </c>
      <c r="E70" s="68"/>
      <c r="F70" s="69"/>
      <c r="G70" s="69"/>
      <c r="H70" s="71">
        <f t="shared" si="0"/>
        <v>0</v>
      </c>
      <c r="I70" s="71">
        <f t="shared" si="3"/>
        <v>1000000</v>
      </c>
      <c r="J70" s="69">
        <f t="shared" si="2"/>
        <v>0</v>
      </c>
    </row>
    <row r="71" ht="12.75" customHeight="1" spans="1:10">
      <c r="A71" s="68">
        <v>63</v>
      </c>
      <c r="B71" s="69" t="s">
        <v>162</v>
      </c>
      <c r="C71" s="127" t="s">
        <v>160</v>
      </c>
      <c r="D71" s="71">
        <f>'24-3-26'!I71</f>
        <v>2500000</v>
      </c>
      <c r="E71" s="68"/>
      <c r="F71" s="69"/>
      <c r="G71" s="69"/>
      <c r="H71" s="71">
        <f t="shared" si="0"/>
        <v>0</v>
      </c>
      <c r="I71" s="71">
        <f t="shared" si="3"/>
        <v>2500000</v>
      </c>
      <c r="J71" s="69">
        <f t="shared" si="2"/>
        <v>0</v>
      </c>
    </row>
    <row r="72" ht="12.75" customHeight="1" spans="1:10">
      <c r="A72" s="68">
        <v>64</v>
      </c>
      <c r="B72" s="69" t="s">
        <v>98</v>
      </c>
      <c r="C72" s="127" t="s">
        <v>160</v>
      </c>
      <c r="D72" s="71">
        <f>'24-3-26'!I72</f>
        <v>1800000</v>
      </c>
      <c r="E72" s="68"/>
      <c r="F72" s="69"/>
      <c r="G72" s="69"/>
      <c r="H72" s="71">
        <f t="shared" si="0"/>
        <v>0</v>
      </c>
      <c r="I72" s="71">
        <f t="shared" si="3"/>
        <v>1800000</v>
      </c>
      <c r="J72" s="69">
        <f t="shared" si="2"/>
        <v>0</v>
      </c>
    </row>
    <row r="73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>SUM(F73:G73)</f>
        <v>0</v>
      </c>
      <c r="I73" s="71">
        <f t="shared" si="3"/>
        <v>5000000</v>
      </c>
      <c r="J73" s="69">
        <f>1/10*G73</f>
        <v>0</v>
      </c>
    </row>
    <row r="74" ht="12.75" customHeight="1" spans="1:10">
      <c r="A74" s="68">
        <v>66</v>
      </c>
      <c r="B74" s="69" t="s">
        <v>166</v>
      </c>
      <c r="C74" s="127" t="s">
        <v>167</v>
      </c>
      <c r="D74" s="71">
        <f>'24-3-26'!I74</f>
        <v>4000000</v>
      </c>
      <c r="E74" s="68"/>
      <c r="F74" s="69"/>
      <c r="G74" s="69"/>
      <c r="H74" s="71">
        <f t="shared" ref="H74:H87" si="4">SUM(F74:G74)</f>
        <v>0</v>
      </c>
      <c r="I74" s="71">
        <f t="shared" ref="I74:I187" si="5">D74-F74</f>
        <v>4000000</v>
      </c>
      <c r="J74" s="69">
        <f t="shared" ref="J74:J137" si="6">1/10*G74</f>
        <v>0</v>
      </c>
    </row>
    <row r="75" ht="12.75" customHeight="1" spans="1:10">
      <c r="A75" s="68">
        <v>67</v>
      </c>
      <c r="B75" s="69" t="s">
        <v>53</v>
      </c>
      <c r="C75" s="127" t="s">
        <v>167</v>
      </c>
      <c r="D75" s="71">
        <f>'24-3-26'!I75</f>
        <v>3000000</v>
      </c>
      <c r="E75" s="68"/>
      <c r="F75" s="69"/>
      <c r="G75" s="69"/>
      <c r="H75" s="71">
        <f t="shared" si="4"/>
        <v>0</v>
      </c>
      <c r="I75" s="71">
        <f t="shared" si="5"/>
        <v>3000000</v>
      </c>
      <c r="J75" s="69">
        <f t="shared" si="6"/>
        <v>0</v>
      </c>
    </row>
    <row r="76" ht="12.75" customHeight="1" spans="1:10">
      <c r="A76" s="68">
        <v>68</v>
      </c>
      <c r="B76" s="69" t="s">
        <v>170</v>
      </c>
      <c r="C76" s="127" t="s">
        <v>171</v>
      </c>
      <c r="D76" s="71">
        <f>'24-3-26'!I76</f>
        <v>1100000</v>
      </c>
      <c r="E76" s="68"/>
      <c r="F76" s="69"/>
      <c r="G76" s="69"/>
      <c r="H76" s="71">
        <f t="shared" si="4"/>
        <v>0</v>
      </c>
      <c r="I76" s="71">
        <f t="shared" si="5"/>
        <v>1100000</v>
      </c>
      <c r="J76" s="69">
        <f t="shared" si="6"/>
        <v>0</v>
      </c>
    </row>
    <row r="77" ht="12.75" customHeight="1" spans="1:10">
      <c r="A77" s="68">
        <v>69</v>
      </c>
      <c r="B77" s="69" t="s">
        <v>172</v>
      </c>
      <c r="C77" s="127" t="s">
        <v>171</v>
      </c>
      <c r="D77" s="71">
        <f>'24-3-26'!I77</f>
        <v>5000000</v>
      </c>
      <c r="E77" s="68"/>
      <c r="F77" s="69"/>
      <c r="G77" s="69"/>
      <c r="H77" s="71">
        <f t="shared" si="4"/>
        <v>0</v>
      </c>
      <c r="I77" s="71">
        <f t="shared" si="5"/>
        <v>5000000</v>
      </c>
      <c r="J77" s="69">
        <f t="shared" si="6"/>
        <v>0</v>
      </c>
    </row>
    <row r="78" ht="12.75" customHeight="1" spans="1:10">
      <c r="A78" s="68">
        <v>70</v>
      </c>
      <c r="B78" s="69" t="s">
        <v>175</v>
      </c>
      <c r="C78" s="127" t="s">
        <v>176</v>
      </c>
      <c r="D78" s="71">
        <f>'24-3-26'!I78</f>
        <v>10000000</v>
      </c>
      <c r="E78" s="68"/>
      <c r="F78" s="69"/>
      <c r="G78" s="69"/>
      <c r="H78" s="71">
        <f t="shared" si="4"/>
        <v>0</v>
      </c>
      <c r="I78" s="71">
        <f t="shared" si="5"/>
        <v>10000000</v>
      </c>
      <c r="J78" s="69">
        <f t="shared" si="6"/>
        <v>0</v>
      </c>
    </row>
    <row r="79" ht="12.75" customHeight="1" spans="1:10">
      <c r="A79" s="68">
        <v>71</v>
      </c>
      <c r="B79" s="69" t="s">
        <v>107</v>
      </c>
      <c r="C79" s="127" t="s">
        <v>176</v>
      </c>
      <c r="D79" s="71">
        <f>'24-3-26'!I79</f>
        <v>3000000</v>
      </c>
      <c r="E79" s="68"/>
      <c r="F79" s="69"/>
      <c r="G79" s="69"/>
      <c r="H79" s="71">
        <f t="shared" si="4"/>
        <v>0</v>
      </c>
      <c r="I79" s="71">
        <f t="shared" si="5"/>
        <v>3000000</v>
      </c>
      <c r="J79" s="69">
        <f t="shared" si="6"/>
        <v>0</v>
      </c>
    </row>
    <row r="80" ht="12.75" customHeight="1" spans="1:10">
      <c r="A80" s="68">
        <v>72</v>
      </c>
      <c r="B80" s="69" t="s">
        <v>177</v>
      </c>
      <c r="C80" s="127" t="s">
        <v>176</v>
      </c>
      <c r="D80" s="71">
        <f>'24-3-26'!I80</f>
        <v>1000000</v>
      </c>
      <c r="E80" s="68"/>
      <c r="F80" s="69"/>
      <c r="G80" s="69"/>
      <c r="H80" s="71">
        <f t="shared" si="4"/>
        <v>0</v>
      </c>
      <c r="I80" s="71">
        <f t="shared" si="5"/>
        <v>1000000</v>
      </c>
      <c r="J80" s="69">
        <f t="shared" si="6"/>
        <v>0</v>
      </c>
    </row>
    <row r="81" ht="12.75" customHeight="1" spans="1:10">
      <c r="A81" s="68">
        <v>73</v>
      </c>
      <c r="B81" s="69" t="s">
        <v>178</v>
      </c>
      <c r="C81" s="127" t="s">
        <v>176</v>
      </c>
      <c r="D81" s="71">
        <f>'24-3-26'!I81</f>
        <v>7000000</v>
      </c>
      <c r="E81" s="68"/>
      <c r="F81" s="69"/>
      <c r="G81" s="69"/>
      <c r="H81" s="71">
        <f t="shared" si="4"/>
        <v>0</v>
      </c>
      <c r="I81" s="71">
        <f t="shared" si="5"/>
        <v>7000000</v>
      </c>
      <c r="J81" s="69">
        <f t="shared" si="6"/>
        <v>0</v>
      </c>
    </row>
    <row r="82" ht="12.75" customHeight="1" spans="1:10">
      <c r="A82" s="68">
        <v>74</v>
      </c>
      <c r="B82" s="69" t="s">
        <v>183</v>
      </c>
      <c r="C82" s="127" t="s">
        <v>184</v>
      </c>
      <c r="D82" s="71">
        <v>1000000</v>
      </c>
      <c r="E82" s="69"/>
      <c r="F82" s="69"/>
      <c r="G82" s="69"/>
      <c r="H82" s="71">
        <f t="shared" si="4"/>
        <v>0</v>
      </c>
      <c r="I82" s="71">
        <f t="shared" si="5"/>
        <v>1000000</v>
      </c>
      <c r="J82" s="69">
        <f t="shared" si="6"/>
        <v>0</v>
      </c>
    </row>
    <row r="83" ht="12.75" customHeight="1" spans="1:10">
      <c r="A83" s="68"/>
      <c r="B83" s="69"/>
      <c r="C83" s="70"/>
      <c r="D83" s="71">
        <f>'24-3-26'!I83</f>
        <v>0</v>
      </c>
      <c r="E83" s="68"/>
      <c r="F83" s="69"/>
      <c r="G83" s="69"/>
      <c r="H83" s="71">
        <f t="shared" si="4"/>
        <v>0</v>
      </c>
      <c r="I83" s="71">
        <f t="shared" si="5"/>
        <v>0</v>
      </c>
      <c r="J83" s="69">
        <f t="shared" si="6"/>
        <v>0</v>
      </c>
    </row>
    <row r="84" ht="12.75" customHeight="1" spans="1:10">
      <c r="A84" s="68"/>
      <c r="B84" s="69"/>
      <c r="C84" s="70"/>
      <c r="D84" s="71">
        <f>'24-3-26'!I84</f>
        <v>0</v>
      </c>
      <c r="E84" s="68"/>
      <c r="F84" s="69"/>
      <c r="G84" s="69"/>
      <c r="H84" s="71">
        <f t="shared" si="4"/>
        <v>0</v>
      </c>
      <c r="I84" s="71">
        <f t="shared" si="5"/>
        <v>0</v>
      </c>
      <c r="J84" s="69">
        <f t="shared" si="6"/>
        <v>0</v>
      </c>
    </row>
    <row r="85" ht="1.75" customHeight="1" spans="1:10">
      <c r="A85" s="68"/>
      <c r="B85" s="69"/>
      <c r="C85" s="70"/>
      <c r="D85" s="71">
        <f>'24-3-26'!I85</f>
        <v>0</v>
      </c>
      <c r="E85" s="68"/>
      <c r="F85" s="69"/>
      <c r="G85" s="69"/>
      <c r="H85" s="71">
        <f t="shared" si="4"/>
        <v>0</v>
      </c>
      <c r="I85" s="71">
        <f t="shared" si="5"/>
        <v>0</v>
      </c>
      <c r="J85" s="69">
        <f t="shared" si="6"/>
        <v>0</v>
      </c>
    </row>
    <row r="86" ht="1.75" customHeight="1" spans="1:10">
      <c r="A86" s="68"/>
      <c r="B86" s="69"/>
      <c r="C86" s="70"/>
      <c r="D86" s="71">
        <f>'24-3-26'!I86</f>
        <v>0</v>
      </c>
      <c r="E86" s="68"/>
      <c r="F86" s="69"/>
      <c r="G86" s="69"/>
      <c r="H86" s="71">
        <f t="shared" si="4"/>
        <v>0</v>
      </c>
      <c r="I86" s="71">
        <f t="shared" si="5"/>
        <v>0</v>
      </c>
      <c r="J86" s="69">
        <f t="shared" si="6"/>
        <v>0</v>
      </c>
    </row>
    <row r="87" ht="1.75" customHeight="1" spans="1:10">
      <c r="A87" s="68"/>
      <c r="B87" s="69"/>
      <c r="C87" s="70"/>
      <c r="D87" s="71">
        <f>'24-3-26'!I87</f>
        <v>0</v>
      </c>
      <c r="E87" s="68"/>
      <c r="F87" s="69"/>
      <c r="G87" s="69"/>
      <c r="H87" s="71">
        <f t="shared" si="4"/>
        <v>0</v>
      </c>
      <c r="I87" s="71">
        <f t="shared" si="5"/>
        <v>0</v>
      </c>
      <c r="J87" s="69">
        <f t="shared" si="6"/>
        <v>0</v>
      </c>
    </row>
    <row r="88" ht="1.75" customHeight="1" spans="1:10">
      <c r="A88" s="68"/>
      <c r="B88" s="69"/>
      <c r="C88" s="70"/>
      <c r="D88" s="71">
        <f>'24-3-26'!I88</f>
        <v>0</v>
      </c>
      <c r="E88" s="68"/>
      <c r="F88" s="69"/>
      <c r="G88" s="69"/>
      <c r="H88" s="71">
        <f t="shared" ref="H74:H137" si="7">SUM(F88:G88)</f>
        <v>0</v>
      </c>
      <c r="I88" s="71">
        <f t="shared" si="5"/>
        <v>0</v>
      </c>
      <c r="J88" s="69">
        <f t="shared" si="6"/>
        <v>0</v>
      </c>
    </row>
    <row r="89" ht="1.75" customHeight="1" spans="1:10">
      <c r="A89" s="68"/>
      <c r="B89" s="69"/>
      <c r="C89" s="70"/>
      <c r="D89" s="71">
        <f>'24-3-26'!I89</f>
        <v>0</v>
      </c>
      <c r="E89" s="68"/>
      <c r="F89" s="69"/>
      <c r="G89" s="69"/>
      <c r="H89" s="71">
        <f t="shared" si="7"/>
        <v>0</v>
      </c>
      <c r="I89" s="71">
        <f t="shared" si="5"/>
        <v>0</v>
      </c>
      <c r="J89" s="69">
        <f t="shared" si="6"/>
        <v>0</v>
      </c>
    </row>
    <row r="90" ht="1.75" customHeight="1" spans="1:10">
      <c r="A90" s="68"/>
      <c r="B90" s="69"/>
      <c r="C90" s="70"/>
      <c r="D90" s="71">
        <f>'24-3-26'!I90</f>
        <v>0</v>
      </c>
      <c r="E90" s="68"/>
      <c r="F90" s="69"/>
      <c r="G90" s="69"/>
      <c r="H90" s="71">
        <f t="shared" si="7"/>
        <v>0</v>
      </c>
      <c r="I90" s="71">
        <f t="shared" si="5"/>
        <v>0</v>
      </c>
      <c r="J90" s="69">
        <f t="shared" si="6"/>
        <v>0</v>
      </c>
    </row>
    <row r="91" ht="1.75" customHeight="1" spans="1:10">
      <c r="A91" s="68"/>
      <c r="B91" s="69"/>
      <c r="C91" s="70"/>
      <c r="D91" s="71">
        <f>'24-3-26'!I91</f>
        <v>0</v>
      </c>
      <c r="E91" s="68"/>
      <c r="F91" s="69"/>
      <c r="G91" s="69"/>
      <c r="H91" s="71">
        <f t="shared" si="7"/>
        <v>0</v>
      </c>
      <c r="I91" s="71">
        <f t="shared" si="5"/>
        <v>0</v>
      </c>
      <c r="J91" s="69">
        <f t="shared" si="6"/>
        <v>0</v>
      </c>
    </row>
    <row r="92" ht="1.75" customHeight="1" spans="1:10">
      <c r="A92" s="68"/>
      <c r="B92" s="69"/>
      <c r="C92" s="70"/>
      <c r="D92" s="71">
        <f>'24-3-26'!I92</f>
        <v>0</v>
      </c>
      <c r="E92" s="68"/>
      <c r="F92" s="69"/>
      <c r="G92" s="69"/>
      <c r="H92" s="71">
        <f t="shared" si="7"/>
        <v>0</v>
      </c>
      <c r="I92" s="71">
        <f t="shared" si="5"/>
        <v>0</v>
      </c>
      <c r="J92" s="69">
        <f t="shared" si="6"/>
        <v>0</v>
      </c>
    </row>
    <row r="93" ht="1.75" customHeight="1" spans="1:10">
      <c r="A93" s="68"/>
      <c r="B93" s="69"/>
      <c r="C93" s="70"/>
      <c r="D93" s="71">
        <f>'24-3-26'!I93</f>
        <v>0</v>
      </c>
      <c r="E93" s="68"/>
      <c r="F93" s="69"/>
      <c r="G93" s="69"/>
      <c r="H93" s="71">
        <f t="shared" si="7"/>
        <v>0</v>
      </c>
      <c r="I93" s="71">
        <f t="shared" si="5"/>
        <v>0</v>
      </c>
      <c r="J93" s="69">
        <f t="shared" si="6"/>
        <v>0</v>
      </c>
    </row>
    <row r="94" ht="1.75" customHeight="1" spans="1:10">
      <c r="A94" s="68"/>
      <c r="B94" s="69"/>
      <c r="C94" s="70"/>
      <c r="D94" s="71">
        <f>'24-3-26'!I94</f>
        <v>0</v>
      </c>
      <c r="E94" s="68"/>
      <c r="F94" s="69"/>
      <c r="G94" s="69"/>
      <c r="H94" s="71">
        <f t="shared" si="7"/>
        <v>0</v>
      </c>
      <c r="I94" s="71">
        <f t="shared" si="5"/>
        <v>0</v>
      </c>
      <c r="J94" s="69">
        <f t="shared" si="6"/>
        <v>0</v>
      </c>
    </row>
    <row r="95" ht="1.75" customHeight="1" spans="1:10">
      <c r="A95" s="68"/>
      <c r="B95" s="69"/>
      <c r="C95" s="70"/>
      <c r="D95" s="71">
        <f>'24-3-26'!I95</f>
        <v>0</v>
      </c>
      <c r="E95" s="68"/>
      <c r="F95" s="69"/>
      <c r="G95" s="69"/>
      <c r="H95" s="71">
        <f t="shared" si="7"/>
        <v>0</v>
      </c>
      <c r="I95" s="71">
        <f t="shared" si="5"/>
        <v>0</v>
      </c>
      <c r="J95" s="69">
        <f t="shared" si="6"/>
        <v>0</v>
      </c>
    </row>
    <row r="96" ht="1.75" customHeight="1" spans="1:10">
      <c r="A96" s="68"/>
      <c r="B96" s="69"/>
      <c r="C96" s="70"/>
      <c r="D96" s="71">
        <f>'24-3-26'!I96</f>
        <v>0</v>
      </c>
      <c r="E96" s="68"/>
      <c r="F96" s="69"/>
      <c r="G96" s="69"/>
      <c r="H96" s="71">
        <f t="shared" si="7"/>
        <v>0</v>
      </c>
      <c r="I96" s="71">
        <f t="shared" si="5"/>
        <v>0</v>
      </c>
      <c r="J96" s="69">
        <f t="shared" si="6"/>
        <v>0</v>
      </c>
    </row>
    <row r="97" ht="1.75" customHeight="1" spans="1:10">
      <c r="A97" s="68"/>
      <c r="B97" s="69"/>
      <c r="C97" s="70"/>
      <c r="D97" s="71">
        <f>'24-3-26'!I97</f>
        <v>0</v>
      </c>
      <c r="E97" s="68"/>
      <c r="F97" s="69"/>
      <c r="G97" s="69"/>
      <c r="H97" s="71">
        <f t="shared" si="7"/>
        <v>0</v>
      </c>
      <c r="I97" s="71">
        <f t="shared" si="5"/>
        <v>0</v>
      </c>
      <c r="J97" s="69">
        <f t="shared" si="6"/>
        <v>0</v>
      </c>
    </row>
    <row r="98" ht="1.75" customHeight="1" spans="1:10">
      <c r="A98" s="68"/>
      <c r="B98" s="69"/>
      <c r="C98" s="70"/>
      <c r="D98" s="71">
        <f>'24-3-26'!I98</f>
        <v>0</v>
      </c>
      <c r="E98" s="68"/>
      <c r="F98" s="69"/>
      <c r="G98" s="69"/>
      <c r="H98" s="71">
        <f t="shared" si="7"/>
        <v>0</v>
      </c>
      <c r="I98" s="71">
        <f t="shared" si="5"/>
        <v>0</v>
      </c>
      <c r="J98" s="69">
        <f t="shared" si="6"/>
        <v>0</v>
      </c>
    </row>
    <row r="99" ht="1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7"/>
        <v>0</v>
      </c>
      <c r="I99" s="71">
        <f t="shared" si="5"/>
        <v>0</v>
      </c>
      <c r="J99" s="69">
        <f t="shared" si="6"/>
        <v>0</v>
      </c>
    </row>
    <row r="100" ht="1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7"/>
        <v>0</v>
      </c>
      <c r="I100" s="71">
        <f t="shared" si="5"/>
        <v>0</v>
      </c>
      <c r="J100" s="69">
        <f t="shared" si="6"/>
        <v>0</v>
      </c>
    </row>
    <row r="101" ht="1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7"/>
        <v>0</v>
      </c>
      <c r="I101" s="71">
        <f t="shared" si="5"/>
        <v>0</v>
      </c>
      <c r="J101" s="69">
        <f t="shared" si="6"/>
        <v>0</v>
      </c>
    </row>
    <row r="102" ht="1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7"/>
        <v>0</v>
      </c>
      <c r="I102" s="71">
        <f t="shared" si="5"/>
        <v>0</v>
      </c>
      <c r="J102" s="69">
        <f t="shared" si="6"/>
        <v>0</v>
      </c>
    </row>
    <row r="103" ht="1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7"/>
        <v>0</v>
      </c>
      <c r="I103" s="71">
        <f t="shared" si="5"/>
        <v>0</v>
      </c>
      <c r="J103" s="69">
        <f t="shared" si="6"/>
        <v>0</v>
      </c>
    </row>
    <row r="104" ht="1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7"/>
        <v>0</v>
      </c>
      <c r="I104" s="71">
        <f t="shared" si="5"/>
        <v>0</v>
      </c>
      <c r="J104" s="69">
        <f t="shared" si="6"/>
        <v>0</v>
      </c>
    </row>
    <row r="105" ht="1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7"/>
        <v>0</v>
      </c>
      <c r="I105" s="71">
        <f t="shared" si="5"/>
        <v>0</v>
      </c>
      <c r="J105" s="69">
        <f t="shared" si="6"/>
        <v>0</v>
      </c>
    </row>
    <row r="106" ht="1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7"/>
        <v>0</v>
      </c>
      <c r="I106" s="71">
        <f t="shared" si="5"/>
        <v>0</v>
      </c>
      <c r="J106" s="69">
        <f t="shared" si="6"/>
        <v>0</v>
      </c>
    </row>
    <row r="107" ht="1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7"/>
        <v>0</v>
      </c>
      <c r="I107" s="71">
        <f t="shared" si="5"/>
        <v>0</v>
      </c>
      <c r="J107" s="69">
        <f t="shared" si="6"/>
        <v>0</v>
      </c>
    </row>
    <row r="108" ht="1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7"/>
        <v>0</v>
      </c>
      <c r="I108" s="71">
        <f t="shared" si="5"/>
        <v>0</v>
      </c>
      <c r="J108" s="69">
        <f t="shared" si="6"/>
        <v>0</v>
      </c>
    </row>
    <row r="109" ht="1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7"/>
        <v>0</v>
      </c>
      <c r="I109" s="71">
        <f t="shared" si="5"/>
        <v>0</v>
      </c>
      <c r="J109" s="69">
        <f t="shared" si="6"/>
        <v>0</v>
      </c>
    </row>
    <row r="110" ht="1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7"/>
        <v>0</v>
      </c>
      <c r="I110" s="71">
        <f t="shared" si="5"/>
        <v>0</v>
      </c>
      <c r="J110" s="69">
        <f t="shared" si="6"/>
        <v>0</v>
      </c>
    </row>
    <row r="111" ht="1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7"/>
        <v>0</v>
      </c>
      <c r="I111" s="71">
        <f t="shared" si="5"/>
        <v>0</v>
      </c>
      <c r="J111" s="69">
        <f t="shared" si="6"/>
        <v>0</v>
      </c>
    </row>
    <row r="112" ht="1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7"/>
        <v>0</v>
      </c>
      <c r="I112" s="71">
        <f t="shared" si="5"/>
        <v>0</v>
      </c>
      <c r="J112" s="69">
        <f t="shared" si="6"/>
        <v>0</v>
      </c>
    </row>
    <row r="113" ht="1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7"/>
        <v>0</v>
      </c>
      <c r="I113" s="71">
        <f t="shared" si="5"/>
        <v>0</v>
      </c>
      <c r="J113" s="69">
        <f t="shared" si="6"/>
        <v>0</v>
      </c>
    </row>
    <row r="114" ht="1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7"/>
        <v>0</v>
      </c>
      <c r="I114" s="71">
        <f t="shared" si="5"/>
        <v>0</v>
      </c>
      <c r="J114" s="69">
        <f t="shared" si="6"/>
        <v>0</v>
      </c>
    </row>
    <row r="115" ht="1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7"/>
        <v>0</v>
      </c>
      <c r="I115" s="71">
        <f t="shared" si="5"/>
        <v>0</v>
      </c>
      <c r="J115" s="69">
        <f t="shared" si="6"/>
        <v>0</v>
      </c>
    </row>
    <row r="116" ht="1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7"/>
        <v>0</v>
      </c>
      <c r="I116" s="71">
        <f t="shared" si="5"/>
        <v>0</v>
      </c>
      <c r="J116" s="69">
        <f t="shared" si="6"/>
        <v>0</v>
      </c>
    </row>
    <row r="117" ht="1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7"/>
        <v>0</v>
      </c>
      <c r="I117" s="71">
        <f t="shared" si="5"/>
        <v>0</v>
      </c>
      <c r="J117" s="69">
        <f t="shared" si="6"/>
        <v>0</v>
      </c>
    </row>
    <row r="118" ht="1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7"/>
        <v>0</v>
      </c>
      <c r="I118" s="71">
        <f t="shared" si="5"/>
        <v>0</v>
      </c>
      <c r="J118" s="69">
        <f t="shared" si="6"/>
        <v>0</v>
      </c>
    </row>
    <row r="119" ht="1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7"/>
        <v>0</v>
      </c>
      <c r="I119" s="71">
        <f t="shared" si="5"/>
        <v>0</v>
      </c>
      <c r="J119" s="69">
        <f t="shared" si="6"/>
        <v>0</v>
      </c>
    </row>
    <row r="120" ht="1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7"/>
        <v>0</v>
      </c>
      <c r="I120" s="71">
        <f t="shared" si="5"/>
        <v>0</v>
      </c>
      <c r="J120" s="69">
        <f t="shared" si="6"/>
        <v>0</v>
      </c>
    </row>
    <row r="121" ht="1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7"/>
        <v>0</v>
      </c>
      <c r="I121" s="71">
        <f t="shared" si="5"/>
        <v>0</v>
      </c>
      <c r="J121" s="69">
        <f t="shared" si="6"/>
        <v>0</v>
      </c>
    </row>
    <row r="122" ht="1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7"/>
        <v>0</v>
      </c>
      <c r="I122" s="71">
        <f t="shared" si="5"/>
        <v>0</v>
      </c>
      <c r="J122" s="69">
        <f t="shared" si="6"/>
        <v>0</v>
      </c>
    </row>
    <row r="123" ht="1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7"/>
        <v>0</v>
      </c>
      <c r="I123" s="71">
        <f t="shared" si="5"/>
        <v>0</v>
      </c>
      <c r="J123" s="69">
        <f t="shared" si="6"/>
        <v>0</v>
      </c>
    </row>
    <row r="124" ht="1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7"/>
        <v>0</v>
      </c>
      <c r="I124" s="71">
        <f t="shared" si="5"/>
        <v>0</v>
      </c>
      <c r="J124" s="69">
        <f t="shared" si="6"/>
        <v>0</v>
      </c>
    </row>
    <row r="125" ht="1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7"/>
        <v>0</v>
      </c>
      <c r="I125" s="71">
        <f t="shared" si="5"/>
        <v>0</v>
      </c>
      <c r="J125" s="69">
        <f t="shared" si="6"/>
        <v>0</v>
      </c>
    </row>
    <row r="126" ht="1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7"/>
        <v>0</v>
      </c>
      <c r="I126" s="71">
        <f t="shared" si="5"/>
        <v>0</v>
      </c>
      <c r="J126" s="69">
        <f t="shared" si="6"/>
        <v>0</v>
      </c>
    </row>
    <row r="127" ht="1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7"/>
        <v>0</v>
      </c>
      <c r="I127" s="71">
        <f t="shared" si="5"/>
        <v>0</v>
      </c>
      <c r="J127" s="69">
        <f t="shared" si="6"/>
        <v>0</v>
      </c>
    </row>
    <row r="128" ht="1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7"/>
        <v>0</v>
      </c>
      <c r="I128" s="71">
        <f t="shared" si="5"/>
        <v>0</v>
      </c>
      <c r="J128" s="69">
        <f t="shared" si="6"/>
        <v>0</v>
      </c>
    </row>
    <row r="129" ht="1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7"/>
        <v>0</v>
      </c>
      <c r="I129" s="71">
        <f t="shared" si="5"/>
        <v>0</v>
      </c>
      <c r="J129" s="69">
        <f t="shared" si="6"/>
        <v>0</v>
      </c>
    </row>
    <row r="130" ht="1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7"/>
        <v>0</v>
      </c>
      <c r="I130" s="71">
        <f t="shared" si="5"/>
        <v>0</v>
      </c>
      <c r="J130" s="69">
        <f t="shared" si="6"/>
        <v>0</v>
      </c>
    </row>
    <row r="131" ht="1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7"/>
        <v>0</v>
      </c>
      <c r="I131" s="71">
        <f t="shared" si="5"/>
        <v>0</v>
      </c>
      <c r="J131" s="69">
        <f t="shared" si="6"/>
        <v>0</v>
      </c>
    </row>
    <row r="132" ht="1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7"/>
        <v>0</v>
      </c>
      <c r="I132" s="71">
        <f t="shared" si="5"/>
        <v>0</v>
      </c>
      <c r="J132" s="69">
        <f t="shared" si="6"/>
        <v>0</v>
      </c>
    </row>
    <row r="133" ht="1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7"/>
        <v>0</v>
      </c>
      <c r="I133" s="71">
        <f t="shared" si="5"/>
        <v>0</v>
      </c>
      <c r="J133" s="69">
        <f t="shared" si="6"/>
        <v>0</v>
      </c>
    </row>
    <row r="134" ht="1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7"/>
        <v>0</v>
      </c>
      <c r="I134" s="71">
        <f t="shared" si="5"/>
        <v>0</v>
      </c>
      <c r="J134" s="69">
        <f t="shared" si="6"/>
        <v>0</v>
      </c>
    </row>
    <row r="135" ht="1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7"/>
        <v>0</v>
      </c>
      <c r="I135" s="71">
        <f t="shared" si="5"/>
        <v>0</v>
      </c>
      <c r="J135" s="69">
        <f t="shared" si="6"/>
        <v>0</v>
      </c>
    </row>
    <row r="136" ht="1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7"/>
        <v>0</v>
      </c>
      <c r="I136" s="71">
        <f t="shared" si="5"/>
        <v>0</v>
      </c>
      <c r="J136" s="69">
        <f t="shared" si="6"/>
        <v>0</v>
      </c>
    </row>
    <row r="137" ht="1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7"/>
        <v>0</v>
      </c>
      <c r="I137" s="71">
        <f t="shared" si="5"/>
        <v>0</v>
      </c>
      <c r="J137" s="69">
        <f t="shared" si="6"/>
        <v>0</v>
      </c>
    </row>
    <row r="138" ht="1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8">SUM(F138:G138)</f>
        <v>0</v>
      </c>
      <c r="I138" s="71">
        <f t="shared" si="5"/>
        <v>0</v>
      </c>
      <c r="J138" s="69">
        <f t="shared" ref="J138:J187" si="9">1/10*G138</f>
        <v>0</v>
      </c>
    </row>
    <row r="139" ht="1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8"/>
        <v>0</v>
      </c>
      <c r="I139" s="71">
        <f t="shared" si="5"/>
        <v>0</v>
      </c>
      <c r="J139" s="69">
        <f t="shared" si="9"/>
        <v>0</v>
      </c>
    </row>
    <row r="140" ht="1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8"/>
        <v>0</v>
      </c>
      <c r="I140" s="71">
        <f t="shared" si="5"/>
        <v>0</v>
      </c>
      <c r="J140" s="69">
        <f t="shared" si="9"/>
        <v>0</v>
      </c>
    </row>
    <row r="141" ht="1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8"/>
        <v>0</v>
      </c>
      <c r="I141" s="71">
        <f t="shared" si="5"/>
        <v>0</v>
      </c>
      <c r="J141" s="69">
        <f t="shared" si="9"/>
        <v>0</v>
      </c>
    </row>
    <row r="142" ht="1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8"/>
        <v>0</v>
      </c>
      <c r="I142" s="71">
        <f t="shared" si="5"/>
        <v>0</v>
      </c>
      <c r="J142" s="69">
        <f t="shared" si="9"/>
        <v>0</v>
      </c>
    </row>
    <row r="143" ht="1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8"/>
        <v>0</v>
      </c>
      <c r="I143" s="71">
        <f t="shared" si="5"/>
        <v>0</v>
      </c>
      <c r="J143" s="69">
        <f t="shared" si="9"/>
        <v>0</v>
      </c>
    </row>
    <row r="144" ht="1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8"/>
        <v>0</v>
      </c>
      <c r="I144" s="71">
        <f t="shared" si="5"/>
        <v>0</v>
      </c>
      <c r="J144" s="69">
        <f t="shared" si="9"/>
        <v>0</v>
      </c>
    </row>
    <row r="145" ht="1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8"/>
        <v>0</v>
      </c>
      <c r="I145" s="71">
        <f t="shared" si="5"/>
        <v>0</v>
      </c>
      <c r="J145" s="69">
        <f t="shared" si="9"/>
        <v>0</v>
      </c>
    </row>
    <row r="146" ht="1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8"/>
        <v>0</v>
      </c>
      <c r="I146" s="71">
        <f t="shared" si="5"/>
        <v>0</v>
      </c>
      <c r="J146" s="69">
        <f t="shared" si="9"/>
        <v>0</v>
      </c>
    </row>
    <row r="147" ht="1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8"/>
        <v>0</v>
      </c>
      <c r="I147" s="71">
        <f t="shared" si="5"/>
        <v>0</v>
      </c>
      <c r="J147" s="69">
        <f t="shared" si="9"/>
        <v>0</v>
      </c>
    </row>
    <row r="148" ht="1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8"/>
        <v>0</v>
      </c>
      <c r="I148" s="71">
        <f t="shared" si="5"/>
        <v>0</v>
      </c>
      <c r="J148" s="69">
        <f t="shared" si="9"/>
        <v>0</v>
      </c>
    </row>
    <row r="149" ht="1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8"/>
        <v>0</v>
      </c>
      <c r="I149" s="71">
        <f t="shared" si="5"/>
        <v>0</v>
      </c>
      <c r="J149" s="69">
        <f t="shared" si="9"/>
        <v>0</v>
      </c>
    </row>
    <row r="150" ht="1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8"/>
        <v>0</v>
      </c>
      <c r="I150" s="71">
        <f t="shared" si="5"/>
        <v>0</v>
      </c>
      <c r="J150" s="69">
        <f t="shared" si="9"/>
        <v>0</v>
      </c>
    </row>
    <row r="151" ht="1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8"/>
        <v>0</v>
      </c>
      <c r="I151" s="71">
        <f t="shared" si="5"/>
        <v>0</v>
      </c>
      <c r="J151" s="69">
        <f t="shared" si="9"/>
        <v>0</v>
      </c>
    </row>
    <row r="152" ht="1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8"/>
        <v>0</v>
      </c>
      <c r="I152" s="71">
        <f t="shared" si="5"/>
        <v>0</v>
      </c>
      <c r="J152" s="69">
        <f t="shared" si="9"/>
        <v>0</v>
      </c>
    </row>
    <row r="153" ht="1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8"/>
        <v>0</v>
      </c>
      <c r="I153" s="71">
        <f t="shared" si="5"/>
        <v>0</v>
      </c>
      <c r="J153" s="69">
        <f t="shared" si="9"/>
        <v>0</v>
      </c>
    </row>
    <row r="154" ht="1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8"/>
        <v>0</v>
      </c>
      <c r="I154" s="71">
        <f t="shared" si="5"/>
        <v>0</v>
      </c>
      <c r="J154" s="69">
        <f t="shared" si="9"/>
        <v>0</v>
      </c>
    </row>
    <row r="155" ht="1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8"/>
        <v>0</v>
      </c>
      <c r="I155" s="71">
        <f t="shared" si="5"/>
        <v>0</v>
      </c>
      <c r="J155" s="69">
        <f t="shared" si="9"/>
        <v>0</v>
      </c>
    </row>
    <row r="156" ht="1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8"/>
        <v>0</v>
      </c>
      <c r="I156" s="71">
        <f t="shared" si="5"/>
        <v>0</v>
      </c>
      <c r="J156" s="69">
        <f t="shared" si="9"/>
        <v>0</v>
      </c>
    </row>
    <row r="157" ht="1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8"/>
        <v>0</v>
      </c>
      <c r="I157" s="71">
        <f t="shared" si="5"/>
        <v>0</v>
      </c>
      <c r="J157" s="69">
        <f t="shared" si="9"/>
        <v>0</v>
      </c>
    </row>
    <row r="158" ht="1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8"/>
        <v>0</v>
      </c>
      <c r="I158" s="71">
        <f t="shared" si="5"/>
        <v>0</v>
      </c>
      <c r="J158" s="69">
        <f t="shared" si="9"/>
        <v>0</v>
      </c>
    </row>
    <row r="159" ht="1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8"/>
        <v>0</v>
      </c>
      <c r="I159" s="71">
        <f t="shared" si="5"/>
        <v>0</v>
      </c>
      <c r="J159" s="69">
        <f t="shared" si="9"/>
        <v>0</v>
      </c>
    </row>
    <row r="160" ht="1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8"/>
        <v>0</v>
      </c>
      <c r="I160" s="71">
        <f t="shared" si="5"/>
        <v>0</v>
      </c>
      <c r="J160" s="69">
        <f t="shared" si="9"/>
        <v>0</v>
      </c>
    </row>
    <row r="161" ht="1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8"/>
        <v>0</v>
      </c>
      <c r="I161" s="71">
        <f t="shared" si="5"/>
        <v>0</v>
      </c>
      <c r="J161" s="69">
        <f t="shared" si="9"/>
        <v>0</v>
      </c>
    </row>
    <row r="162" ht="1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8"/>
        <v>0</v>
      </c>
      <c r="I162" s="71">
        <f t="shared" si="5"/>
        <v>0</v>
      </c>
      <c r="J162" s="69">
        <f t="shared" si="9"/>
        <v>0</v>
      </c>
    </row>
    <row r="163" ht="1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8"/>
        <v>0</v>
      </c>
      <c r="I163" s="71">
        <f t="shared" si="5"/>
        <v>0</v>
      </c>
      <c r="J163" s="69">
        <f t="shared" si="9"/>
        <v>0</v>
      </c>
    </row>
    <row r="164" ht="1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8"/>
        <v>0</v>
      </c>
      <c r="I164" s="71">
        <f t="shared" si="5"/>
        <v>0</v>
      </c>
      <c r="J164" s="69">
        <f t="shared" si="9"/>
        <v>0</v>
      </c>
    </row>
    <row r="165" ht="1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8"/>
        <v>0</v>
      </c>
      <c r="I165" s="71">
        <f t="shared" si="5"/>
        <v>0</v>
      </c>
      <c r="J165" s="69">
        <f t="shared" si="9"/>
        <v>0</v>
      </c>
    </row>
    <row r="166" ht="1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8"/>
        <v>0</v>
      </c>
      <c r="I166" s="71">
        <f t="shared" si="5"/>
        <v>0</v>
      </c>
      <c r="J166" s="69">
        <f t="shared" si="9"/>
        <v>0</v>
      </c>
    </row>
    <row r="167" ht="1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8"/>
        <v>0</v>
      </c>
      <c r="I167" s="71">
        <f t="shared" si="5"/>
        <v>0</v>
      </c>
      <c r="J167" s="69">
        <f t="shared" si="9"/>
        <v>0</v>
      </c>
    </row>
    <row r="168" ht="1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8"/>
        <v>0</v>
      </c>
      <c r="I168" s="71">
        <f t="shared" si="5"/>
        <v>0</v>
      </c>
      <c r="J168" s="69">
        <f t="shared" si="9"/>
        <v>0</v>
      </c>
    </row>
    <row r="169" ht="1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8"/>
        <v>0</v>
      </c>
      <c r="I169" s="71">
        <f t="shared" si="5"/>
        <v>0</v>
      </c>
      <c r="J169" s="69">
        <f t="shared" si="9"/>
        <v>0</v>
      </c>
    </row>
    <row r="170" ht="1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8"/>
        <v>0</v>
      </c>
      <c r="I170" s="71">
        <f t="shared" si="5"/>
        <v>0</v>
      </c>
      <c r="J170" s="69">
        <f t="shared" si="9"/>
        <v>0</v>
      </c>
    </row>
    <row r="171" ht="1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8"/>
        <v>0</v>
      </c>
      <c r="I171" s="71">
        <f t="shared" si="5"/>
        <v>0</v>
      </c>
      <c r="J171" s="69">
        <f t="shared" si="9"/>
        <v>0</v>
      </c>
    </row>
    <row r="172" ht="1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8"/>
        <v>0</v>
      </c>
      <c r="I172" s="71">
        <f t="shared" si="5"/>
        <v>0</v>
      </c>
      <c r="J172" s="69">
        <f t="shared" si="9"/>
        <v>0</v>
      </c>
    </row>
    <row r="173" ht="1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8"/>
        <v>0</v>
      </c>
      <c r="I173" s="71">
        <f t="shared" si="5"/>
        <v>0</v>
      </c>
      <c r="J173" s="69">
        <f t="shared" si="9"/>
        <v>0</v>
      </c>
    </row>
    <row r="174" ht="1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8"/>
        <v>0</v>
      </c>
      <c r="I174" s="71">
        <f t="shared" si="5"/>
        <v>0</v>
      </c>
      <c r="J174" s="69">
        <f t="shared" si="9"/>
        <v>0</v>
      </c>
    </row>
    <row r="175" ht="1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8"/>
        <v>0</v>
      </c>
      <c r="I175" s="71">
        <f t="shared" si="5"/>
        <v>0</v>
      </c>
      <c r="J175" s="69">
        <f t="shared" si="9"/>
        <v>0</v>
      </c>
    </row>
    <row r="176" ht="1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8"/>
        <v>0</v>
      </c>
      <c r="I176" s="71">
        <f t="shared" si="5"/>
        <v>0</v>
      </c>
      <c r="J176" s="69">
        <f t="shared" si="9"/>
        <v>0</v>
      </c>
    </row>
    <row r="177" ht="1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8"/>
        <v>0</v>
      </c>
      <c r="I177" s="71">
        <f t="shared" si="5"/>
        <v>0</v>
      </c>
      <c r="J177" s="69">
        <f t="shared" si="9"/>
        <v>0</v>
      </c>
    </row>
    <row r="178" ht="1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8"/>
        <v>0</v>
      </c>
      <c r="I178" s="71">
        <f t="shared" si="5"/>
        <v>0</v>
      </c>
      <c r="J178" s="69">
        <f t="shared" si="9"/>
        <v>0</v>
      </c>
    </row>
    <row r="179" ht="1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8"/>
        <v>0</v>
      </c>
      <c r="I179" s="71">
        <f t="shared" si="5"/>
        <v>0</v>
      </c>
      <c r="J179" s="69">
        <f t="shared" si="9"/>
        <v>0</v>
      </c>
    </row>
    <row r="180" ht="1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8"/>
        <v>0</v>
      </c>
      <c r="I180" s="71">
        <f t="shared" si="5"/>
        <v>0</v>
      </c>
      <c r="J180" s="69">
        <f t="shared" si="9"/>
        <v>0</v>
      </c>
    </row>
    <row r="181" ht="1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8"/>
        <v>0</v>
      </c>
      <c r="I181" s="71">
        <f t="shared" si="5"/>
        <v>0</v>
      </c>
      <c r="J181" s="69">
        <f t="shared" si="9"/>
        <v>0</v>
      </c>
    </row>
    <row r="182" ht="1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8"/>
        <v>0</v>
      </c>
      <c r="I182" s="71">
        <f t="shared" si="5"/>
        <v>0</v>
      </c>
      <c r="J182" s="69">
        <f t="shared" si="9"/>
        <v>0</v>
      </c>
    </row>
    <row r="183" ht="1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8"/>
        <v>0</v>
      </c>
      <c r="I183" s="71">
        <f t="shared" si="5"/>
        <v>0</v>
      </c>
      <c r="J183" s="69">
        <f t="shared" si="9"/>
        <v>0</v>
      </c>
    </row>
    <row r="184" ht="1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8"/>
        <v>0</v>
      </c>
      <c r="I184" s="71">
        <f t="shared" si="5"/>
        <v>0</v>
      </c>
      <c r="J184" s="69">
        <f t="shared" si="9"/>
        <v>0</v>
      </c>
    </row>
    <row r="185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8"/>
        <v>0</v>
      </c>
      <c r="I185" s="71">
        <f t="shared" si="5"/>
        <v>0</v>
      </c>
      <c r="J185" s="69">
        <f t="shared" si="9"/>
        <v>0</v>
      </c>
    </row>
    <row r="186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8"/>
        <v>0</v>
      </c>
      <c r="I186" s="71">
        <f t="shared" si="5"/>
        <v>0</v>
      </c>
      <c r="J186" s="69">
        <f t="shared" si="9"/>
        <v>0</v>
      </c>
    </row>
    <row r="187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8"/>
        <v>0</v>
      </c>
      <c r="I187" s="71">
        <f t="shared" si="5"/>
        <v>0</v>
      </c>
      <c r="J187" s="69">
        <f t="shared" si="9"/>
        <v>0</v>
      </c>
    </row>
    <row r="188" ht="11.25" spans="1:11">
      <c r="A188" s="75"/>
      <c r="B188" s="76" t="s">
        <v>124</v>
      </c>
      <c r="C188" s="77"/>
      <c r="D188" s="78">
        <f>SUM(D9:D187)</f>
        <v>463502000</v>
      </c>
      <c r="E188" s="79">
        <f t="shared" ref="E188:J188" si="10">SUM(E9:E187)</f>
        <v>27</v>
      </c>
      <c r="F188" s="78">
        <f t="shared" si="10"/>
        <v>450000</v>
      </c>
      <c r="G188" s="78">
        <f t="shared" si="10"/>
        <v>1540000</v>
      </c>
      <c r="H188" s="78">
        <f t="shared" si="10"/>
        <v>1990000</v>
      </c>
      <c r="I188" s="78">
        <f t="shared" si="10"/>
        <v>463052000</v>
      </c>
      <c r="J188" s="78">
        <f t="shared" si="10"/>
        <v>154000</v>
      </c>
    </row>
    <row r="189" ht="12.75" spans="1:11">
      <c r="A189" s="80"/>
      <c r="B189" s="80"/>
      <c r="C189" s="81"/>
    </row>
    <row r="190" customHeight="1" spans="1:11">
      <c r="A190" s="82"/>
      <c r="B190" s="80" t="s">
        <v>125</v>
      </c>
      <c r="C190" s="83" t="s">
        <v>126</v>
      </c>
      <c r="D190" s="84"/>
      <c r="K190" s="82"/>
    </row>
    <row r="191" customHeight="1" spans="1:11">
      <c r="A191" s="82"/>
      <c r="B191" s="80" t="s">
        <v>127</v>
      </c>
      <c r="C191" s="83" t="s">
        <v>128</v>
      </c>
      <c r="D191" s="80">
        <f>G188</f>
        <v>1540000</v>
      </c>
      <c r="F191" s="129" t="s">
        <v>185</v>
      </c>
      <c r="G191" s="80"/>
      <c r="H191" s="80"/>
      <c r="I191" s="80"/>
      <c r="K191" s="82"/>
    </row>
    <row r="192" customHeight="1" spans="1:11">
      <c r="A192" s="82"/>
      <c r="B192" s="80" t="s">
        <v>130</v>
      </c>
      <c r="C192" s="83" t="s">
        <v>128</v>
      </c>
      <c r="D192" s="80">
        <f>D191/20</f>
        <v>77000</v>
      </c>
      <c r="F192" s="80" t="s">
        <v>131</v>
      </c>
      <c r="G192" s="80"/>
      <c r="H192" s="80"/>
      <c r="I192" s="80"/>
      <c r="K192" s="82"/>
    </row>
    <row r="193" customHeight="1" spans="1:11">
      <c r="A193" s="82"/>
      <c r="B193" s="80" t="s">
        <v>132</v>
      </c>
      <c r="C193" s="83" t="s">
        <v>133</v>
      </c>
      <c r="D193" s="80"/>
      <c r="F193" s="80" t="s">
        <v>134</v>
      </c>
      <c r="G193" s="86"/>
      <c r="H193" s="80" t="s">
        <v>135</v>
      </c>
      <c r="K193" s="82"/>
    </row>
    <row r="194" customHeight="1" spans="1:11">
      <c r="A194" s="82"/>
      <c r="B194" s="80" t="s">
        <v>136</v>
      </c>
      <c r="C194" s="83" t="s">
        <v>128</v>
      </c>
      <c r="D194" s="80">
        <f>11*D192</f>
        <v>847000</v>
      </c>
      <c r="F194" s="80"/>
      <c r="G194" s="86"/>
      <c r="H194" s="80"/>
      <c r="K194" s="82"/>
    </row>
    <row r="195" customHeight="1" spans="1:11">
      <c r="A195" s="82"/>
      <c r="B195" s="80" t="s">
        <v>137</v>
      </c>
      <c r="C195" s="83" t="s">
        <v>128</v>
      </c>
      <c r="D195" s="80">
        <f>1/2*D192</f>
        <v>38500</v>
      </c>
      <c r="F195" s="80"/>
      <c r="G195" s="86"/>
      <c r="H195" s="80"/>
      <c r="K195" s="82"/>
    </row>
    <row r="196" customHeight="1" spans="1:11">
      <c r="A196" s="82"/>
      <c r="B196" s="80" t="s">
        <v>138</v>
      </c>
      <c r="C196" s="83" t="s">
        <v>128</v>
      </c>
      <c r="D196" s="80">
        <f>1/2*D192</f>
        <v>38500</v>
      </c>
      <c r="F196" s="80"/>
      <c r="G196" s="86"/>
      <c r="H196" s="80"/>
      <c r="K196" s="82"/>
    </row>
    <row r="197" customHeight="1" spans="1:11">
      <c r="B197" s="80" t="s">
        <v>139</v>
      </c>
      <c r="C197" s="83" t="s">
        <v>128</v>
      </c>
      <c r="D197" s="80">
        <f>1/2*D192</f>
        <v>38500</v>
      </c>
      <c r="F197" s="80"/>
      <c r="G197" s="86"/>
      <c r="H197" s="80"/>
    </row>
    <row r="198" customHeight="1" spans="1:11">
      <c r="B198" s="80" t="s">
        <v>140</v>
      </c>
      <c r="C198" s="83" t="s">
        <v>128</v>
      </c>
      <c r="D198" s="80">
        <f>1/2*D192</f>
        <v>38500</v>
      </c>
      <c r="F198" s="80" t="s">
        <v>141</v>
      </c>
      <c r="G198" s="86"/>
      <c r="H198" s="80" t="s">
        <v>142</v>
      </c>
    </row>
    <row r="199" customHeight="1" spans="1:11">
      <c r="B199" s="80" t="s">
        <v>10</v>
      </c>
      <c r="C199" s="83" t="s">
        <v>128</v>
      </c>
      <c r="D199" s="80">
        <f>2*D192</f>
        <v>154000</v>
      </c>
      <c r="G199" s="80"/>
      <c r="H199" s="80"/>
      <c r="I199" s="80"/>
    </row>
    <row r="200" customHeight="1" spans="1:11">
      <c r="B200" s="80" t="s">
        <v>143</v>
      </c>
      <c r="C200" s="83" t="s">
        <v>128</v>
      </c>
      <c r="D200" s="80">
        <f>5*D192</f>
        <v>385000</v>
      </c>
    </row>
    <row r="201" customHeight="1" spans="1:11">
      <c r="B201" s="87" t="s">
        <v>124</v>
      </c>
      <c r="C201" s="88" t="s">
        <v>128</v>
      </c>
      <c r="D201" s="87">
        <f>SUM(D194:D200)</f>
        <v>1540000</v>
      </c>
    </row>
    <row r="206" ht="12.75" spans="1:11">
      <c r="D206" s="89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1.2" right="0.2" top="0.75" bottom="2.24930555555556" header="0.3" footer="0.3"/>
  <pageSetup paperSize="5" orientation="portrait" horizontalDpi="600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67" workbookViewId="0">
      <selection activeCell="B77" sqref="B77"/>
    </sheetView>
  </sheetViews>
  <sheetFormatPr defaultColWidth="9.14285714285714" defaultRowHeight="11.1" customHeight="1"/>
  <cols>
    <col min="1" max="1" width="4.42857142857143" style="45" customWidth="1"/>
    <col min="2" max="2" width="15.1428571428571" style="45" customWidth="1"/>
    <col min="3" max="3" width="11.1428571428571" style="46" customWidth="1"/>
    <col min="4" max="4" width="12.5714285714286" style="45" customWidth="1"/>
    <col min="5" max="5" width="6.42857142857143" style="47" customWidth="1"/>
    <col min="6" max="6" width="10.7142857142857" style="45" customWidth="1"/>
    <col min="7" max="7" width="11.2857142857143" style="45" customWidth="1"/>
    <col min="8" max="8" width="12" style="45" customWidth="1"/>
    <col min="9" max="9" width="13.1428571428571" style="45" customWidth="1"/>
    <col min="10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186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'31-3-26'!I9</f>
        <v>5500000</v>
      </c>
      <c r="E9" s="68"/>
      <c r="F9" s="69"/>
      <c r="G9" s="69"/>
      <c r="H9" s="71">
        <f t="shared" ref="H9:H30" si="0">SUM(F9:G9)</f>
        <v>0</v>
      </c>
      <c r="I9" s="71">
        <f>D9-F9</f>
        <v>5500000</v>
      </c>
      <c r="J9" s="69">
        <f t="shared" ref="J9:J72" si="1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'31-3-26'!I10</f>
        <v>1910000</v>
      </c>
      <c r="E10" s="68"/>
      <c r="F10" s="69"/>
      <c r="G10" s="69"/>
      <c r="H10" s="71">
        <f t="shared" si="0"/>
        <v>0</v>
      </c>
      <c r="I10" s="71">
        <f t="shared" ref="I9:I73" si="2">D10-F10</f>
        <v>1910000</v>
      </c>
      <c r="J10" s="69">
        <f t="shared" si="1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'31-3-26'!I11</f>
        <v>0</v>
      </c>
      <c r="E11" s="72"/>
      <c r="F11" s="71"/>
      <c r="G11" s="71"/>
      <c r="H11" s="71">
        <f t="shared" si="0"/>
        <v>0</v>
      </c>
      <c r="I11" s="71">
        <f t="shared" si="2"/>
        <v>0</v>
      </c>
      <c r="J11" s="69">
        <f t="shared" si="1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'31-3-26'!I12</f>
        <v>13750000</v>
      </c>
      <c r="E12" s="68"/>
      <c r="F12" s="69"/>
      <c r="G12" s="69"/>
      <c r="H12" s="71">
        <f t="shared" si="0"/>
        <v>0</v>
      </c>
      <c r="I12" s="71">
        <f t="shared" si="2"/>
        <v>13750000</v>
      </c>
      <c r="J12" s="69">
        <f t="shared" si="1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'31-3-26'!I13</f>
        <v>19950000</v>
      </c>
      <c r="E13" s="68"/>
      <c r="F13" s="69"/>
      <c r="G13" s="69"/>
      <c r="H13" s="71">
        <f t="shared" si="0"/>
        <v>0</v>
      </c>
      <c r="I13" s="71">
        <f t="shared" si="2"/>
        <v>19950000</v>
      </c>
      <c r="J13" s="69">
        <f t="shared" si="1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'31-3-26'!I14</f>
        <v>100000</v>
      </c>
      <c r="E14" s="68"/>
      <c r="F14" s="69"/>
      <c r="G14" s="69"/>
      <c r="H14" s="71">
        <f t="shared" si="0"/>
        <v>0</v>
      </c>
      <c r="I14" s="71">
        <f t="shared" si="2"/>
        <v>100000</v>
      </c>
      <c r="J14" s="69">
        <f t="shared" si="1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'31-3-26'!I15</f>
        <v>10500000</v>
      </c>
      <c r="E15" s="68"/>
      <c r="F15" s="69"/>
      <c r="G15" s="69"/>
      <c r="H15" s="71">
        <f t="shared" si="0"/>
        <v>0</v>
      </c>
      <c r="I15" s="71">
        <f t="shared" si="2"/>
        <v>10500000</v>
      </c>
      <c r="J15" s="69">
        <f t="shared" si="1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'31-3-26'!I16</f>
        <v>15310000</v>
      </c>
      <c r="E16" s="68"/>
      <c r="F16" s="69"/>
      <c r="G16" s="69"/>
      <c r="H16" s="71">
        <f t="shared" si="0"/>
        <v>0</v>
      </c>
      <c r="I16" s="71">
        <f t="shared" si="2"/>
        <v>15310000</v>
      </c>
      <c r="J16" s="69">
        <f t="shared" si="1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'31-3-26'!I17</f>
        <v>6150000</v>
      </c>
      <c r="E17" s="68"/>
      <c r="F17" s="69"/>
      <c r="G17" s="69"/>
      <c r="H17" s="71">
        <f t="shared" si="0"/>
        <v>0</v>
      </c>
      <c r="I17" s="71">
        <f t="shared" si="2"/>
        <v>6150000</v>
      </c>
      <c r="J17" s="69">
        <f t="shared" si="1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'31-3-26'!I18</f>
        <v>12595000</v>
      </c>
      <c r="E18" s="68"/>
      <c r="F18" s="69"/>
      <c r="G18" s="69"/>
      <c r="H18" s="71">
        <f t="shared" si="0"/>
        <v>0</v>
      </c>
      <c r="I18" s="71">
        <f t="shared" si="2"/>
        <v>12595000</v>
      </c>
      <c r="J18" s="69">
        <f t="shared" si="1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'31-3-26'!I19</f>
        <v>3500000</v>
      </c>
      <c r="E19" s="68"/>
      <c r="F19" s="69"/>
      <c r="G19" s="69"/>
      <c r="H19" s="71">
        <f t="shared" si="0"/>
        <v>0</v>
      </c>
      <c r="I19" s="71">
        <f t="shared" si="2"/>
        <v>3500000</v>
      </c>
      <c r="J19" s="69">
        <f t="shared" si="1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'31-3-26'!I20</f>
        <v>42000000</v>
      </c>
      <c r="E20" s="68"/>
      <c r="F20" s="69"/>
      <c r="G20" s="69"/>
      <c r="H20" s="71">
        <f t="shared" si="0"/>
        <v>0</v>
      </c>
      <c r="I20" s="71">
        <f t="shared" si="2"/>
        <v>42000000</v>
      </c>
      <c r="J20" s="69">
        <f t="shared" si="1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'31-3-26'!I21</f>
        <v>12680000</v>
      </c>
      <c r="E21" s="68"/>
      <c r="F21" s="69"/>
      <c r="G21" s="69"/>
      <c r="H21" s="71">
        <f t="shared" si="0"/>
        <v>0</v>
      </c>
      <c r="I21" s="71">
        <f t="shared" si="2"/>
        <v>12680000</v>
      </c>
      <c r="J21" s="69">
        <f t="shared" si="1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'31-3-26'!I22</f>
        <v>0</v>
      </c>
      <c r="E22" s="68"/>
      <c r="F22" s="69"/>
      <c r="G22" s="69"/>
      <c r="H22" s="71">
        <f t="shared" si="0"/>
        <v>0</v>
      </c>
      <c r="I22" s="71">
        <f t="shared" si="2"/>
        <v>0</v>
      </c>
      <c r="J22" s="69">
        <f t="shared" si="1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'31-3-26'!I23</f>
        <v>1500000</v>
      </c>
      <c r="E23" s="68"/>
      <c r="F23" s="69"/>
      <c r="G23" s="69"/>
      <c r="H23" s="71">
        <f t="shared" si="0"/>
        <v>0</v>
      </c>
      <c r="I23" s="71">
        <f t="shared" si="2"/>
        <v>1500000</v>
      </c>
      <c r="J23" s="69">
        <f t="shared" si="1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'31-3-26'!I24</f>
        <v>600000</v>
      </c>
      <c r="E24" s="68"/>
      <c r="F24" s="69"/>
      <c r="G24" s="69"/>
      <c r="H24" s="71">
        <f t="shared" si="0"/>
        <v>0</v>
      </c>
      <c r="I24" s="71">
        <f t="shared" si="2"/>
        <v>600000</v>
      </c>
      <c r="J24" s="69">
        <f t="shared" si="1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'31-3-26'!I25</f>
        <v>22200000</v>
      </c>
      <c r="E25" s="68"/>
      <c r="F25" s="69"/>
      <c r="G25" s="69"/>
      <c r="H25" s="71">
        <f t="shared" si="0"/>
        <v>0</v>
      </c>
      <c r="I25" s="71">
        <f t="shared" si="2"/>
        <v>22200000</v>
      </c>
      <c r="J25" s="69">
        <f t="shared" si="1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'31-3-26'!I26</f>
        <v>3800000</v>
      </c>
      <c r="E26" s="68"/>
      <c r="F26" s="69"/>
      <c r="G26" s="69"/>
      <c r="H26" s="71">
        <f t="shared" si="0"/>
        <v>0</v>
      </c>
      <c r="I26" s="71">
        <f t="shared" si="2"/>
        <v>3800000</v>
      </c>
      <c r="J26" s="69">
        <f t="shared" si="1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'31-3-26'!I27</f>
        <v>760000</v>
      </c>
      <c r="E27" s="68"/>
      <c r="F27" s="69"/>
      <c r="G27" s="69"/>
      <c r="H27" s="71">
        <f t="shared" si="0"/>
        <v>0</v>
      </c>
      <c r="I27" s="71">
        <f t="shared" si="2"/>
        <v>760000</v>
      </c>
      <c r="J27" s="69">
        <f t="shared" si="1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'31-3-26'!I28</f>
        <v>0</v>
      </c>
      <c r="E28" s="68"/>
      <c r="F28" s="69"/>
      <c r="G28" s="69"/>
      <c r="H28" s="71">
        <f t="shared" si="0"/>
        <v>0</v>
      </c>
      <c r="I28" s="71">
        <f t="shared" si="2"/>
        <v>0</v>
      </c>
      <c r="J28" s="69">
        <f t="shared" si="1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'31-3-26'!I29</f>
        <v>0</v>
      </c>
      <c r="E29" s="68"/>
      <c r="F29" s="69"/>
      <c r="G29" s="69"/>
      <c r="H29" s="71">
        <f t="shared" si="0"/>
        <v>0</v>
      </c>
      <c r="I29" s="71">
        <f t="shared" si="2"/>
        <v>0</v>
      </c>
      <c r="J29" s="69">
        <f t="shared" si="1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'31-3-26'!I30</f>
        <v>2750000</v>
      </c>
      <c r="E30" s="68"/>
      <c r="F30" s="69"/>
      <c r="G30" s="69"/>
      <c r="H30" s="71">
        <f t="shared" si="0"/>
        <v>0</v>
      </c>
      <c r="I30" s="71">
        <f t="shared" si="2"/>
        <v>2750000</v>
      </c>
      <c r="J30" s="69">
        <f t="shared" si="1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'31-3-26'!I31</f>
        <v>750000</v>
      </c>
      <c r="E31" s="68"/>
      <c r="F31" s="69"/>
      <c r="G31" s="69"/>
      <c r="H31" s="71">
        <f t="shared" ref="H31:H73" si="3">SUM(F31:G31)</f>
        <v>0</v>
      </c>
      <c r="I31" s="71">
        <f t="shared" si="2"/>
        <v>750000</v>
      </c>
      <c r="J31" s="69">
        <f t="shared" si="1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'31-3-26'!I32</f>
        <v>12000000</v>
      </c>
      <c r="E32" s="68"/>
      <c r="F32" s="69"/>
      <c r="G32" s="69"/>
      <c r="H32" s="71">
        <f t="shared" si="3"/>
        <v>0</v>
      </c>
      <c r="I32" s="71">
        <f t="shared" si="2"/>
        <v>12000000</v>
      </c>
      <c r="J32" s="69">
        <f t="shared" si="1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'31-3-26'!I33</f>
        <v>600000</v>
      </c>
      <c r="E33" s="68"/>
      <c r="F33" s="69"/>
      <c r="G33" s="69"/>
      <c r="H33" s="71">
        <f t="shared" si="3"/>
        <v>0</v>
      </c>
      <c r="I33" s="71">
        <f t="shared" si="2"/>
        <v>600000</v>
      </c>
      <c r="J33" s="69">
        <f t="shared" si="1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'31-3-26'!I34</f>
        <v>2400000</v>
      </c>
      <c r="E34" s="68"/>
      <c r="F34" s="69"/>
      <c r="G34" s="69"/>
      <c r="H34" s="71">
        <f t="shared" si="3"/>
        <v>0</v>
      </c>
      <c r="I34" s="71">
        <f t="shared" si="2"/>
        <v>2400000</v>
      </c>
      <c r="J34" s="69">
        <f t="shared" si="1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'31-3-26'!I35</f>
        <v>3500000</v>
      </c>
      <c r="E35" s="68"/>
      <c r="F35" s="69"/>
      <c r="G35" s="69"/>
      <c r="H35" s="71">
        <f t="shared" si="3"/>
        <v>0</v>
      </c>
      <c r="I35" s="71">
        <f t="shared" si="2"/>
        <v>3500000</v>
      </c>
      <c r="J35" s="69">
        <f t="shared" si="1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'31-3-26'!I36</f>
        <v>7800000</v>
      </c>
      <c r="E36" s="68"/>
      <c r="F36" s="69"/>
      <c r="G36" s="69"/>
      <c r="H36" s="71">
        <f t="shared" si="3"/>
        <v>0</v>
      </c>
      <c r="I36" s="71">
        <f t="shared" si="2"/>
        <v>7800000</v>
      </c>
      <c r="J36" s="69">
        <f t="shared" si="1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'31-3-26'!I37</f>
        <v>1250000</v>
      </c>
      <c r="E37" s="68"/>
      <c r="F37" s="69"/>
      <c r="G37" s="69"/>
      <c r="H37" s="71">
        <f t="shared" si="3"/>
        <v>0</v>
      </c>
      <c r="I37" s="71">
        <f t="shared" si="2"/>
        <v>1250000</v>
      </c>
      <c r="J37" s="69">
        <f t="shared" si="1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'31-3-26'!I38</f>
        <v>5800000</v>
      </c>
      <c r="E38" s="68"/>
      <c r="F38" s="69"/>
      <c r="G38" s="69"/>
      <c r="H38" s="71">
        <f t="shared" si="3"/>
        <v>0</v>
      </c>
      <c r="I38" s="71">
        <f t="shared" si="2"/>
        <v>5800000</v>
      </c>
      <c r="J38" s="69">
        <f t="shared" si="1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'31-3-26'!I39</f>
        <v>14320000</v>
      </c>
      <c r="E39" s="68"/>
      <c r="F39" s="69"/>
      <c r="G39" s="69"/>
      <c r="H39" s="71">
        <f t="shared" si="3"/>
        <v>0</v>
      </c>
      <c r="I39" s="71">
        <f t="shared" si="2"/>
        <v>14320000</v>
      </c>
      <c r="J39" s="69">
        <f t="shared" si="1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'31-3-26'!I40</f>
        <v>0</v>
      </c>
      <c r="E40" s="68"/>
      <c r="F40" s="69"/>
      <c r="G40" s="69"/>
      <c r="H40" s="71">
        <f t="shared" si="3"/>
        <v>0</v>
      </c>
      <c r="I40" s="71">
        <f t="shared" si="2"/>
        <v>0</v>
      </c>
      <c r="J40" s="69">
        <f t="shared" si="1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'31-3-26'!I41</f>
        <v>1500000</v>
      </c>
      <c r="E41" s="68"/>
      <c r="F41" s="69"/>
      <c r="G41" s="69"/>
      <c r="H41" s="71">
        <f t="shared" si="3"/>
        <v>0</v>
      </c>
      <c r="I41" s="71">
        <f t="shared" si="2"/>
        <v>1500000</v>
      </c>
      <c r="J41" s="69">
        <f t="shared" si="1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'31-3-26'!I42</f>
        <v>1200000</v>
      </c>
      <c r="E42" s="68"/>
      <c r="F42" s="69"/>
      <c r="G42" s="69"/>
      <c r="H42" s="71">
        <f t="shared" si="3"/>
        <v>0</v>
      </c>
      <c r="I42" s="71">
        <f t="shared" si="2"/>
        <v>1200000</v>
      </c>
      <c r="J42" s="69">
        <f t="shared" si="1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'31-3-26'!I43</f>
        <v>5250000</v>
      </c>
      <c r="E43" s="68"/>
      <c r="F43" s="69"/>
      <c r="G43" s="69"/>
      <c r="H43" s="71">
        <f t="shared" si="3"/>
        <v>0</v>
      </c>
      <c r="I43" s="71">
        <f t="shared" si="2"/>
        <v>5250000</v>
      </c>
      <c r="J43" s="69">
        <f t="shared" si="1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'31-3-26'!I44</f>
        <v>10320000</v>
      </c>
      <c r="E44" s="68"/>
      <c r="F44" s="69"/>
      <c r="G44" s="69"/>
      <c r="H44" s="71">
        <f t="shared" si="3"/>
        <v>0</v>
      </c>
      <c r="I44" s="71">
        <f t="shared" si="2"/>
        <v>10320000</v>
      </c>
      <c r="J44" s="69">
        <f t="shared" si="1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'31-3-26'!I45</f>
        <v>10875000</v>
      </c>
      <c r="E45" s="68"/>
      <c r="F45" s="69"/>
      <c r="G45" s="69"/>
      <c r="H45" s="71">
        <f t="shared" si="3"/>
        <v>0</v>
      </c>
      <c r="I45" s="71">
        <f t="shared" si="2"/>
        <v>10875000</v>
      </c>
      <c r="J45" s="69">
        <f t="shared" si="1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'31-3-26'!I46</f>
        <v>300000</v>
      </c>
      <c r="E46" s="68">
        <v>19</v>
      </c>
      <c r="F46" s="69">
        <v>150000</v>
      </c>
      <c r="G46" s="69">
        <v>60000</v>
      </c>
      <c r="H46" s="71">
        <f t="shared" si="3"/>
        <v>210000</v>
      </c>
      <c r="I46" s="71">
        <f t="shared" si="2"/>
        <v>150000</v>
      </c>
      <c r="J46" s="69">
        <f t="shared" si="1"/>
        <v>6000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'31-3-26'!I47</f>
        <v>9300000</v>
      </c>
      <c r="E47" s="68"/>
      <c r="F47" s="69"/>
      <c r="G47" s="69"/>
      <c r="H47" s="71">
        <f t="shared" si="3"/>
        <v>0</v>
      </c>
      <c r="I47" s="71">
        <f t="shared" si="2"/>
        <v>9300000</v>
      </c>
      <c r="J47" s="69">
        <f t="shared" si="1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'31-3-26'!I48</f>
        <v>800000</v>
      </c>
      <c r="E48" s="68"/>
      <c r="F48" s="69"/>
      <c r="G48" s="69"/>
      <c r="H48" s="71">
        <f t="shared" si="3"/>
        <v>0</v>
      </c>
      <c r="I48" s="71">
        <f t="shared" si="2"/>
        <v>800000</v>
      </c>
      <c r="J48" s="69">
        <f t="shared" si="1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'31-3-26'!I49</f>
        <v>9600000</v>
      </c>
      <c r="E49" s="68"/>
      <c r="F49" s="69"/>
      <c r="G49" s="69"/>
      <c r="H49" s="71">
        <f t="shared" si="3"/>
        <v>0</v>
      </c>
      <c r="I49" s="71">
        <f t="shared" si="2"/>
        <v>9600000</v>
      </c>
      <c r="J49" s="69">
        <f t="shared" si="1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'31-3-26'!I50</f>
        <v>0</v>
      </c>
      <c r="E50" s="68"/>
      <c r="F50" s="69"/>
      <c r="G50" s="69"/>
      <c r="H50" s="71">
        <f t="shared" si="3"/>
        <v>0</v>
      </c>
      <c r="I50" s="71">
        <f t="shared" si="2"/>
        <v>0</v>
      </c>
      <c r="J50" s="69">
        <f t="shared" si="1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'31-3-26'!I51</f>
        <v>15700000</v>
      </c>
      <c r="E51" s="68"/>
      <c r="F51" s="69"/>
      <c r="G51" s="69"/>
      <c r="H51" s="71">
        <f t="shared" si="3"/>
        <v>0</v>
      </c>
      <c r="I51" s="71">
        <f t="shared" si="2"/>
        <v>15700000</v>
      </c>
      <c r="J51" s="69">
        <f t="shared" si="1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'31-3-26'!I52</f>
        <v>25000000</v>
      </c>
      <c r="E52" s="68"/>
      <c r="F52" s="69"/>
      <c r="G52" s="69"/>
      <c r="H52" s="71">
        <f t="shared" si="3"/>
        <v>0</v>
      </c>
      <c r="I52" s="71">
        <f t="shared" si="2"/>
        <v>25000000</v>
      </c>
      <c r="J52" s="69">
        <f t="shared" si="1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'31-3-26'!I53</f>
        <v>0</v>
      </c>
      <c r="E53" s="68"/>
      <c r="F53" s="69"/>
      <c r="G53" s="69"/>
      <c r="H53" s="71">
        <f t="shared" si="3"/>
        <v>0</v>
      </c>
      <c r="I53" s="71">
        <f t="shared" si="2"/>
        <v>0</v>
      </c>
      <c r="J53" s="69">
        <f t="shared" si="1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'31-3-26'!I54</f>
        <v>4600000</v>
      </c>
      <c r="E54" s="68"/>
      <c r="F54" s="69"/>
      <c r="G54" s="69"/>
      <c r="H54" s="71">
        <f t="shared" si="3"/>
        <v>0</v>
      </c>
      <c r="I54" s="71">
        <f t="shared" si="2"/>
        <v>4600000</v>
      </c>
      <c r="J54" s="69">
        <f t="shared" si="1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'31-3-26'!I55</f>
        <v>7460000</v>
      </c>
      <c r="E55" s="68"/>
      <c r="F55" s="69"/>
      <c r="G55" s="69"/>
      <c r="H55" s="71">
        <f t="shared" si="3"/>
        <v>0</v>
      </c>
      <c r="I55" s="71">
        <f t="shared" si="2"/>
        <v>7460000</v>
      </c>
      <c r="J55" s="69">
        <f t="shared" si="1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'31-3-26'!I56</f>
        <v>200000</v>
      </c>
      <c r="E56" s="68"/>
      <c r="F56" s="69"/>
      <c r="G56" s="69"/>
      <c r="H56" s="71">
        <f t="shared" si="3"/>
        <v>0</v>
      </c>
      <c r="I56" s="71">
        <f t="shared" si="2"/>
        <v>200000</v>
      </c>
      <c r="J56" s="69">
        <f t="shared" si="1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'31-3-26'!I57</f>
        <v>20000000</v>
      </c>
      <c r="E57" s="68"/>
      <c r="F57" s="69"/>
      <c r="G57" s="69"/>
      <c r="H57" s="71">
        <f t="shared" si="3"/>
        <v>0</v>
      </c>
      <c r="I57" s="71">
        <f t="shared" si="2"/>
        <v>20000000</v>
      </c>
      <c r="J57" s="69">
        <f t="shared" si="1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'31-3-26'!I58</f>
        <v>980000</v>
      </c>
      <c r="E58" s="68"/>
      <c r="F58" s="69"/>
      <c r="G58" s="69"/>
      <c r="H58" s="71">
        <f t="shared" si="3"/>
        <v>0</v>
      </c>
      <c r="I58" s="71">
        <f t="shared" si="2"/>
        <v>980000</v>
      </c>
      <c r="J58" s="69">
        <f t="shared" si="1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'31-3-26'!I59</f>
        <v>0</v>
      </c>
      <c r="E59" s="68"/>
      <c r="F59" s="69"/>
      <c r="G59" s="69"/>
      <c r="H59" s="71">
        <f t="shared" si="3"/>
        <v>0</v>
      </c>
      <c r="I59" s="71">
        <f t="shared" si="2"/>
        <v>0</v>
      </c>
      <c r="J59" s="69">
        <f t="shared" si="1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'31-3-26'!I60</f>
        <v>3000000</v>
      </c>
      <c r="E60" s="68"/>
      <c r="F60" s="69"/>
      <c r="G60" s="69"/>
      <c r="H60" s="71">
        <f t="shared" si="3"/>
        <v>0</v>
      </c>
      <c r="I60" s="71">
        <f t="shared" si="2"/>
        <v>3000000</v>
      </c>
      <c r="J60" s="69">
        <f t="shared" si="1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'31-3-26'!I61</f>
        <v>230000</v>
      </c>
      <c r="E61" s="68"/>
      <c r="F61" s="69"/>
      <c r="G61" s="69"/>
      <c r="H61" s="71">
        <f t="shared" si="3"/>
        <v>0</v>
      </c>
      <c r="I61" s="71">
        <f t="shared" si="2"/>
        <v>230000</v>
      </c>
      <c r="J61" s="69">
        <f t="shared" si="1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'31-3-26'!I62</f>
        <v>0</v>
      </c>
      <c r="E62" s="68"/>
      <c r="F62" s="69"/>
      <c r="G62" s="69"/>
      <c r="H62" s="71">
        <f t="shared" si="3"/>
        <v>0</v>
      </c>
      <c r="I62" s="71">
        <f t="shared" si="2"/>
        <v>0</v>
      </c>
      <c r="J62" s="69">
        <f t="shared" si="1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'31-3-26'!I63</f>
        <v>0</v>
      </c>
      <c r="E63" s="68"/>
      <c r="F63" s="69"/>
      <c r="G63" s="69"/>
      <c r="H63" s="71">
        <f t="shared" si="3"/>
        <v>0</v>
      </c>
      <c r="I63" s="71">
        <f t="shared" si="2"/>
        <v>0</v>
      </c>
      <c r="J63" s="69">
        <f t="shared" si="1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'31-3-26'!I64</f>
        <v>1350000</v>
      </c>
      <c r="E64" s="68"/>
      <c r="F64" s="69"/>
      <c r="G64" s="69"/>
      <c r="H64" s="71">
        <f t="shared" si="3"/>
        <v>0</v>
      </c>
      <c r="I64" s="71">
        <f t="shared" si="2"/>
        <v>1350000</v>
      </c>
      <c r="J64" s="69">
        <f t="shared" si="1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'31-3-26'!I65</f>
        <v>5862000</v>
      </c>
      <c r="E65" s="68"/>
      <c r="F65" s="69"/>
      <c r="G65" s="69"/>
      <c r="H65" s="71">
        <f t="shared" si="3"/>
        <v>0</v>
      </c>
      <c r="I65" s="71">
        <f t="shared" si="2"/>
        <v>5862000</v>
      </c>
      <c r="J65" s="69">
        <f t="shared" si="1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'31-3-26'!I66</f>
        <v>150000</v>
      </c>
      <c r="E66" s="68"/>
      <c r="F66" s="69"/>
      <c r="G66" s="69"/>
      <c r="H66" s="71">
        <f t="shared" si="3"/>
        <v>0</v>
      </c>
      <c r="I66" s="71">
        <f t="shared" si="2"/>
        <v>150000</v>
      </c>
      <c r="J66" s="69">
        <f t="shared" si="1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'31-3-26'!I67</f>
        <v>0</v>
      </c>
      <c r="E67" s="68"/>
      <c r="F67" s="69"/>
      <c r="G67" s="69"/>
      <c r="H67" s="71">
        <f t="shared" si="3"/>
        <v>0</v>
      </c>
      <c r="I67" s="71">
        <f t="shared" si="2"/>
        <v>0</v>
      </c>
      <c r="J67" s="69">
        <f t="shared" si="1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'31-3-26'!I68</f>
        <v>10000000</v>
      </c>
      <c r="E68" s="68"/>
      <c r="F68" s="69"/>
      <c r="G68" s="69"/>
      <c r="H68" s="71">
        <f t="shared" si="3"/>
        <v>0</v>
      </c>
      <c r="I68" s="71">
        <f t="shared" si="2"/>
        <v>10000000</v>
      </c>
      <c r="J68" s="69">
        <f t="shared" si="1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'31-3-26'!I69</f>
        <v>50000000</v>
      </c>
      <c r="E69" s="68"/>
      <c r="F69" s="69"/>
      <c r="G69" s="69"/>
      <c r="H69" s="71">
        <f t="shared" si="3"/>
        <v>0</v>
      </c>
      <c r="I69" s="71">
        <f t="shared" si="2"/>
        <v>50000000</v>
      </c>
      <c r="J69" s="69">
        <f t="shared" si="1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'31-3-26'!I70</f>
        <v>1000000</v>
      </c>
      <c r="E70" s="68"/>
      <c r="F70" s="69"/>
      <c r="G70" s="69"/>
      <c r="H70" s="71">
        <f t="shared" si="3"/>
        <v>0</v>
      </c>
      <c r="I70" s="71">
        <f t="shared" si="2"/>
        <v>1000000</v>
      </c>
      <c r="J70" s="69">
        <f t="shared" si="1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'31-3-26'!I71</f>
        <v>2500000</v>
      </c>
      <c r="E71" s="68"/>
      <c r="F71" s="69"/>
      <c r="G71" s="69"/>
      <c r="H71" s="71">
        <f t="shared" si="3"/>
        <v>0</v>
      </c>
      <c r="I71" s="71">
        <f t="shared" si="2"/>
        <v>2500000</v>
      </c>
      <c r="J71" s="69">
        <f t="shared" si="1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'31-3-26'!I72</f>
        <v>1800000</v>
      </c>
      <c r="E72" s="68"/>
      <c r="F72" s="69"/>
      <c r="G72" s="69"/>
      <c r="H72" s="71">
        <f t="shared" si="3"/>
        <v>0</v>
      </c>
      <c r="I72" s="71">
        <f t="shared" si="2"/>
        <v>1800000</v>
      </c>
      <c r="J72" s="69">
        <f t="shared" si="1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3"/>
        <v>0</v>
      </c>
      <c r="I73" s="71">
        <f t="shared" si="2"/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'31-3-26'!I74</f>
        <v>4000000</v>
      </c>
      <c r="E74" s="68"/>
      <c r="F74" s="69"/>
      <c r="G74" s="69"/>
      <c r="H74" s="71">
        <f t="shared" ref="H74:H137" si="4">SUM(F74:G74)</f>
        <v>0</v>
      </c>
      <c r="I74" s="71">
        <f t="shared" ref="I74:I137" si="5">D74-F74</f>
        <v>4000000</v>
      </c>
      <c r="J74" s="69">
        <f t="shared" ref="J74:J137" si="6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'31-3-26'!I75</f>
        <v>3000000</v>
      </c>
      <c r="E75" s="68">
        <v>1</v>
      </c>
      <c r="F75" s="69">
        <v>300000</v>
      </c>
      <c r="G75" s="69">
        <v>60000</v>
      </c>
      <c r="H75" s="71">
        <f t="shared" si="4"/>
        <v>360000</v>
      </c>
      <c r="I75" s="71">
        <f t="shared" si="5"/>
        <v>2700000</v>
      </c>
      <c r="J75" s="69">
        <f t="shared" si="6"/>
        <v>6000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'31-3-26'!I76</f>
        <v>1100000</v>
      </c>
      <c r="E76" s="68">
        <v>1</v>
      </c>
      <c r="F76" s="69">
        <v>110000</v>
      </c>
      <c r="G76" s="69">
        <v>22000</v>
      </c>
      <c r="H76" s="71">
        <f t="shared" si="4"/>
        <v>132000</v>
      </c>
      <c r="I76" s="71">
        <f t="shared" si="5"/>
        <v>990000</v>
      </c>
      <c r="J76" s="69">
        <f t="shared" si="6"/>
        <v>2200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'31-3-26'!I77</f>
        <v>5000000</v>
      </c>
      <c r="E77" s="68">
        <v>1</v>
      </c>
      <c r="F77" s="69">
        <v>250000</v>
      </c>
      <c r="G77" s="69">
        <v>100000</v>
      </c>
      <c r="H77" s="71">
        <f t="shared" si="4"/>
        <v>350000</v>
      </c>
      <c r="I77" s="71">
        <f t="shared" si="5"/>
        <v>4750000</v>
      </c>
      <c r="J77" s="69">
        <f t="shared" si="6"/>
        <v>10000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'24-3-26'!I78</f>
        <v>10000000</v>
      </c>
      <c r="E78" s="68"/>
      <c r="F78" s="69"/>
      <c r="G78" s="69"/>
      <c r="H78" s="71">
        <f t="shared" si="4"/>
        <v>0</v>
      </c>
      <c r="I78" s="71">
        <f t="shared" si="5"/>
        <v>10000000</v>
      </c>
      <c r="J78" s="69">
        <f t="shared" si="6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'24-3-26'!I79</f>
        <v>3000000</v>
      </c>
      <c r="E79" s="68">
        <v>1</v>
      </c>
      <c r="F79" s="69">
        <v>300000</v>
      </c>
      <c r="G79" s="69">
        <v>60000</v>
      </c>
      <c r="H79" s="71">
        <f t="shared" si="4"/>
        <v>360000</v>
      </c>
      <c r="I79" s="71">
        <f t="shared" si="5"/>
        <v>2700000</v>
      </c>
      <c r="J79" s="69">
        <f t="shared" si="6"/>
        <v>6000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'24-3-26'!I80</f>
        <v>1000000</v>
      </c>
      <c r="E80" s="68">
        <v>1</v>
      </c>
      <c r="F80" s="69">
        <v>200000</v>
      </c>
      <c r="G80" s="69">
        <v>40000</v>
      </c>
      <c r="H80" s="71">
        <f t="shared" si="4"/>
        <v>240000</v>
      </c>
      <c r="I80" s="71">
        <f t="shared" si="5"/>
        <v>800000</v>
      </c>
      <c r="J80" s="69">
        <f t="shared" si="6"/>
        <v>4000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'24-3-26'!I81</f>
        <v>7000000</v>
      </c>
      <c r="E81" s="68"/>
      <c r="F81" s="69"/>
      <c r="G81" s="69"/>
      <c r="H81" s="71">
        <f t="shared" si="4"/>
        <v>0</v>
      </c>
      <c r="I81" s="71">
        <f t="shared" si="5"/>
        <v>7000000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v>1000000</v>
      </c>
      <c r="E82" s="69"/>
      <c r="F82" s="69"/>
      <c r="G82" s="69"/>
      <c r="H82" s="71">
        <f t="shared" si="4"/>
        <v>0</v>
      </c>
      <c r="I82" s="71">
        <f t="shared" si="5"/>
        <v>1000000</v>
      </c>
      <c r="J82" s="69">
        <f t="shared" si="6"/>
        <v>0</v>
      </c>
    </row>
    <row r="83" s="45" customFormat="1" ht="12.75" customHeight="1" spans="1:10">
      <c r="A83" s="68"/>
      <c r="B83" s="69"/>
      <c r="C83" s="70"/>
      <c r="D83" s="71">
        <f>'24-3-26'!I83</f>
        <v>0</v>
      </c>
      <c r="E83" s="68"/>
      <c r="F83" s="69"/>
      <c r="G83" s="69"/>
      <c r="H83" s="71">
        <f t="shared" si="4"/>
        <v>0</v>
      </c>
      <c r="I83" s="71">
        <f t="shared" si="5"/>
        <v>0</v>
      </c>
      <c r="J83" s="69">
        <f t="shared" si="6"/>
        <v>0</v>
      </c>
    </row>
    <row r="84" s="45" customFormat="1" ht="12.75" customHeight="1" spans="1:10">
      <c r="A84" s="68"/>
      <c r="B84" s="69"/>
      <c r="C84" s="70"/>
      <c r="D84" s="71">
        <f>'24-3-26'!I84</f>
        <v>0</v>
      </c>
      <c r="E84" s="68"/>
      <c r="F84" s="69"/>
      <c r="G84" s="69"/>
      <c r="H84" s="71">
        <f t="shared" si="4"/>
        <v>0</v>
      </c>
      <c r="I84" s="71">
        <f t="shared" si="5"/>
        <v>0</v>
      </c>
      <c r="J84" s="69">
        <f t="shared" si="6"/>
        <v>0</v>
      </c>
    </row>
    <row r="85" s="45" customFormat="1" ht="12.75" customHeight="1" spans="1:10">
      <c r="A85" s="68"/>
      <c r="B85" s="69"/>
      <c r="C85" s="70"/>
      <c r="D85" s="71">
        <f>'24-3-26'!I85</f>
        <v>0</v>
      </c>
      <c r="E85" s="68"/>
      <c r="F85" s="69"/>
      <c r="G85" s="69"/>
      <c r="H85" s="71">
        <f t="shared" si="4"/>
        <v>0</v>
      </c>
      <c r="I85" s="71">
        <f t="shared" si="5"/>
        <v>0</v>
      </c>
      <c r="J85" s="69">
        <f t="shared" si="6"/>
        <v>0</v>
      </c>
    </row>
    <row r="86" s="45" customFormat="1" ht="12.75" customHeight="1" spans="1:10">
      <c r="A86" s="68"/>
      <c r="B86" s="69"/>
      <c r="C86" s="70"/>
      <c r="D86" s="71">
        <f>'24-3-26'!I86</f>
        <v>0</v>
      </c>
      <c r="E86" s="68"/>
      <c r="F86" s="69"/>
      <c r="G86" s="69"/>
      <c r="H86" s="71">
        <f t="shared" si="4"/>
        <v>0</v>
      </c>
      <c r="I86" s="71">
        <f t="shared" si="5"/>
        <v>0</v>
      </c>
      <c r="J86" s="69">
        <f t="shared" si="6"/>
        <v>0</v>
      </c>
    </row>
    <row r="87" s="45" customFormat="1" ht="12.75" customHeight="1" spans="1:10">
      <c r="A87" s="68"/>
      <c r="B87" s="69"/>
      <c r="C87" s="70"/>
      <c r="D87" s="71">
        <f>'24-3-26'!I87</f>
        <v>0</v>
      </c>
      <c r="E87" s="68"/>
      <c r="F87" s="69"/>
      <c r="G87" s="69"/>
      <c r="H87" s="71">
        <f t="shared" si="4"/>
        <v>0</v>
      </c>
      <c r="I87" s="71">
        <f t="shared" si="5"/>
        <v>0</v>
      </c>
      <c r="J87" s="69">
        <f t="shared" si="6"/>
        <v>0</v>
      </c>
    </row>
    <row r="88" s="45" customFormat="1" ht="12.75" customHeight="1" spans="1:10">
      <c r="A88" s="68"/>
      <c r="B88" s="69"/>
      <c r="C88" s="70"/>
      <c r="D88" s="71">
        <f>'24-3-26'!I88</f>
        <v>0</v>
      </c>
      <c r="E88" s="68"/>
      <c r="F88" s="69"/>
      <c r="G88" s="69"/>
      <c r="H88" s="71">
        <f t="shared" si="4"/>
        <v>0</v>
      </c>
      <c r="I88" s="71">
        <f t="shared" si="5"/>
        <v>0</v>
      </c>
      <c r="J88" s="69">
        <f t="shared" si="6"/>
        <v>0</v>
      </c>
    </row>
    <row r="89" s="45" customFormat="1" ht="12.75" customHeight="1" spans="1:10">
      <c r="A89" s="68"/>
      <c r="B89" s="69"/>
      <c r="C89" s="70"/>
      <c r="D89" s="71">
        <f>'24-3-26'!I89</f>
        <v>0</v>
      </c>
      <c r="E89" s="68"/>
      <c r="F89" s="69"/>
      <c r="G89" s="69"/>
      <c r="H89" s="71">
        <f t="shared" si="4"/>
        <v>0</v>
      </c>
      <c r="I89" s="71">
        <f t="shared" si="5"/>
        <v>0</v>
      </c>
      <c r="J89" s="69">
        <f t="shared" si="6"/>
        <v>0</v>
      </c>
    </row>
    <row r="90" s="45" customFormat="1" ht="12.75" customHeight="1" spans="1:10">
      <c r="A90" s="68"/>
      <c r="B90" s="69"/>
      <c r="C90" s="70"/>
      <c r="D90" s="71">
        <f>'24-3-26'!I90</f>
        <v>0</v>
      </c>
      <c r="E90" s="68"/>
      <c r="F90" s="69"/>
      <c r="G90" s="69"/>
      <c r="H90" s="71">
        <f t="shared" si="4"/>
        <v>0</v>
      </c>
      <c r="I90" s="71">
        <f t="shared" si="5"/>
        <v>0</v>
      </c>
      <c r="J90" s="69">
        <f t="shared" si="6"/>
        <v>0</v>
      </c>
    </row>
    <row r="91" s="45" customFormat="1" ht="12.75" customHeight="1" spans="1:10">
      <c r="A91" s="68"/>
      <c r="B91" s="69"/>
      <c r="C91" s="70"/>
      <c r="D91" s="71">
        <f>'24-3-26'!I91</f>
        <v>0</v>
      </c>
      <c r="E91" s="68"/>
      <c r="F91" s="69"/>
      <c r="G91" s="69"/>
      <c r="H91" s="71">
        <f t="shared" si="4"/>
        <v>0</v>
      </c>
      <c r="I91" s="71">
        <f t="shared" si="5"/>
        <v>0</v>
      </c>
      <c r="J91" s="69">
        <f t="shared" si="6"/>
        <v>0</v>
      </c>
    </row>
    <row r="92" s="45" customFormat="1" ht="12.75" customHeight="1" spans="1:10">
      <c r="A92" s="68"/>
      <c r="B92" s="69"/>
      <c r="C92" s="70"/>
      <c r="D92" s="71">
        <f>'24-3-26'!I92</f>
        <v>0</v>
      </c>
      <c r="E92" s="68"/>
      <c r="F92" s="69"/>
      <c r="G92" s="69"/>
      <c r="H92" s="71">
        <f t="shared" si="4"/>
        <v>0</v>
      </c>
      <c r="I92" s="71">
        <f t="shared" si="5"/>
        <v>0</v>
      </c>
      <c r="J92" s="69">
        <f t="shared" si="6"/>
        <v>0</v>
      </c>
    </row>
    <row r="93" s="45" customFormat="1" ht="12.75" customHeight="1" spans="1:10">
      <c r="A93" s="68"/>
      <c r="B93" s="69"/>
      <c r="C93" s="70"/>
      <c r="D93" s="71">
        <f>'24-3-26'!I93</f>
        <v>0</v>
      </c>
      <c r="E93" s="68"/>
      <c r="F93" s="69"/>
      <c r="G93" s="69"/>
      <c r="H93" s="71">
        <f t="shared" si="4"/>
        <v>0</v>
      </c>
      <c r="I93" s="71">
        <f t="shared" si="5"/>
        <v>0</v>
      </c>
      <c r="J93" s="69">
        <f t="shared" si="6"/>
        <v>0</v>
      </c>
    </row>
    <row r="94" s="45" customFormat="1" ht="12.75" customHeight="1" spans="1:10">
      <c r="A94" s="68"/>
      <c r="B94" s="69"/>
      <c r="C94" s="70"/>
      <c r="D94" s="71">
        <f>'24-3-26'!I94</f>
        <v>0</v>
      </c>
      <c r="E94" s="68"/>
      <c r="F94" s="69"/>
      <c r="G94" s="69"/>
      <c r="H94" s="71">
        <f t="shared" si="4"/>
        <v>0</v>
      </c>
      <c r="I94" s="71">
        <f t="shared" si="5"/>
        <v>0</v>
      </c>
      <c r="J94" s="69">
        <f t="shared" si="6"/>
        <v>0</v>
      </c>
    </row>
    <row r="95" s="45" customFormat="1" ht="12.75" customHeight="1" spans="1:10">
      <c r="A95" s="68"/>
      <c r="B95" s="69"/>
      <c r="C95" s="70"/>
      <c r="D95" s="71">
        <f>'24-3-26'!I95</f>
        <v>0</v>
      </c>
      <c r="E95" s="68"/>
      <c r="F95" s="69"/>
      <c r="G95" s="69"/>
      <c r="H95" s="71">
        <f t="shared" si="4"/>
        <v>0</v>
      </c>
      <c r="I95" s="71">
        <f t="shared" si="5"/>
        <v>0</v>
      </c>
      <c r="J95" s="69">
        <f t="shared" si="6"/>
        <v>0</v>
      </c>
    </row>
    <row r="96" s="45" customFormat="1" ht="12.75" customHeight="1" spans="1:10">
      <c r="A96" s="68"/>
      <c r="B96" s="69"/>
      <c r="C96" s="70"/>
      <c r="D96" s="71">
        <f>'24-3-26'!I96</f>
        <v>0</v>
      </c>
      <c r="E96" s="68"/>
      <c r="F96" s="69"/>
      <c r="G96" s="69"/>
      <c r="H96" s="71">
        <f t="shared" si="4"/>
        <v>0</v>
      </c>
      <c r="I96" s="71">
        <f t="shared" si="5"/>
        <v>0</v>
      </c>
      <c r="J96" s="69">
        <f t="shared" si="6"/>
        <v>0</v>
      </c>
    </row>
    <row r="97" s="45" customFormat="1" ht="12.75" customHeight="1" spans="1:10">
      <c r="A97" s="68"/>
      <c r="B97" s="69"/>
      <c r="C97" s="70"/>
      <c r="D97" s="71">
        <f>'24-3-26'!I97</f>
        <v>0</v>
      </c>
      <c r="E97" s="68"/>
      <c r="F97" s="69"/>
      <c r="G97" s="69"/>
      <c r="H97" s="71">
        <f t="shared" si="4"/>
        <v>0</v>
      </c>
      <c r="I97" s="71">
        <f t="shared" si="5"/>
        <v>0</v>
      </c>
      <c r="J97" s="69">
        <f t="shared" si="6"/>
        <v>0</v>
      </c>
    </row>
    <row r="98" s="45" customFormat="1" ht="12.75" customHeight="1" spans="1:10">
      <c r="A98" s="68"/>
      <c r="B98" s="69"/>
      <c r="C98" s="70"/>
      <c r="D98" s="71">
        <f>'24-3-26'!I98</f>
        <v>0</v>
      </c>
      <c r="E98" s="68"/>
      <c r="F98" s="69"/>
      <c r="G98" s="69"/>
      <c r="H98" s="71">
        <f t="shared" si="4"/>
        <v>0</v>
      </c>
      <c r="I98" s="71">
        <f t="shared" si="5"/>
        <v>0</v>
      </c>
      <c r="J98" s="69">
        <f t="shared" si="6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4"/>
        <v>0</v>
      </c>
      <c r="I99" s="71">
        <f t="shared" si="5"/>
        <v>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4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4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4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4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4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4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4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4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4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4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4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4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4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4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4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4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4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4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4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4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4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4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4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4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4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4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4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4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4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4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4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4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4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4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4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4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4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4"/>
        <v>0</v>
      </c>
      <c r="I137" s="71">
        <f t="shared" si="5"/>
        <v>0</v>
      </c>
      <c r="J137" s="69">
        <f t="shared" si="6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ref="I138:I187" si="8">D138-F138</f>
        <v>0</v>
      </c>
      <c r="J138" s="69">
        <f t="shared" ref="J138:J187" si="9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463052000</v>
      </c>
      <c r="E188" s="79">
        <f t="shared" si="10"/>
        <v>24</v>
      </c>
      <c r="F188" s="78">
        <f t="shared" si="10"/>
        <v>1310000</v>
      </c>
      <c r="G188" s="78">
        <f t="shared" si="10"/>
        <v>342000</v>
      </c>
      <c r="H188" s="78">
        <f t="shared" si="10"/>
        <v>1652000</v>
      </c>
      <c r="I188" s="78">
        <f t="shared" si="10"/>
        <v>461742000</v>
      </c>
      <c r="J188" s="78">
        <f t="shared" si="10"/>
        <v>34200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342000</v>
      </c>
      <c r="E191" s="47"/>
      <c r="F191" s="129" t="s">
        <v>187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17100</v>
      </c>
      <c r="E192" s="47"/>
      <c r="F192" s="80" t="s">
        <v>131</v>
      </c>
      <c r="G192" s="80"/>
      <c r="H192" s="80"/>
      <c r="I192" s="80"/>
      <c r="K192" s="82"/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188100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8550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8550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8550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8550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34200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85500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342000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73" workbookViewId="0">
      <selection activeCell="A71" sqref="A71:A84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188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'7-4-26'!I9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'7-4-26'!I10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'7-4-26'!I11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'7-4-26'!I12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'7-4-26'!I13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'7-4-26'!I14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'7-4-26'!I15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'7-4-26'!I16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'7-4-26'!I17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'7-4-26'!I18</f>
        <v>12595000</v>
      </c>
      <c r="E18" s="68"/>
      <c r="F18" s="69"/>
      <c r="G18" s="69"/>
      <c r="H18" s="71">
        <f t="shared" si="0"/>
        <v>0</v>
      </c>
      <c r="I18" s="71">
        <f t="shared" si="1"/>
        <v>12595000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'7-4-26'!I19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'7-4-26'!I20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'7-4-26'!I21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'7-4-26'!I22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'7-4-26'!I23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'7-4-26'!I24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'7-4-26'!I25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'7-4-26'!I26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'7-4-26'!I27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'7-4-26'!I28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'7-4-26'!I29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'7-4-26'!I30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'7-4-26'!I31</f>
        <v>750000</v>
      </c>
      <c r="E31" s="68"/>
      <c r="F31" s="69"/>
      <c r="G31" s="69"/>
      <c r="H31" s="71">
        <f t="shared" si="0"/>
        <v>0</v>
      </c>
      <c r="I31" s="71">
        <f t="shared" si="1"/>
        <v>750000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'7-4-26'!I32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'7-4-26'!I33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'7-4-26'!I34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'7-4-26'!I35</f>
        <v>3500000</v>
      </c>
      <c r="E35" s="68">
        <v>7</v>
      </c>
      <c r="F35" s="69">
        <v>250000</v>
      </c>
      <c r="G35" s="69">
        <v>100000</v>
      </c>
      <c r="H35" s="71">
        <f t="shared" si="0"/>
        <v>350000</v>
      </c>
      <c r="I35" s="71">
        <f t="shared" si="1"/>
        <v>3250000</v>
      </c>
      <c r="J35" s="69">
        <f t="shared" si="2"/>
        <v>10000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'7-4-26'!I36</f>
        <v>7800000</v>
      </c>
      <c r="E36" s="68"/>
      <c r="F36" s="69"/>
      <c r="G36" s="69"/>
      <c r="H36" s="71">
        <f t="shared" si="0"/>
        <v>0</v>
      </c>
      <c r="I36" s="71">
        <f t="shared" si="1"/>
        <v>7800000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'7-4-26'!I37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'7-4-26'!I38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'7-4-26'!I39</f>
        <v>14320000</v>
      </c>
      <c r="E39" s="68"/>
      <c r="F39" s="69"/>
      <c r="G39" s="69"/>
      <c r="H39" s="71">
        <f t="shared" si="0"/>
        <v>0</v>
      </c>
      <c r="I39" s="71">
        <f t="shared" si="1"/>
        <v>14320000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'7-4-26'!I40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'7-4-26'!I41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'7-4-26'!I42</f>
        <v>1200000</v>
      </c>
      <c r="E42" s="68"/>
      <c r="F42" s="69"/>
      <c r="G42" s="69"/>
      <c r="H42" s="71">
        <f t="shared" si="0"/>
        <v>0</v>
      </c>
      <c r="I42" s="71">
        <f t="shared" si="1"/>
        <v>1200000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'7-4-26'!I43</f>
        <v>5250000</v>
      </c>
      <c r="E43" s="68"/>
      <c r="F43" s="69"/>
      <c r="G43" s="69"/>
      <c r="H43" s="71">
        <f t="shared" si="0"/>
        <v>0</v>
      </c>
      <c r="I43" s="71">
        <f t="shared" si="1"/>
        <v>5250000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'7-4-26'!I44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'7-4-26'!I45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'7-4-26'!I46</f>
        <v>150000</v>
      </c>
      <c r="E46" s="68"/>
      <c r="F46" s="69"/>
      <c r="G46" s="69"/>
      <c r="H46" s="71">
        <f t="shared" ref="H46:H84" si="3">SUM(F46:G46)</f>
        <v>0</v>
      </c>
      <c r="I46" s="71">
        <f t="shared" si="1"/>
        <v>150000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'7-4-26'!I47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'7-4-26'!I48</f>
        <v>800000</v>
      </c>
      <c r="E48" s="68"/>
      <c r="F48" s="69"/>
      <c r="G48" s="69"/>
      <c r="H48" s="71">
        <f t="shared" si="3"/>
        <v>0</v>
      </c>
      <c r="I48" s="71">
        <f t="shared" si="1"/>
        <v>800000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'7-4-26'!I49</f>
        <v>9600000</v>
      </c>
      <c r="E49" s="68">
        <v>9</v>
      </c>
      <c r="F49" s="69">
        <v>260000</v>
      </c>
      <c r="G49" s="69">
        <v>240000</v>
      </c>
      <c r="H49" s="71">
        <f t="shared" si="3"/>
        <v>500000</v>
      </c>
      <c r="I49" s="71">
        <f t="shared" si="1"/>
        <v>9340000</v>
      </c>
      <c r="J49" s="69">
        <f t="shared" si="2"/>
        <v>24000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'7-4-26'!I50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'7-4-26'!I51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'7-4-26'!I52</f>
        <v>25000000</v>
      </c>
      <c r="E52" s="68"/>
      <c r="F52" s="69"/>
      <c r="G52" s="69"/>
      <c r="H52" s="71">
        <f t="shared" si="3"/>
        <v>0</v>
      </c>
      <c r="I52" s="71">
        <f t="shared" si="1"/>
        <v>25000000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'7-4-26'!I53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'7-4-26'!I54</f>
        <v>4600000</v>
      </c>
      <c r="E54" s="68"/>
      <c r="F54" s="69"/>
      <c r="G54" s="69"/>
      <c r="H54" s="71">
        <f t="shared" si="3"/>
        <v>0</v>
      </c>
      <c r="I54" s="71">
        <f t="shared" si="1"/>
        <v>4600000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'7-4-26'!I55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'7-4-26'!I56</f>
        <v>200000</v>
      </c>
      <c r="E56" s="68"/>
      <c r="F56" s="69"/>
      <c r="G56" s="69"/>
      <c r="H56" s="71">
        <f t="shared" si="3"/>
        <v>0</v>
      </c>
      <c r="I56" s="71">
        <f t="shared" si="1"/>
        <v>200000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'7-4-26'!I57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'7-4-26'!I58</f>
        <v>980000</v>
      </c>
      <c r="E58" s="68"/>
      <c r="F58" s="69"/>
      <c r="G58" s="69"/>
      <c r="H58" s="71">
        <f t="shared" si="3"/>
        <v>0</v>
      </c>
      <c r="I58" s="71">
        <f t="shared" si="1"/>
        <v>980000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'7-4-26'!I59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'7-4-26'!I60</f>
        <v>3000000</v>
      </c>
      <c r="E60" s="68"/>
      <c r="F60" s="69"/>
      <c r="G60" s="69"/>
      <c r="H60" s="71">
        <f t="shared" si="3"/>
        <v>0</v>
      </c>
      <c r="I60" s="71">
        <f t="shared" si="1"/>
        <v>3000000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'7-4-26'!I61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'7-4-26'!I62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'7-4-26'!I63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'7-4-26'!I64</f>
        <v>1350000</v>
      </c>
      <c r="E64" s="68">
        <v>2</v>
      </c>
      <c r="F64" s="69">
        <v>1350000</v>
      </c>
      <c r="G64" s="69">
        <v>60000</v>
      </c>
      <c r="H64" s="71">
        <f t="shared" si="3"/>
        <v>1410000</v>
      </c>
      <c r="I64" s="71">
        <f t="shared" si="1"/>
        <v>0</v>
      </c>
      <c r="J64" s="69">
        <f t="shared" si="2"/>
        <v>6000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'7-4-26'!I65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'7-4-26'!I66</f>
        <v>150000</v>
      </c>
      <c r="E66" s="68">
        <v>8</v>
      </c>
      <c r="F66" s="69">
        <v>50000</v>
      </c>
      <c r="G66" s="69">
        <v>10000</v>
      </c>
      <c r="H66" s="71">
        <f t="shared" si="3"/>
        <v>60000</v>
      </c>
      <c r="I66" s="71">
        <f t="shared" si="1"/>
        <v>100000</v>
      </c>
      <c r="J66" s="69">
        <f t="shared" si="2"/>
        <v>1000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'7-4-26'!I67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'7-4-26'!I68</f>
        <v>10000000</v>
      </c>
      <c r="E68" s="68"/>
      <c r="F68" s="69"/>
      <c r="G68" s="69"/>
      <c r="H68" s="71">
        <f t="shared" si="3"/>
        <v>0</v>
      </c>
      <c r="I68" s="71">
        <f t="shared" si="1"/>
        <v>10000000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'7-4-26'!I69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'7-4-26'!I70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'7-4-26'!I71</f>
        <v>2500000</v>
      </c>
      <c r="E71" s="68">
        <v>2</v>
      </c>
      <c r="F71" s="69">
        <v>500000</v>
      </c>
      <c r="G71" s="69">
        <v>60000</v>
      </c>
      <c r="H71" s="71">
        <f t="shared" si="3"/>
        <v>560000</v>
      </c>
      <c r="I71" s="71">
        <f t="shared" si="1"/>
        <v>2000000</v>
      </c>
      <c r="J71" s="69">
        <f t="shared" si="2"/>
        <v>6000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'7-4-26'!I72</f>
        <v>1800000</v>
      </c>
      <c r="E72" s="68"/>
      <c r="F72" s="69"/>
      <c r="G72" s="69"/>
      <c r="H72" s="71">
        <f t="shared" si="3"/>
        <v>0</v>
      </c>
      <c r="I72" s="71">
        <f t="shared" si="1"/>
        <v>1800000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3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'7-4-26'!I74</f>
        <v>4000000</v>
      </c>
      <c r="E74" s="68"/>
      <c r="F74" s="69"/>
      <c r="G74" s="69"/>
      <c r="H74" s="71">
        <f t="shared" si="3"/>
        <v>0</v>
      </c>
      <c r="I74" s="71">
        <f t="shared" ref="I74:I137" si="4">D74-F74</f>
        <v>4000000</v>
      </c>
      <c r="J74" s="69">
        <f t="shared" ref="J74:J137" si="5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'7-4-26'!I75</f>
        <v>2700000</v>
      </c>
      <c r="E75" s="68"/>
      <c r="F75" s="69"/>
      <c r="G75" s="69"/>
      <c r="H75" s="71">
        <f t="shared" si="3"/>
        <v>0</v>
      </c>
      <c r="I75" s="71">
        <f t="shared" si="4"/>
        <v>2700000</v>
      </c>
      <c r="J75" s="69">
        <f t="shared" si="5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'7-4-26'!I76</f>
        <v>990000</v>
      </c>
      <c r="E76" s="68"/>
      <c r="F76" s="69"/>
      <c r="G76" s="69"/>
      <c r="H76" s="71">
        <f t="shared" si="3"/>
        <v>0</v>
      </c>
      <c r="I76" s="71">
        <f t="shared" si="4"/>
        <v>990000</v>
      </c>
      <c r="J76" s="69">
        <f t="shared" si="5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'7-4-26'!I77</f>
        <v>4750000</v>
      </c>
      <c r="E77" s="68"/>
      <c r="F77" s="69"/>
      <c r="G77" s="69"/>
      <c r="H77" s="71">
        <f t="shared" si="3"/>
        <v>0</v>
      </c>
      <c r="I77" s="71">
        <f t="shared" si="4"/>
        <v>4750000</v>
      </c>
      <c r="J77" s="69">
        <f t="shared" si="5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'7-4-26'!I78</f>
        <v>10000000</v>
      </c>
      <c r="E78" s="68">
        <v>1</v>
      </c>
      <c r="F78" s="69">
        <v>500000</v>
      </c>
      <c r="G78" s="69">
        <v>200000</v>
      </c>
      <c r="H78" s="71">
        <f t="shared" si="3"/>
        <v>700000</v>
      </c>
      <c r="I78" s="71">
        <f t="shared" si="4"/>
        <v>9500000</v>
      </c>
      <c r="J78" s="69">
        <f t="shared" si="5"/>
        <v>20000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'7-4-26'!I79</f>
        <v>2700000</v>
      </c>
      <c r="E79" s="68"/>
      <c r="F79" s="69"/>
      <c r="G79" s="69"/>
      <c r="H79" s="71">
        <f t="shared" si="3"/>
        <v>0</v>
      </c>
      <c r="I79" s="71">
        <f t="shared" si="4"/>
        <v>2700000</v>
      </c>
      <c r="J79" s="69">
        <f t="shared" si="5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'7-4-26'!I80</f>
        <v>800000</v>
      </c>
      <c r="E80" s="68"/>
      <c r="F80" s="69"/>
      <c r="G80" s="69"/>
      <c r="H80" s="71">
        <f t="shared" si="3"/>
        <v>0</v>
      </c>
      <c r="I80" s="71">
        <f t="shared" si="4"/>
        <v>800000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'7-4-26'!I81</f>
        <v>7000000</v>
      </c>
      <c r="E81" s="68"/>
      <c r="F81" s="69"/>
      <c r="G81" s="69"/>
      <c r="H81" s="71">
        <f t="shared" si="3"/>
        <v>0</v>
      </c>
      <c r="I81" s="71">
        <f t="shared" si="4"/>
        <v>7000000</v>
      </c>
      <c r="J81" s="69">
        <f t="shared" si="5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'7-4-26'!I82</f>
        <v>1000000</v>
      </c>
      <c r="E82" s="69"/>
      <c r="F82" s="69"/>
      <c r="G82" s="69"/>
      <c r="H82" s="71">
        <f t="shared" si="3"/>
        <v>0</v>
      </c>
      <c r="I82" s="71">
        <f t="shared" si="4"/>
        <v>1000000</v>
      </c>
      <c r="J82" s="69">
        <f t="shared" si="5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v>500000</v>
      </c>
      <c r="E83" s="68"/>
      <c r="F83" s="69"/>
      <c r="G83" s="69"/>
      <c r="H83" s="71">
        <f t="shared" si="3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v>500000</v>
      </c>
      <c r="E84" s="68"/>
      <c r="F84" s="69"/>
      <c r="G84" s="69"/>
      <c r="H84" s="71">
        <f t="shared" si="3"/>
        <v>0</v>
      </c>
      <c r="I84" s="71">
        <f t="shared" si="4"/>
        <v>500000</v>
      </c>
      <c r="J84" s="69">
        <f t="shared" si="5"/>
        <v>0</v>
      </c>
    </row>
    <row r="85" s="45" customFormat="1" ht="12.75" customHeight="1" spans="1:10">
      <c r="A85" s="68"/>
      <c r="B85" s="69"/>
      <c r="C85" s="70"/>
      <c r="D85" s="71">
        <f>'24-3-26'!I85</f>
        <v>0</v>
      </c>
      <c r="E85" s="68"/>
      <c r="F85" s="69"/>
      <c r="G85" s="69"/>
      <c r="H85" s="71">
        <f t="shared" ref="H74:H137" si="6">SUM(F85:G85)</f>
        <v>0</v>
      </c>
      <c r="I85" s="71">
        <f t="shared" si="4"/>
        <v>0</v>
      </c>
      <c r="J85" s="69">
        <f t="shared" si="5"/>
        <v>0</v>
      </c>
    </row>
    <row r="86" s="45" customFormat="1" ht="12.75" customHeight="1" spans="1:10">
      <c r="A86" s="68"/>
      <c r="B86" s="69"/>
      <c r="C86" s="70"/>
      <c r="D86" s="71">
        <f>'24-3-26'!I86</f>
        <v>0</v>
      </c>
      <c r="E86" s="68"/>
      <c r="F86" s="69"/>
      <c r="G86" s="69"/>
      <c r="H86" s="71">
        <f t="shared" si="6"/>
        <v>0</v>
      </c>
      <c r="I86" s="71">
        <f t="shared" si="4"/>
        <v>0</v>
      </c>
      <c r="J86" s="69">
        <f t="shared" si="5"/>
        <v>0</v>
      </c>
    </row>
    <row r="87" s="45" customFormat="1" ht="12.75" customHeight="1" spans="1:10">
      <c r="A87" s="68"/>
      <c r="B87" s="69"/>
      <c r="C87" s="70"/>
      <c r="D87" s="71">
        <f>'24-3-26'!I87</f>
        <v>0</v>
      </c>
      <c r="E87" s="68"/>
      <c r="F87" s="69"/>
      <c r="G87" s="69"/>
      <c r="H87" s="71">
        <f t="shared" si="6"/>
        <v>0</v>
      </c>
      <c r="I87" s="71">
        <f t="shared" si="4"/>
        <v>0</v>
      </c>
      <c r="J87" s="69">
        <f t="shared" si="5"/>
        <v>0</v>
      </c>
    </row>
    <row r="88" s="45" customFormat="1" ht="12.75" customHeight="1" spans="1:10">
      <c r="A88" s="68"/>
      <c r="B88" s="69"/>
      <c r="C88" s="70"/>
      <c r="D88" s="71">
        <f>'24-3-26'!I88</f>
        <v>0</v>
      </c>
      <c r="E88" s="68"/>
      <c r="F88" s="69"/>
      <c r="G88" s="69"/>
      <c r="H88" s="71">
        <f t="shared" si="6"/>
        <v>0</v>
      </c>
      <c r="I88" s="71">
        <f t="shared" si="4"/>
        <v>0</v>
      </c>
      <c r="J88" s="69">
        <f t="shared" si="5"/>
        <v>0</v>
      </c>
    </row>
    <row r="89" s="45" customFormat="1" ht="12.75" customHeight="1" spans="1:10">
      <c r="A89" s="68"/>
      <c r="B89" s="69"/>
      <c r="C89" s="70"/>
      <c r="D89" s="71">
        <f>'24-3-26'!I89</f>
        <v>0</v>
      </c>
      <c r="E89" s="68"/>
      <c r="F89" s="69"/>
      <c r="G89" s="69"/>
      <c r="H89" s="71">
        <f t="shared" si="6"/>
        <v>0</v>
      </c>
      <c r="I89" s="71">
        <f t="shared" si="4"/>
        <v>0</v>
      </c>
      <c r="J89" s="69">
        <f t="shared" si="5"/>
        <v>0</v>
      </c>
    </row>
    <row r="90" s="45" customFormat="1" ht="12.75" customHeight="1" spans="1:10">
      <c r="A90" s="68"/>
      <c r="B90" s="69"/>
      <c r="C90" s="70"/>
      <c r="D90" s="71">
        <f>'24-3-26'!I90</f>
        <v>0</v>
      </c>
      <c r="E90" s="68"/>
      <c r="F90" s="69"/>
      <c r="G90" s="69"/>
      <c r="H90" s="71">
        <f t="shared" si="6"/>
        <v>0</v>
      </c>
      <c r="I90" s="71">
        <f t="shared" si="4"/>
        <v>0</v>
      </c>
      <c r="J90" s="69">
        <f t="shared" si="5"/>
        <v>0</v>
      </c>
    </row>
    <row r="91" s="45" customFormat="1" ht="12.75" customHeight="1" spans="1:10">
      <c r="A91" s="68"/>
      <c r="B91" s="69"/>
      <c r="C91" s="70"/>
      <c r="D91" s="71">
        <f>'24-3-26'!I91</f>
        <v>0</v>
      </c>
      <c r="E91" s="68"/>
      <c r="F91" s="69"/>
      <c r="G91" s="69"/>
      <c r="H91" s="71">
        <f t="shared" si="6"/>
        <v>0</v>
      </c>
      <c r="I91" s="71">
        <f t="shared" si="4"/>
        <v>0</v>
      </c>
      <c r="J91" s="69">
        <f t="shared" si="5"/>
        <v>0</v>
      </c>
    </row>
    <row r="92" s="45" customFormat="1" ht="12.75" customHeight="1" spans="1:10">
      <c r="A92" s="68"/>
      <c r="B92" s="69"/>
      <c r="C92" s="70"/>
      <c r="D92" s="71">
        <f>'24-3-26'!I92</f>
        <v>0</v>
      </c>
      <c r="E92" s="68"/>
      <c r="F92" s="69"/>
      <c r="G92" s="69"/>
      <c r="H92" s="71">
        <f t="shared" si="6"/>
        <v>0</v>
      </c>
      <c r="I92" s="71">
        <f t="shared" si="4"/>
        <v>0</v>
      </c>
      <c r="J92" s="69">
        <f t="shared" si="5"/>
        <v>0</v>
      </c>
    </row>
    <row r="93" s="45" customFormat="1" ht="12.75" customHeight="1" spans="1:10">
      <c r="A93" s="68"/>
      <c r="B93" s="69"/>
      <c r="C93" s="70"/>
      <c r="D93" s="71">
        <f>'24-3-26'!I93</f>
        <v>0</v>
      </c>
      <c r="E93" s="68"/>
      <c r="F93" s="69"/>
      <c r="G93" s="69"/>
      <c r="H93" s="71">
        <f t="shared" si="6"/>
        <v>0</v>
      </c>
      <c r="I93" s="71">
        <f t="shared" si="4"/>
        <v>0</v>
      </c>
      <c r="J93" s="69">
        <f t="shared" si="5"/>
        <v>0</v>
      </c>
    </row>
    <row r="94" s="45" customFormat="1" ht="12.75" customHeight="1" spans="1:10">
      <c r="A94" s="68"/>
      <c r="B94" s="69"/>
      <c r="C94" s="70"/>
      <c r="D94" s="71">
        <f>'24-3-26'!I94</f>
        <v>0</v>
      </c>
      <c r="E94" s="68"/>
      <c r="F94" s="69"/>
      <c r="G94" s="69"/>
      <c r="H94" s="71">
        <f t="shared" si="6"/>
        <v>0</v>
      </c>
      <c r="I94" s="71">
        <f t="shared" si="4"/>
        <v>0</v>
      </c>
      <c r="J94" s="69">
        <f t="shared" si="5"/>
        <v>0</v>
      </c>
    </row>
    <row r="95" s="45" customFormat="1" ht="12.75" customHeight="1" spans="1:10">
      <c r="A95" s="68"/>
      <c r="B95" s="69"/>
      <c r="C95" s="70"/>
      <c r="D95" s="71">
        <f>'24-3-26'!I95</f>
        <v>0</v>
      </c>
      <c r="E95" s="68"/>
      <c r="F95" s="69"/>
      <c r="G95" s="69"/>
      <c r="H95" s="71">
        <f t="shared" si="6"/>
        <v>0</v>
      </c>
      <c r="I95" s="71">
        <f t="shared" si="4"/>
        <v>0</v>
      </c>
      <c r="J95" s="69">
        <f t="shared" si="5"/>
        <v>0</v>
      </c>
    </row>
    <row r="96" s="45" customFormat="1" ht="12.75" customHeight="1" spans="1:10">
      <c r="A96" s="68"/>
      <c r="B96" s="69"/>
      <c r="C96" s="70"/>
      <c r="D96" s="71">
        <f>'24-3-26'!I96</f>
        <v>0</v>
      </c>
      <c r="E96" s="68"/>
      <c r="F96" s="69"/>
      <c r="G96" s="69"/>
      <c r="H96" s="71">
        <f t="shared" si="6"/>
        <v>0</v>
      </c>
      <c r="I96" s="71">
        <f t="shared" si="4"/>
        <v>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'24-3-26'!I97</f>
        <v>0</v>
      </c>
      <c r="E97" s="68"/>
      <c r="F97" s="69"/>
      <c r="G97" s="69"/>
      <c r="H97" s="71">
        <f t="shared" si="6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'24-3-26'!I98</f>
        <v>0</v>
      </c>
      <c r="E98" s="68"/>
      <c r="F98" s="69"/>
      <c r="G98" s="69"/>
      <c r="H98" s="71">
        <f t="shared" si="6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6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6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6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6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6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6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6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6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6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6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6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6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6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6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6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6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6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6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6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6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6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6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6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6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6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6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6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6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6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6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6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6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6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6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6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6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6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6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6"/>
        <v>0</v>
      </c>
      <c r="I137" s="71">
        <f t="shared" si="4"/>
        <v>0</v>
      </c>
      <c r="J137" s="69">
        <f t="shared" si="5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ref="I138:I187" si="8">D138-F138</f>
        <v>0</v>
      </c>
      <c r="J138" s="69">
        <f t="shared" ref="J138:J187" si="9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462742000</v>
      </c>
      <c r="E188" s="79">
        <f t="shared" si="10"/>
        <v>29</v>
      </c>
      <c r="F188" s="78">
        <f t="shared" si="10"/>
        <v>2910000</v>
      </c>
      <c r="G188" s="78">
        <f t="shared" si="10"/>
        <v>670000</v>
      </c>
      <c r="H188" s="78">
        <f t="shared" si="10"/>
        <v>3580000</v>
      </c>
      <c r="I188" s="78">
        <f t="shared" si="10"/>
        <v>459832000</v>
      </c>
      <c r="J188" s="78">
        <f t="shared" si="10"/>
        <v>67000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670000</v>
      </c>
      <c r="E191" s="47"/>
      <c r="F191" s="129" t="s">
        <v>190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33500</v>
      </c>
      <c r="E192" s="47"/>
      <c r="F192" s="80" t="s">
        <v>131</v>
      </c>
      <c r="G192" s="80"/>
      <c r="H192" s="80"/>
      <c r="I192" s="80"/>
      <c r="K192" s="82"/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368500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16750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16750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16750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16750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67000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167500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670000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699305555555556" right="0.699305555555556" top="0.75" bottom="0.75" header="0.3" footer="0.3"/>
  <pageSetup paperSize="5" orientation="portrait" horizontalDpi="600"/>
  <headerFooter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69" workbookViewId="0">
      <selection activeCell="A71" sqref="A71:A84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191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'14-4-26'!I9</f>
        <v>5500000</v>
      </c>
      <c r="E9" s="68"/>
      <c r="F9" s="69"/>
      <c r="G9" s="69"/>
      <c r="H9" s="71">
        <f t="shared" ref="H9:H34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'14-4-26'!I10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'14-4-26'!I11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'14-4-26'!I12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'14-4-26'!I13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'14-4-26'!I14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'14-4-26'!I15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'14-4-26'!I16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'14-4-26'!I17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'14-4-26'!I18</f>
        <v>12595000</v>
      </c>
      <c r="E18" s="68">
        <v>12</v>
      </c>
      <c r="F18" s="69">
        <v>600000</v>
      </c>
      <c r="G18" s="69">
        <v>400000</v>
      </c>
      <c r="H18" s="71">
        <f t="shared" si="0"/>
        <v>1000000</v>
      </c>
      <c r="I18" s="71">
        <f t="shared" si="1"/>
        <v>11995000</v>
      </c>
      <c r="J18" s="69">
        <f t="shared" si="2"/>
        <v>40000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'14-4-26'!I19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'14-4-26'!I20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'14-4-26'!I21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'14-4-26'!I22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'14-4-26'!I23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'14-4-26'!I24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'14-4-26'!I25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'14-4-26'!I26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'14-4-26'!I27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'14-4-26'!I28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'14-4-26'!I29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'14-4-26'!I30</f>
        <v>2750000</v>
      </c>
      <c r="E30" s="68"/>
      <c r="F30" s="69"/>
      <c r="G30" s="69"/>
      <c r="H30" s="71">
        <f t="shared" si="0"/>
        <v>0</v>
      </c>
      <c r="I30" s="71">
        <f t="shared" si="1"/>
        <v>2750000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'14-4-26'!I31</f>
        <v>750000</v>
      </c>
      <c r="E31" s="68"/>
      <c r="F31" s="69"/>
      <c r="G31" s="69"/>
      <c r="H31" s="71">
        <f t="shared" si="0"/>
        <v>0</v>
      </c>
      <c r="I31" s="71">
        <f t="shared" si="1"/>
        <v>750000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'14-4-26'!I32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'14-4-26'!I33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'14-4-26'!I34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'14-4-26'!I35</f>
        <v>3250000</v>
      </c>
      <c r="E35" s="68"/>
      <c r="F35" s="69"/>
      <c r="G35" s="69"/>
      <c r="H35" s="71">
        <f t="shared" ref="H35:H79" si="3">SUM(F35:G35)</f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'14-4-26'!I36</f>
        <v>7800000</v>
      </c>
      <c r="E36" s="68">
        <v>24</v>
      </c>
      <c r="F36" s="69">
        <v>1400000</v>
      </c>
      <c r="G36" s="69">
        <v>800000</v>
      </c>
      <c r="H36" s="71">
        <f t="shared" si="3"/>
        <v>2200000</v>
      </c>
      <c r="I36" s="71">
        <f t="shared" si="1"/>
        <v>6400000</v>
      </c>
      <c r="J36" s="69">
        <f t="shared" si="2"/>
        <v>80000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'14-4-26'!I37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'14-4-26'!I38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'14-4-26'!I39</f>
        <v>14320000</v>
      </c>
      <c r="E39" s="68"/>
      <c r="F39" s="69"/>
      <c r="G39" s="69"/>
      <c r="H39" s="71">
        <f t="shared" si="3"/>
        <v>0</v>
      </c>
      <c r="I39" s="71">
        <f t="shared" si="1"/>
        <v>14320000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'14-4-26'!I40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'14-4-26'!I41</f>
        <v>1500000</v>
      </c>
      <c r="E41" s="68"/>
      <c r="F41" s="69"/>
      <c r="G41" s="69"/>
      <c r="H41" s="71">
        <f t="shared" si="3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'14-4-26'!I42</f>
        <v>1200000</v>
      </c>
      <c r="E42" s="68"/>
      <c r="F42" s="69"/>
      <c r="G42" s="69"/>
      <c r="H42" s="71">
        <f t="shared" si="3"/>
        <v>0</v>
      </c>
      <c r="I42" s="71">
        <f t="shared" si="1"/>
        <v>1200000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'14-4-26'!I43</f>
        <v>5250000</v>
      </c>
      <c r="E43" s="68"/>
      <c r="F43" s="69"/>
      <c r="G43" s="69"/>
      <c r="H43" s="71">
        <f t="shared" si="3"/>
        <v>0</v>
      </c>
      <c r="I43" s="71">
        <f t="shared" si="1"/>
        <v>5250000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'14-4-26'!I44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'14-4-26'!I45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'14-4-26'!I46</f>
        <v>150000</v>
      </c>
      <c r="E46" s="68"/>
      <c r="F46" s="69"/>
      <c r="G46" s="69"/>
      <c r="H46" s="71">
        <f t="shared" si="3"/>
        <v>0</v>
      </c>
      <c r="I46" s="71">
        <f t="shared" si="1"/>
        <v>150000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'14-4-26'!I47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'14-4-26'!I48</f>
        <v>800000</v>
      </c>
      <c r="E48" s="68">
        <v>12</v>
      </c>
      <c r="F48" s="69">
        <v>200000</v>
      </c>
      <c r="G48" s="69">
        <v>60000</v>
      </c>
      <c r="H48" s="71">
        <f t="shared" si="3"/>
        <v>260000</v>
      </c>
      <c r="I48" s="71">
        <f t="shared" si="1"/>
        <v>600000</v>
      </c>
      <c r="J48" s="69">
        <f t="shared" si="2"/>
        <v>6000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'14-4-26'!I49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'14-4-26'!I50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'14-4-26'!I51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'14-4-26'!I52</f>
        <v>25000000</v>
      </c>
      <c r="E52" s="68"/>
      <c r="F52" s="69"/>
      <c r="G52" s="69"/>
      <c r="H52" s="71">
        <f t="shared" si="3"/>
        <v>0</v>
      </c>
      <c r="I52" s="71">
        <f t="shared" si="1"/>
        <v>25000000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'14-4-26'!I53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'14-4-26'!I54</f>
        <v>4600000</v>
      </c>
      <c r="E54" s="68"/>
      <c r="F54" s="69"/>
      <c r="G54" s="69"/>
      <c r="H54" s="71">
        <f t="shared" si="3"/>
        <v>0</v>
      </c>
      <c r="I54" s="71">
        <f t="shared" si="1"/>
        <v>4600000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'14-4-26'!I55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'14-4-26'!I56</f>
        <v>200000</v>
      </c>
      <c r="E56" s="68"/>
      <c r="F56" s="69"/>
      <c r="G56" s="69"/>
      <c r="H56" s="71">
        <f t="shared" si="3"/>
        <v>0</v>
      </c>
      <c r="I56" s="71">
        <f t="shared" si="1"/>
        <v>200000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'14-4-26'!I57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'14-4-26'!I58</f>
        <v>980000</v>
      </c>
      <c r="E58" s="68">
        <v>13</v>
      </c>
      <c r="F58" s="69">
        <v>335000</v>
      </c>
      <c r="G58" s="69">
        <v>100000</v>
      </c>
      <c r="H58" s="71">
        <f t="shared" si="3"/>
        <v>435000</v>
      </c>
      <c r="I58" s="71">
        <f t="shared" si="1"/>
        <v>645000</v>
      </c>
      <c r="J58" s="69">
        <f t="shared" si="2"/>
        <v>10000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'14-4-26'!I59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'14-4-26'!I60</f>
        <v>3000000</v>
      </c>
      <c r="E60" s="68"/>
      <c r="F60" s="69"/>
      <c r="G60" s="69"/>
      <c r="H60" s="71">
        <f t="shared" si="3"/>
        <v>0</v>
      </c>
      <c r="I60" s="71">
        <f t="shared" si="1"/>
        <v>3000000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'14-4-26'!I61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'14-4-26'!I62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'14-4-26'!I63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'14-4-26'!I64</f>
        <v>0</v>
      </c>
      <c r="E64" s="68"/>
      <c r="F64" s="69"/>
      <c r="G64" s="69"/>
      <c r="H64" s="71">
        <f t="shared" si="3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'14-4-26'!I65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'14-4-26'!I66</f>
        <v>100000</v>
      </c>
      <c r="E66" s="68"/>
      <c r="F66" s="69"/>
      <c r="G66" s="69"/>
      <c r="H66" s="71">
        <f t="shared" si="3"/>
        <v>0</v>
      </c>
      <c r="I66" s="71">
        <f t="shared" si="1"/>
        <v>100000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'14-4-26'!I67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'14-4-26'!I68</f>
        <v>10000000</v>
      </c>
      <c r="E68" s="68">
        <v>1</v>
      </c>
      <c r="F68" s="69">
        <v>6600000</v>
      </c>
      <c r="G68" s="69">
        <v>400000</v>
      </c>
      <c r="H68" s="71">
        <f t="shared" si="3"/>
        <v>7000000</v>
      </c>
      <c r="I68" s="71">
        <f t="shared" si="1"/>
        <v>3400000</v>
      </c>
      <c r="J68" s="69">
        <f t="shared" si="2"/>
        <v>40000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'14-4-26'!I69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'14-4-26'!I70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'14-4-26'!I71</f>
        <v>2000000</v>
      </c>
      <c r="E71" s="68"/>
      <c r="F71" s="69"/>
      <c r="G71" s="69"/>
      <c r="H71" s="71">
        <f t="shared" si="3"/>
        <v>0</v>
      </c>
      <c r="I71" s="71">
        <f t="shared" si="1"/>
        <v>2000000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'14-4-26'!I72</f>
        <v>1800000</v>
      </c>
      <c r="E72" s="68"/>
      <c r="F72" s="69"/>
      <c r="G72" s="69"/>
      <c r="H72" s="71">
        <f t="shared" si="3"/>
        <v>0</v>
      </c>
      <c r="I72" s="71">
        <f t="shared" si="1"/>
        <v>1800000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3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'14-4-26'!I74</f>
        <v>4000000</v>
      </c>
      <c r="E74" s="68"/>
      <c r="F74" s="69"/>
      <c r="G74" s="69"/>
      <c r="H74" s="71">
        <f t="shared" si="3"/>
        <v>0</v>
      </c>
      <c r="I74" s="71">
        <f t="shared" ref="I74:I137" si="4">D74-F74</f>
        <v>4000000</v>
      </c>
      <c r="J74" s="69">
        <f t="shared" ref="J74:J137" si="5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'14-4-26'!I75</f>
        <v>2700000</v>
      </c>
      <c r="E75" s="68"/>
      <c r="F75" s="69"/>
      <c r="G75" s="69"/>
      <c r="H75" s="71">
        <f t="shared" si="3"/>
        <v>0</v>
      </c>
      <c r="I75" s="71">
        <f t="shared" si="4"/>
        <v>2700000</v>
      </c>
      <c r="J75" s="69">
        <f t="shared" si="5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'14-4-26'!I76</f>
        <v>990000</v>
      </c>
      <c r="E76" s="68"/>
      <c r="F76" s="69"/>
      <c r="G76" s="69"/>
      <c r="H76" s="71">
        <f t="shared" si="3"/>
        <v>0</v>
      </c>
      <c r="I76" s="71">
        <f t="shared" si="4"/>
        <v>990000</v>
      </c>
      <c r="J76" s="69">
        <f t="shared" si="5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'14-4-26'!I77</f>
        <v>4750000</v>
      </c>
      <c r="E77" s="68"/>
      <c r="F77" s="69"/>
      <c r="G77" s="69"/>
      <c r="H77" s="71">
        <f t="shared" si="3"/>
        <v>0</v>
      </c>
      <c r="I77" s="71">
        <f t="shared" si="4"/>
        <v>4750000</v>
      </c>
      <c r="J77" s="69">
        <f t="shared" si="5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'14-4-26'!I78</f>
        <v>9500000</v>
      </c>
      <c r="E78" s="68"/>
      <c r="F78" s="69"/>
      <c r="G78" s="69"/>
      <c r="H78" s="71">
        <f t="shared" si="3"/>
        <v>0</v>
      </c>
      <c r="I78" s="71">
        <f t="shared" si="4"/>
        <v>9500000</v>
      </c>
      <c r="J78" s="69">
        <f t="shared" si="5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'14-4-26'!I79</f>
        <v>2700000</v>
      </c>
      <c r="E79" s="68">
        <v>2</v>
      </c>
      <c r="F79" s="69">
        <v>300000</v>
      </c>
      <c r="G79" s="69">
        <v>60000</v>
      </c>
      <c r="H79" s="71">
        <f t="shared" si="3"/>
        <v>360000</v>
      </c>
      <c r="I79" s="71">
        <f t="shared" si="4"/>
        <v>2400000</v>
      </c>
      <c r="J79" s="69">
        <f t="shared" si="5"/>
        <v>6000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'14-4-26'!I80</f>
        <v>800000</v>
      </c>
      <c r="E80" s="68"/>
      <c r="F80" s="69"/>
      <c r="G80" s="69"/>
      <c r="H80" s="71">
        <f t="shared" ref="H74:H137" si="6">SUM(F80:G80)</f>
        <v>0</v>
      </c>
      <c r="I80" s="71">
        <f t="shared" si="4"/>
        <v>800000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'14-4-26'!I81</f>
        <v>7000000</v>
      </c>
      <c r="E81" s="68"/>
      <c r="F81" s="69"/>
      <c r="G81" s="69"/>
      <c r="H81" s="71">
        <f t="shared" si="6"/>
        <v>0</v>
      </c>
      <c r="I81" s="71">
        <f t="shared" si="4"/>
        <v>7000000</v>
      </c>
      <c r="J81" s="69">
        <f t="shared" si="5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'14-4-26'!I82</f>
        <v>1000000</v>
      </c>
      <c r="E82" s="69"/>
      <c r="F82" s="69"/>
      <c r="G82" s="69"/>
      <c r="H82" s="71">
        <f t="shared" si="6"/>
        <v>0</v>
      </c>
      <c r="I82" s="71">
        <f t="shared" si="4"/>
        <v>1000000</v>
      </c>
      <c r="J82" s="69">
        <f t="shared" si="5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'14-4-26'!I83</f>
        <v>500000</v>
      </c>
      <c r="E83" s="68"/>
      <c r="F83" s="69"/>
      <c r="G83" s="69"/>
      <c r="H83" s="71">
        <f t="shared" si="6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'14-4-26'!I84</f>
        <v>500000</v>
      </c>
      <c r="E84" s="68">
        <v>1</v>
      </c>
      <c r="F84" s="69">
        <v>50000</v>
      </c>
      <c r="G84" s="69">
        <v>10000</v>
      </c>
      <c r="H84" s="71">
        <f t="shared" si="6"/>
        <v>60000</v>
      </c>
      <c r="I84" s="71">
        <f t="shared" si="4"/>
        <v>450000</v>
      </c>
      <c r="J84" s="69">
        <f t="shared" si="5"/>
        <v>1000</v>
      </c>
    </row>
    <row r="85" s="45" customFormat="1" ht="12.75" customHeight="1" spans="1:10">
      <c r="A85" s="68"/>
      <c r="B85" s="69"/>
      <c r="C85" s="70"/>
      <c r="D85" s="71">
        <f>'24-3-26'!I85</f>
        <v>0</v>
      </c>
      <c r="E85" s="68"/>
      <c r="F85" s="69"/>
      <c r="G85" s="69"/>
      <c r="H85" s="71">
        <f t="shared" si="6"/>
        <v>0</v>
      </c>
      <c r="I85" s="71">
        <f t="shared" si="4"/>
        <v>0</v>
      </c>
      <c r="J85" s="69">
        <f t="shared" si="5"/>
        <v>0</v>
      </c>
    </row>
    <row r="86" s="45" customFormat="1" ht="12.75" customHeight="1" spans="1:10">
      <c r="A86" s="68"/>
      <c r="B86" s="69"/>
      <c r="C86" s="70"/>
      <c r="D86" s="71">
        <f>'24-3-26'!I86</f>
        <v>0</v>
      </c>
      <c r="E86" s="68"/>
      <c r="F86" s="69"/>
      <c r="G86" s="69"/>
      <c r="H86" s="71">
        <f t="shared" si="6"/>
        <v>0</v>
      </c>
      <c r="I86" s="71">
        <f t="shared" si="4"/>
        <v>0</v>
      </c>
      <c r="J86" s="69">
        <f t="shared" si="5"/>
        <v>0</v>
      </c>
    </row>
    <row r="87" s="45" customFormat="1" ht="12.75" customHeight="1" spans="1:10">
      <c r="A87" s="68"/>
      <c r="B87" s="69"/>
      <c r="C87" s="70"/>
      <c r="D87" s="71">
        <f>'24-3-26'!I87</f>
        <v>0</v>
      </c>
      <c r="E87" s="68"/>
      <c r="F87" s="69"/>
      <c r="G87" s="69"/>
      <c r="H87" s="71">
        <f t="shared" si="6"/>
        <v>0</v>
      </c>
      <c r="I87" s="71">
        <f t="shared" si="4"/>
        <v>0</v>
      </c>
      <c r="J87" s="69">
        <f t="shared" si="5"/>
        <v>0</v>
      </c>
    </row>
    <row r="88" s="45" customFormat="1" ht="12.75" customHeight="1" spans="1:10">
      <c r="A88" s="68"/>
      <c r="B88" s="69"/>
      <c r="C88" s="70"/>
      <c r="D88" s="71">
        <f>'24-3-26'!I88</f>
        <v>0</v>
      </c>
      <c r="E88" s="68"/>
      <c r="F88" s="69"/>
      <c r="G88" s="69"/>
      <c r="H88" s="71">
        <f t="shared" si="6"/>
        <v>0</v>
      </c>
      <c r="I88" s="71">
        <f t="shared" si="4"/>
        <v>0</v>
      </c>
      <c r="J88" s="69">
        <f t="shared" si="5"/>
        <v>0</v>
      </c>
    </row>
    <row r="89" s="45" customFormat="1" ht="12.75" customHeight="1" spans="1:10">
      <c r="A89" s="68"/>
      <c r="B89" s="69"/>
      <c r="C89" s="70"/>
      <c r="D89" s="71">
        <f>'24-3-26'!I89</f>
        <v>0</v>
      </c>
      <c r="E89" s="68"/>
      <c r="F89" s="69"/>
      <c r="G89" s="69"/>
      <c r="H89" s="71">
        <f t="shared" si="6"/>
        <v>0</v>
      </c>
      <c r="I89" s="71">
        <f t="shared" si="4"/>
        <v>0</v>
      </c>
      <c r="J89" s="69">
        <f t="shared" si="5"/>
        <v>0</v>
      </c>
    </row>
    <row r="90" s="45" customFormat="1" ht="12.75" customHeight="1" spans="1:10">
      <c r="A90" s="68"/>
      <c r="B90" s="69"/>
      <c r="C90" s="70"/>
      <c r="D90" s="71">
        <f>'24-3-26'!I90</f>
        <v>0</v>
      </c>
      <c r="E90" s="68"/>
      <c r="F90" s="69"/>
      <c r="G90" s="69"/>
      <c r="H90" s="71">
        <f t="shared" si="6"/>
        <v>0</v>
      </c>
      <c r="I90" s="71">
        <f t="shared" si="4"/>
        <v>0</v>
      </c>
      <c r="J90" s="69">
        <f t="shared" si="5"/>
        <v>0</v>
      </c>
    </row>
    <row r="91" s="45" customFormat="1" ht="12.75" customHeight="1" spans="1:10">
      <c r="A91" s="68"/>
      <c r="B91" s="69"/>
      <c r="C91" s="70"/>
      <c r="D91" s="71">
        <f>'24-3-26'!I91</f>
        <v>0</v>
      </c>
      <c r="E91" s="68"/>
      <c r="F91" s="69"/>
      <c r="G91" s="69"/>
      <c r="H91" s="71">
        <f t="shared" si="6"/>
        <v>0</v>
      </c>
      <c r="I91" s="71">
        <f t="shared" si="4"/>
        <v>0</v>
      </c>
      <c r="J91" s="69">
        <f t="shared" si="5"/>
        <v>0</v>
      </c>
    </row>
    <row r="92" s="45" customFormat="1" ht="12.75" customHeight="1" spans="1:10">
      <c r="A92" s="68"/>
      <c r="B92" s="69"/>
      <c r="C92" s="70"/>
      <c r="D92" s="71">
        <f>'24-3-26'!I92</f>
        <v>0</v>
      </c>
      <c r="E92" s="68"/>
      <c r="F92" s="69"/>
      <c r="G92" s="69"/>
      <c r="H92" s="71">
        <f t="shared" si="6"/>
        <v>0</v>
      </c>
      <c r="I92" s="71">
        <f t="shared" si="4"/>
        <v>0</v>
      </c>
      <c r="J92" s="69">
        <f t="shared" si="5"/>
        <v>0</v>
      </c>
    </row>
    <row r="93" s="45" customFormat="1" ht="12.75" customHeight="1" spans="1:10">
      <c r="A93" s="68"/>
      <c r="B93" s="69"/>
      <c r="C93" s="70"/>
      <c r="D93" s="71">
        <f>'24-3-26'!I93</f>
        <v>0</v>
      </c>
      <c r="E93" s="68"/>
      <c r="F93" s="69"/>
      <c r="G93" s="69"/>
      <c r="H93" s="71">
        <f t="shared" si="6"/>
        <v>0</v>
      </c>
      <c r="I93" s="71">
        <f t="shared" si="4"/>
        <v>0</v>
      </c>
      <c r="J93" s="69">
        <f t="shared" si="5"/>
        <v>0</v>
      </c>
    </row>
    <row r="94" s="45" customFormat="1" ht="12.75" customHeight="1" spans="1:10">
      <c r="A94" s="68"/>
      <c r="B94" s="69"/>
      <c r="C94" s="70"/>
      <c r="D94" s="71">
        <f>'24-3-26'!I94</f>
        <v>0</v>
      </c>
      <c r="E94" s="68"/>
      <c r="F94" s="69"/>
      <c r="G94" s="69"/>
      <c r="H94" s="71">
        <f t="shared" si="6"/>
        <v>0</v>
      </c>
      <c r="I94" s="71">
        <f t="shared" si="4"/>
        <v>0</v>
      </c>
      <c r="J94" s="69">
        <f t="shared" si="5"/>
        <v>0</v>
      </c>
    </row>
    <row r="95" s="45" customFormat="1" ht="12.75" customHeight="1" spans="1:10">
      <c r="A95" s="68"/>
      <c r="B95" s="69"/>
      <c r="C95" s="70"/>
      <c r="D95" s="71">
        <f>'24-3-26'!I95</f>
        <v>0</v>
      </c>
      <c r="E95" s="68"/>
      <c r="F95" s="69"/>
      <c r="G95" s="69"/>
      <c r="H95" s="71">
        <f t="shared" si="6"/>
        <v>0</v>
      </c>
      <c r="I95" s="71">
        <f t="shared" si="4"/>
        <v>0</v>
      </c>
      <c r="J95" s="69">
        <f t="shared" si="5"/>
        <v>0</v>
      </c>
    </row>
    <row r="96" s="45" customFormat="1" ht="12.75" customHeight="1" spans="1:10">
      <c r="A96" s="68"/>
      <c r="B96" s="69"/>
      <c r="C96" s="70"/>
      <c r="D96" s="71">
        <f>'24-3-26'!I96</f>
        <v>0</v>
      </c>
      <c r="E96" s="68"/>
      <c r="F96" s="69"/>
      <c r="G96" s="69"/>
      <c r="H96" s="71">
        <f t="shared" si="6"/>
        <v>0</v>
      </c>
      <c r="I96" s="71">
        <f t="shared" si="4"/>
        <v>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'24-3-26'!I97</f>
        <v>0</v>
      </c>
      <c r="E97" s="68"/>
      <c r="F97" s="69"/>
      <c r="G97" s="69"/>
      <c r="H97" s="71">
        <f t="shared" si="6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'24-3-26'!I98</f>
        <v>0</v>
      </c>
      <c r="E98" s="68"/>
      <c r="F98" s="69"/>
      <c r="G98" s="69"/>
      <c r="H98" s="71">
        <f t="shared" si="6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6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6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6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6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6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6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6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6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6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6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6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6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6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6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6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6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6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6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6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6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6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6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6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6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6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6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6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6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6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6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6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6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6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6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6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6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6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6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6"/>
        <v>0</v>
      </c>
      <c r="I137" s="71">
        <f t="shared" si="4"/>
        <v>0</v>
      </c>
      <c r="J137" s="69">
        <f t="shared" si="5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ref="I138:I187" si="8">D138-F138</f>
        <v>0</v>
      </c>
      <c r="J138" s="69">
        <f t="shared" ref="J138:J187" si="9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459832000</v>
      </c>
      <c r="E188" s="79">
        <f t="shared" si="10"/>
        <v>65</v>
      </c>
      <c r="F188" s="78">
        <f t="shared" si="10"/>
        <v>9485000</v>
      </c>
      <c r="G188" s="78">
        <f t="shared" si="10"/>
        <v>1830000</v>
      </c>
      <c r="H188" s="78">
        <f t="shared" si="10"/>
        <v>11315000</v>
      </c>
      <c r="I188" s="78">
        <f t="shared" si="10"/>
        <v>450347000</v>
      </c>
      <c r="J188" s="78">
        <f t="shared" si="10"/>
        <v>183000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1830000</v>
      </c>
      <c r="E191" s="47"/>
      <c r="F191" s="129" t="s">
        <v>192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91500</v>
      </c>
      <c r="E192" s="47"/>
      <c r="F192" s="80" t="s">
        <v>131</v>
      </c>
      <c r="G192" s="80"/>
      <c r="H192" s="80"/>
      <c r="I192" s="80"/>
      <c r="K192" s="82"/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1006500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45750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45750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45750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45750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183000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457500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1830000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50" zoomScaleNormal="150" topLeftCell="A70" workbookViewId="0">
      <selection activeCell="A71" sqref="A71:A84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193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'21-4-26'!I9</f>
        <v>5500000</v>
      </c>
      <c r="E9" s="68"/>
      <c r="F9" s="69"/>
      <c r="G9" s="69"/>
      <c r="H9" s="71">
        <f t="shared" ref="H9:H17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'21-4-26'!I10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'21-4-26'!I11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'21-4-26'!I12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'21-4-26'!I13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'21-4-26'!I14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'21-4-26'!I15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'21-4-26'!I16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'21-4-26'!I17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'21-4-26'!I18</f>
        <v>11995000</v>
      </c>
      <c r="E18" s="68"/>
      <c r="F18" s="69"/>
      <c r="G18" s="69"/>
      <c r="H18" s="71">
        <f t="shared" ref="H18:H49" si="3">SUM(F18:G18)</f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'21-4-26'!I19</f>
        <v>3500000</v>
      </c>
      <c r="E19" s="68"/>
      <c r="F19" s="69"/>
      <c r="G19" s="69"/>
      <c r="H19" s="71">
        <f t="shared" si="3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'21-4-26'!I20</f>
        <v>42000000</v>
      </c>
      <c r="E20" s="68"/>
      <c r="F20" s="69"/>
      <c r="G20" s="69"/>
      <c r="H20" s="71">
        <f t="shared" si="3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'21-4-26'!I21</f>
        <v>12680000</v>
      </c>
      <c r="E21" s="68"/>
      <c r="F21" s="69"/>
      <c r="G21" s="69"/>
      <c r="H21" s="71">
        <f t="shared" si="3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'21-4-26'!I22</f>
        <v>0</v>
      </c>
      <c r="E22" s="68"/>
      <c r="F22" s="69"/>
      <c r="G22" s="69"/>
      <c r="H22" s="71">
        <f t="shared" si="3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'21-4-26'!I23</f>
        <v>1500000</v>
      </c>
      <c r="E23" s="68"/>
      <c r="F23" s="69"/>
      <c r="G23" s="69"/>
      <c r="H23" s="71">
        <f t="shared" si="3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'21-4-26'!I24</f>
        <v>600000</v>
      </c>
      <c r="E24" s="68"/>
      <c r="F24" s="69"/>
      <c r="G24" s="69"/>
      <c r="H24" s="71">
        <f t="shared" si="3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'21-4-26'!I25</f>
        <v>22200000</v>
      </c>
      <c r="E25" s="68"/>
      <c r="F25" s="69"/>
      <c r="G25" s="69"/>
      <c r="H25" s="71">
        <f t="shared" si="3"/>
        <v>0</v>
      </c>
      <c r="I25" s="71">
        <f t="shared" si="1"/>
        <v>22200000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'21-4-26'!I26</f>
        <v>3800000</v>
      </c>
      <c r="E26" s="68"/>
      <c r="F26" s="69"/>
      <c r="G26" s="69"/>
      <c r="H26" s="71">
        <f t="shared" si="3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'21-4-26'!I27</f>
        <v>760000</v>
      </c>
      <c r="E27" s="68"/>
      <c r="F27" s="69"/>
      <c r="G27" s="69"/>
      <c r="H27" s="71">
        <f t="shared" si="3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'21-4-26'!I28</f>
        <v>0</v>
      </c>
      <c r="E28" s="68"/>
      <c r="F28" s="69"/>
      <c r="G28" s="69"/>
      <c r="H28" s="71">
        <f t="shared" si="3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'21-4-26'!I29</f>
        <v>0</v>
      </c>
      <c r="E29" s="68"/>
      <c r="F29" s="69"/>
      <c r="G29" s="69"/>
      <c r="H29" s="71">
        <f t="shared" si="3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'21-4-26'!I30</f>
        <v>2750000</v>
      </c>
      <c r="E30" s="68">
        <v>10</v>
      </c>
      <c r="F30" s="69">
        <v>250000</v>
      </c>
      <c r="G30" s="69">
        <v>100000</v>
      </c>
      <c r="H30" s="71">
        <f t="shared" si="3"/>
        <v>350000</v>
      </c>
      <c r="I30" s="71">
        <f t="shared" si="1"/>
        <v>2500000</v>
      </c>
      <c r="J30" s="69">
        <f t="shared" si="2"/>
        <v>10000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'21-4-26'!I31</f>
        <v>750000</v>
      </c>
      <c r="E31" s="68">
        <v>18</v>
      </c>
      <c r="F31" s="69">
        <v>250000</v>
      </c>
      <c r="G31" s="69">
        <v>100000</v>
      </c>
      <c r="H31" s="71">
        <f t="shared" si="3"/>
        <v>350000</v>
      </c>
      <c r="I31" s="71">
        <f t="shared" si="1"/>
        <v>500000</v>
      </c>
      <c r="J31" s="69">
        <f t="shared" si="2"/>
        <v>10000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'21-4-26'!I32</f>
        <v>12000000</v>
      </c>
      <c r="E32" s="68"/>
      <c r="F32" s="69"/>
      <c r="G32" s="69"/>
      <c r="H32" s="71">
        <f t="shared" si="3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'21-4-26'!I33</f>
        <v>600000</v>
      </c>
      <c r="E33" s="68"/>
      <c r="F33" s="69"/>
      <c r="G33" s="69"/>
      <c r="H33" s="71">
        <f t="shared" si="3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'21-4-26'!I34</f>
        <v>2400000</v>
      </c>
      <c r="E34" s="68"/>
      <c r="F34" s="69"/>
      <c r="G34" s="69"/>
      <c r="H34" s="71">
        <f t="shared" si="3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'21-4-26'!I35</f>
        <v>3250000</v>
      </c>
      <c r="E35" s="68"/>
      <c r="F35" s="69"/>
      <c r="G35" s="69"/>
      <c r="H35" s="71">
        <f t="shared" si="3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'21-4-26'!I36</f>
        <v>6400000</v>
      </c>
      <c r="E36" s="68"/>
      <c r="F36" s="69"/>
      <c r="G36" s="69"/>
      <c r="H36" s="71">
        <f t="shared" si="3"/>
        <v>0</v>
      </c>
      <c r="I36" s="71">
        <f t="shared" si="1"/>
        <v>6400000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'21-4-26'!I37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'21-4-26'!I38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'21-4-26'!I39</f>
        <v>14320000</v>
      </c>
      <c r="E39" s="68">
        <v>8</v>
      </c>
      <c r="F39" s="69">
        <v>630000</v>
      </c>
      <c r="G39" s="69">
        <v>370000</v>
      </c>
      <c r="H39" s="71">
        <f t="shared" si="3"/>
        <v>1000000</v>
      </c>
      <c r="I39" s="71">
        <f t="shared" si="1"/>
        <v>13690000</v>
      </c>
      <c r="J39" s="69">
        <f t="shared" si="2"/>
        <v>37000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'21-4-26'!I40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'21-4-26'!I41</f>
        <v>1500000</v>
      </c>
      <c r="E41" s="68"/>
      <c r="F41" s="69"/>
      <c r="G41" s="69"/>
      <c r="H41" s="71">
        <f t="shared" si="3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'21-4-26'!I42</f>
        <v>1200000</v>
      </c>
      <c r="E42" s="68">
        <v>13</v>
      </c>
      <c r="F42" s="69">
        <v>150000</v>
      </c>
      <c r="G42" s="69">
        <v>60000</v>
      </c>
      <c r="H42" s="71">
        <f t="shared" si="3"/>
        <v>210000</v>
      </c>
      <c r="I42" s="71">
        <f t="shared" si="1"/>
        <v>1050000</v>
      </c>
      <c r="J42" s="69">
        <f t="shared" si="2"/>
        <v>6000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'21-4-26'!I43</f>
        <v>5250000</v>
      </c>
      <c r="E43" s="68"/>
      <c r="F43" s="69"/>
      <c r="G43" s="69"/>
      <c r="H43" s="71">
        <f t="shared" si="3"/>
        <v>0</v>
      </c>
      <c r="I43" s="71">
        <f t="shared" si="1"/>
        <v>5250000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'21-4-26'!I44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'21-4-26'!I45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'21-4-26'!I46</f>
        <v>150000</v>
      </c>
      <c r="E46" s="68"/>
      <c r="F46" s="69"/>
      <c r="G46" s="69"/>
      <c r="H46" s="71">
        <f t="shared" si="3"/>
        <v>0</v>
      </c>
      <c r="I46" s="71">
        <f t="shared" si="1"/>
        <v>150000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'21-4-26'!I47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'21-4-26'!I48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'21-4-26'!I49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'21-4-26'!I50</f>
        <v>0</v>
      </c>
      <c r="E50" s="68"/>
      <c r="F50" s="69"/>
      <c r="G50" s="69"/>
      <c r="H50" s="71">
        <f t="shared" ref="H50:H84" si="4">SUM(F50:G50)</f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'21-4-26'!I51</f>
        <v>15700000</v>
      </c>
      <c r="E51" s="68"/>
      <c r="F51" s="69"/>
      <c r="G51" s="69">
        <v>400000</v>
      </c>
      <c r="H51" s="71">
        <f t="shared" si="4"/>
        <v>400000</v>
      </c>
      <c r="I51" s="71">
        <f t="shared" si="1"/>
        <v>15700000</v>
      </c>
      <c r="J51" s="69">
        <f t="shared" si="2"/>
        <v>40000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'21-4-26'!I52</f>
        <v>25000000</v>
      </c>
      <c r="E52" s="68"/>
      <c r="F52" s="69"/>
      <c r="G52" s="69"/>
      <c r="H52" s="71">
        <f t="shared" si="4"/>
        <v>0</v>
      </c>
      <c r="I52" s="71">
        <f t="shared" si="1"/>
        <v>25000000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'21-4-26'!I53</f>
        <v>0</v>
      </c>
      <c r="E53" s="68"/>
      <c r="F53" s="69"/>
      <c r="G53" s="69"/>
      <c r="H53" s="71">
        <f t="shared" si="4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'21-4-26'!I54</f>
        <v>4600000</v>
      </c>
      <c r="E54" s="68">
        <v>4</v>
      </c>
      <c r="F54" s="69">
        <v>200000</v>
      </c>
      <c r="G54" s="69">
        <v>100000</v>
      </c>
      <c r="H54" s="71">
        <f t="shared" si="4"/>
        <v>300000</v>
      </c>
      <c r="I54" s="71">
        <f t="shared" si="1"/>
        <v>4400000</v>
      </c>
      <c r="J54" s="69">
        <f t="shared" si="2"/>
        <v>10000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'21-4-26'!I55</f>
        <v>7460000</v>
      </c>
      <c r="E55" s="68"/>
      <c r="F55" s="69"/>
      <c r="G55" s="69"/>
      <c r="H55" s="71">
        <f t="shared" si="4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'21-4-26'!I56</f>
        <v>200000</v>
      </c>
      <c r="E56" s="68"/>
      <c r="F56" s="69"/>
      <c r="G56" s="69"/>
      <c r="H56" s="71">
        <f t="shared" si="4"/>
        <v>0</v>
      </c>
      <c r="I56" s="71">
        <f t="shared" si="1"/>
        <v>200000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'21-4-26'!I57</f>
        <v>20000000</v>
      </c>
      <c r="E57" s="68"/>
      <c r="F57" s="69"/>
      <c r="G57" s="69"/>
      <c r="H57" s="71">
        <f t="shared" si="4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'21-4-26'!I58</f>
        <v>645000</v>
      </c>
      <c r="E58" s="68"/>
      <c r="F58" s="69"/>
      <c r="G58" s="69"/>
      <c r="H58" s="71">
        <f t="shared" si="4"/>
        <v>0</v>
      </c>
      <c r="I58" s="71">
        <f t="shared" si="1"/>
        <v>645000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'21-4-26'!I59</f>
        <v>0</v>
      </c>
      <c r="E59" s="68"/>
      <c r="F59" s="69"/>
      <c r="G59" s="69"/>
      <c r="H59" s="71">
        <f t="shared" si="4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'21-4-26'!I60</f>
        <v>3000000</v>
      </c>
      <c r="E60" s="68">
        <v>9</v>
      </c>
      <c r="F60" s="69">
        <v>250000</v>
      </c>
      <c r="G60" s="69">
        <v>100000</v>
      </c>
      <c r="H60" s="71">
        <f t="shared" si="4"/>
        <v>350000</v>
      </c>
      <c r="I60" s="71">
        <f t="shared" si="1"/>
        <v>2750000</v>
      </c>
      <c r="J60" s="69">
        <f t="shared" si="2"/>
        <v>10000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'21-4-26'!I61</f>
        <v>230000</v>
      </c>
      <c r="E61" s="68"/>
      <c r="F61" s="69"/>
      <c r="G61" s="69"/>
      <c r="H61" s="71">
        <f t="shared" si="4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'21-4-26'!I62</f>
        <v>0</v>
      </c>
      <c r="E62" s="68"/>
      <c r="F62" s="69"/>
      <c r="G62" s="69"/>
      <c r="H62" s="71">
        <f t="shared" si="4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'21-4-26'!I63</f>
        <v>0</v>
      </c>
      <c r="E63" s="68"/>
      <c r="F63" s="69"/>
      <c r="G63" s="69"/>
      <c r="H63" s="71">
        <f t="shared" si="4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'21-4-26'!I64</f>
        <v>0</v>
      </c>
      <c r="E64" s="68"/>
      <c r="F64" s="69"/>
      <c r="G64" s="69"/>
      <c r="H64" s="71">
        <f t="shared" si="4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'21-4-26'!I65</f>
        <v>5862000</v>
      </c>
      <c r="E65" s="68"/>
      <c r="F65" s="69"/>
      <c r="G65" s="69"/>
      <c r="H65" s="71">
        <f t="shared" si="4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'21-4-26'!I66</f>
        <v>100000</v>
      </c>
      <c r="E66" s="68"/>
      <c r="F66" s="69"/>
      <c r="G66" s="69"/>
      <c r="H66" s="71">
        <f t="shared" si="4"/>
        <v>0</v>
      </c>
      <c r="I66" s="71">
        <f t="shared" si="1"/>
        <v>100000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'21-4-26'!I67</f>
        <v>0</v>
      </c>
      <c r="E67" s="68"/>
      <c r="F67" s="69"/>
      <c r="G67" s="69"/>
      <c r="H67" s="71">
        <f t="shared" si="4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'21-4-26'!I68</f>
        <v>3400000</v>
      </c>
      <c r="E68" s="68"/>
      <c r="F68" s="69"/>
      <c r="G68" s="69"/>
      <c r="H68" s="71">
        <f t="shared" si="4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'21-4-26'!I69</f>
        <v>50000000</v>
      </c>
      <c r="E69" s="68"/>
      <c r="F69" s="69"/>
      <c r="G69" s="69"/>
      <c r="H69" s="71">
        <f t="shared" si="4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'21-4-26'!I70</f>
        <v>1000000</v>
      </c>
      <c r="E70" s="68"/>
      <c r="F70" s="69"/>
      <c r="G70" s="69"/>
      <c r="H70" s="71">
        <f t="shared" si="4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'21-4-26'!I71</f>
        <v>2000000</v>
      </c>
      <c r="E71" s="68"/>
      <c r="F71" s="69"/>
      <c r="G71" s="69"/>
      <c r="H71" s="71">
        <f t="shared" si="4"/>
        <v>0</v>
      </c>
      <c r="I71" s="71">
        <f t="shared" si="1"/>
        <v>2000000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'21-4-26'!I72</f>
        <v>1800000</v>
      </c>
      <c r="E72" s="68"/>
      <c r="F72" s="69"/>
      <c r="G72" s="69"/>
      <c r="H72" s="71">
        <f t="shared" si="4"/>
        <v>0</v>
      </c>
      <c r="I72" s="71">
        <f t="shared" si="1"/>
        <v>1800000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4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'21-4-26'!I74</f>
        <v>4000000</v>
      </c>
      <c r="E74" s="68">
        <v>1</v>
      </c>
      <c r="F74" s="69">
        <v>4000000</v>
      </c>
      <c r="G74" s="69">
        <v>160000</v>
      </c>
      <c r="H74" s="71">
        <f t="shared" si="4"/>
        <v>4160000</v>
      </c>
      <c r="I74" s="71">
        <f t="shared" ref="I74:I137" si="5">D74-F74</f>
        <v>0</v>
      </c>
      <c r="J74" s="69">
        <f t="shared" ref="J74:J137" si="6">1/10*G74</f>
        <v>16000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'21-4-26'!I75</f>
        <v>2700000</v>
      </c>
      <c r="E75" s="68"/>
      <c r="F75" s="69"/>
      <c r="G75" s="69"/>
      <c r="H75" s="71">
        <f t="shared" si="4"/>
        <v>0</v>
      </c>
      <c r="I75" s="71">
        <f t="shared" si="5"/>
        <v>2700000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'21-4-26'!I76</f>
        <v>990000</v>
      </c>
      <c r="E76" s="68"/>
      <c r="F76" s="69"/>
      <c r="G76" s="69"/>
      <c r="H76" s="71">
        <f t="shared" si="4"/>
        <v>0</v>
      </c>
      <c r="I76" s="71">
        <f t="shared" si="5"/>
        <v>990000</v>
      </c>
      <c r="J76" s="69">
        <f t="shared" si="6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'21-4-26'!I77</f>
        <v>4750000</v>
      </c>
      <c r="E77" s="68"/>
      <c r="F77" s="69"/>
      <c r="G77" s="69"/>
      <c r="H77" s="71">
        <f t="shared" si="4"/>
        <v>0</v>
      </c>
      <c r="I77" s="71">
        <f t="shared" si="5"/>
        <v>4750000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'21-4-26'!I78</f>
        <v>9500000</v>
      </c>
      <c r="E78" s="68"/>
      <c r="F78" s="69"/>
      <c r="G78" s="69"/>
      <c r="H78" s="71">
        <f t="shared" si="4"/>
        <v>0</v>
      </c>
      <c r="I78" s="71">
        <f t="shared" si="5"/>
        <v>9500000</v>
      </c>
      <c r="J78" s="69">
        <f t="shared" si="6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'21-4-26'!I79</f>
        <v>2400000</v>
      </c>
      <c r="E79" s="68"/>
      <c r="F79" s="69"/>
      <c r="G79" s="69"/>
      <c r="H79" s="71">
        <f t="shared" si="4"/>
        <v>0</v>
      </c>
      <c r="I79" s="71">
        <f t="shared" si="5"/>
        <v>2400000</v>
      </c>
      <c r="J79" s="69">
        <f t="shared" si="6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'21-4-26'!I80</f>
        <v>800000</v>
      </c>
      <c r="E80" s="68"/>
      <c r="F80" s="69"/>
      <c r="G80" s="69"/>
      <c r="H80" s="71">
        <f t="shared" si="4"/>
        <v>0</v>
      </c>
      <c r="I80" s="71">
        <f t="shared" si="5"/>
        <v>800000</v>
      </c>
      <c r="J80" s="69">
        <f t="shared" si="6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'21-4-26'!I81</f>
        <v>7000000</v>
      </c>
      <c r="E81" s="68"/>
      <c r="F81" s="69"/>
      <c r="G81" s="69"/>
      <c r="H81" s="71">
        <f t="shared" si="4"/>
        <v>0</v>
      </c>
      <c r="I81" s="71">
        <f t="shared" si="5"/>
        <v>7000000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'21-4-26'!I82</f>
        <v>1000000</v>
      </c>
      <c r="E82" s="69"/>
      <c r="F82" s="69"/>
      <c r="G82" s="69"/>
      <c r="H82" s="71">
        <f t="shared" si="4"/>
        <v>0</v>
      </c>
      <c r="I82" s="71">
        <f t="shared" si="5"/>
        <v>1000000</v>
      </c>
      <c r="J82" s="69">
        <f t="shared" si="6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'21-4-26'!I83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'21-4-26'!I84</f>
        <v>450000</v>
      </c>
      <c r="E84" s="68"/>
      <c r="F84" s="69"/>
      <c r="G84" s="69"/>
      <c r="H84" s="71">
        <f t="shared" si="4"/>
        <v>0</v>
      </c>
      <c r="I84" s="71">
        <f t="shared" si="5"/>
        <v>450000</v>
      </c>
      <c r="J84" s="69">
        <f t="shared" si="6"/>
        <v>0</v>
      </c>
    </row>
    <row r="85" s="45" customFormat="1" ht="12.75" customHeight="1" spans="1:10">
      <c r="A85" s="68"/>
      <c r="B85" s="69"/>
      <c r="C85" s="70"/>
      <c r="D85" s="71">
        <f>'24-3-26'!I85</f>
        <v>0</v>
      </c>
      <c r="E85" s="68"/>
      <c r="F85" s="69"/>
      <c r="G85" s="69"/>
      <c r="H85" s="71">
        <f t="shared" ref="H74:H137" si="7">SUM(F85:G85)</f>
        <v>0</v>
      </c>
      <c r="I85" s="71">
        <f t="shared" si="5"/>
        <v>0</v>
      </c>
      <c r="J85" s="69">
        <f t="shared" si="6"/>
        <v>0</v>
      </c>
    </row>
    <row r="86" s="45" customFormat="1" ht="12.75" customHeight="1" spans="1:10">
      <c r="A86" s="68"/>
      <c r="B86" s="69"/>
      <c r="C86" s="70"/>
      <c r="D86" s="71">
        <f>'24-3-26'!I86</f>
        <v>0</v>
      </c>
      <c r="E86" s="68"/>
      <c r="F86" s="69"/>
      <c r="G86" s="69"/>
      <c r="H86" s="71">
        <f t="shared" si="7"/>
        <v>0</v>
      </c>
      <c r="I86" s="71">
        <f t="shared" si="5"/>
        <v>0</v>
      </c>
      <c r="J86" s="69">
        <f t="shared" si="6"/>
        <v>0</v>
      </c>
    </row>
    <row r="87" s="45" customFormat="1" ht="12.75" customHeight="1" spans="1:10">
      <c r="A87" s="68"/>
      <c r="B87" s="69"/>
      <c r="C87" s="70"/>
      <c r="D87" s="71">
        <f>'24-3-26'!I87</f>
        <v>0</v>
      </c>
      <c r="E87" s="68"/>
      <c r="F87" s="69"/>
      <c r="G87" s="69"/>
      <c r="H87" s="71">
        <f t="shared" si="7"/>
        <v>0</v>
      </c>
      <c r="I87" s="71">
        <f t="shared" si="5"/>
        <v>0</v>
      </c>
      <c r="J87" s="69">
        <f t="shared" si="6"/>
        <v>0</v>
      </c>
    </row>
    <row r="88" s="45" customFormat="1" ht="12.75" customHeight="1" spans="1:10">
      <c r="A88" s="68"/>
      <c r="B88" s="69"/>
      <c r="C88" s="70"/>
      <c r="D88" s="71">
        <f>'24-3-26'!I88</f>
        <v>0</v>
      </c>
      <c r="E88" s="68"/>
      <c r="F88" s="69"/>
      <c r="G88" s="69"/>
      <c r="H88" s="71">
        <f t="shared" si="7"/>
        <v>0</v>
      </c>
      <c r="I88" s="71">
        <f t="shared" si="5"/>
        <v>0</v>
      </c>
      <c r="J88" s="69">
        <f t="shared" si="6"/>
        <v>0</v>
      </c>
    </row>
    <row r="89" s="45" customFormat="1" ht="12.75" customHeight="1" spans="1:10">
      <c r="A89" s="68"/>
      <c r="B89" s="69"/>
      <c r="C89" s="70"/>
      <c r="D89" s="71">
        <f>'24-3-26'!I89</f>
        <v>0</v>
      </c>
      <c r="E89" s="68"/>
      <c r="F89" s="69"/>
      <c r="G89" s="69"/>
      <c r="H89" s="71">
        <f t="shared" si="7"/>
        <v>0</v>
      </c>
      <c r="I89" s="71">
        <f t="shared" si="5"/>
        <v>0</v>
      </c>
      <c r="J89" s="69">
        <f t="shared" si="6"/>
        <v>0</v>
      </c>
    </row>
    <row r="90" s="45" customFormat="1" ht="12.75" customHeight="1" spans="1:10">
      <c r="A90" s="68"/>
      <c r="B90" s="69"/>
      <c r="C90" s="70"/>
      <c r="D90" s="71">
        <f>'24-3-26'!I90</f>
        <v>0</v>
      </c>
      <c r="E90" s="68"/>
      <c r="F90" s="69"/>
      <c r="G90" s="69"/>
      <c r="H90" s="71">
        <f t="shared" si="7"/>
        <v>0</v>
      </c>
      <c r="I90" s="71">
        <f t="shared" si="5"/>
        <v>0</v>
      </c>
      <c r="J90" s="69">
        <f t="shared" si="6"/>
        <v>0</v>
      </c>
    </row>
    <row r="91" s="45" customFormat="1" ht="12.75" customHeight="1" spans="1:10">
      <c r="A91" s="68"/>
      <c r="B91" s="69"/>
      <c r="C91" s="70"/>
      <c r="D91" s="71">
        <f>'24-3-26'!I91</f>
        <v>0</v>
      </c>
      <c r="E91" s="68"/>
      <c r="F91" s="69"/>
      <c r="G91" s="69"/>
      <c r="H91" s="71">
        <f t="shared" si="7"/>
        <v>0</v>
      </c>
      <c r="I91" s="71">
        <f t="shared" si="5"/>
        <v>0</v>
      </c>
      <c r="J91" s="69">
        <f t="shared" si="6"/>
        <v>0</v>
      </c>
    </row>
    <row r="92" s="45" customFormat="1" ht="12.75" customHeight="1" spans="1:10">
      <c r="A92" s="68"/>
      <c r="B92" s="69"/>
      <c r="C92" s="70"/>
      <c r="D92" s="71">
        <f>'24-3-26'!I92</f>
        <v>0</v>
      </c>
      <c r="E92" s="68"/>
      <c r="F92" s="69"/>
      <c r="G92" s="69"/>
      <c r="H92" s="71">
        <f t="shared" si="7"/>
        <v>0</v>
      </c>
      <c r="I92" s="71">
        <f t="shared" si="5"/>
        <v>0</v>
      </c>
      <c r="J92" s="69">
        <f t="shared" si="6"/>
        <v>0</v>
      </c>
    </row>
    <row r="93" s="45" customFormat="1" ht="12.75" customHeight="1" spans="1:10">
      <c r="A93" s="68"/>
      <c r="B93" s="69"/>
      <c r="C93" s="70"/>
      <c r="D93" s="71">
        <f>'24-3-26'!I93</f>
        <v>0</v>
      </c>
      <c r="E93" s="68"/>
      <c r="F93" s="69"/>
      <c r="G93" s="69"/>
      <c r="H93" s="71">
        <f t="shared" si="7"/>
        <v>0</v>
      </c>
      <c r="I93" s="71">
        <f t="shared" si="5"/>
        <v>0</v>
      </c>
      <c r="J93" s="69">
        <f t="shared" si="6"/>
        <v>0</v>
      </c>
    </row>
    <row r="94" s="45" customFormat="1" ht="12.75" customHeight="1" spans="1:10">
      <c r="A94" s="68"/>
      <c r="B94" s="69"/>
      <c r="C94" s="70"/>
      <c r="D94" s="71">
        <f>'24-3-26'!I94</f>
        <v>0</v>
      </c>
      <c r="E94" s="68"/>
      <c r="F94" s="69"/>
      <c r="G94" s="69"/>
      <c r="H94" s="71">
        <f t="shared" si="7"/>
        <v>0</v>
      </c>
      <c r="I94" s="71">
        <f t="shared" si="5"/>
        <v>0</v>
      </c>
      <c r="J94" s="69">
        <f t="shared" si="6"/>
        <v>0</v>
      </c>
    </row>
    <row r="95" s="45" customFormat="1" ht="12.75" customHeight="1" spans="1:10">
      <c r="A95" s="68"/>
      <c r="B95" s="69"/>
      <c r="C95" s="70"/>
      <c r="D95" s="71">
        <f>'24-3-26'!I95</f>
        <v>0</v>
      </c>
      <c r="E95" s="68"/>
      <c r="F95" s="69"/>
      <c r="G95" s="69"/>
      <c r="H95" s="71">
        <f t="shared" si="7"/>
        <v>0</v>
      </c>
      <c r="I95" s="71">
        <f t="shared" si="5"/>
        <v>0</v>
      </c>
      <c r="J95" s="69">
        <f t="shared" si="6"/>
        <v>0</v>
      </c>
    </row>
    <row r="96" s="45" customFormat="1" ht="12.75" customHeight="1" spans="1:10">
      <c r="A96" s="68"/>
      <c r="B96" s="69"/>
      <c r="C96" s="70"/>
      <c r="D96" s="71">
        <f>'24-3-26'!I96</f>
        <v>0</v>
      </c>
      <c r="E96" s="68"/>
      <c r="F96" s="69"/>
      <c r="G96" s="69"/>
      <c r="H96" s="71">
        <f t="shared" si="7"/>
        <v>0</v>
      </c>
      <c r="I96" s="71">
        <f t="shared" si="5"/>
        <v>0</v>
      </c>
      <c r="J96" s="69">
        <f t="shared" si="6"/>
        <v>0</v>
      </c>
    </row>
    <row r="97" s="45" customFormat="1" ht="12.75" customHeight="1" spans="1:10">
      <c r="A97" s="68"/>
      <c r="B97" s="69"/>
      <c r="C97" s="70"/>
      <c r="D97" s="71">
        <f>'24-3-26'!I97</f>
        <v>0</v>
      </c>
      <c r="E97" s="68"/>
      <c r="F97" s="69"/>
      <c r="G97" s="69"/>
      <c r="H97" s="71">
        <f t="shared" si="7"/>
        <v>0</v>
      </c>
      <c r="I97" s="71">
        <f t="shared" si="5"/>
        <v>0</v>
      </c>
      <c r="J97" s="69">
        <f t="shared" si="6"/>
        <v>0</v>
      </c>
    </row>
    <row r="98" s="45" customFormat="1" ht="12.75" customHeight="1" spans="1:10">
      <c r="A98" s="68"/>
      <c r="B98" s="69"/>
      <c r="C98" s="70"/>
      <c r="D98" s="71">
        <f>'24-3-26'!I98</f>
        <v>0</v>
      </c>
      <c r="E98" s="68"/>
      <c r="F98" s="69"/>
      <c r="G98" s="69"/>
      <c r="H98" s="71">
        <f t="shared" si="7"/>
        <v>0</v>
      </c>
      <c r="I98" s="71">
        <f t="shared" si="5"/>
        <v>0</v>
      </c>
      <c r="J98" s="69">
        <f t="shared" si="6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7"/>
        <v>0</v>
      </c>
      <c r="I99" s="71">
        <f t="shared" si="5"/>
        <v>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7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7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7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7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7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7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7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7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7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7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7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7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7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7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7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7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7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7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7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7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7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7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7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7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7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7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7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7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7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7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7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7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7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7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7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7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7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7"/>
        <v>0</v>
      </c>
      <c r="I137" s="71">
        <f t="shared" si="5"/>
        <v>0</v>
      </c>
      <c r="J137" s="69">
        <f t="shared" si="6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8">SUM(F138:G138)</f>
        <v>0</v>
      </c>
      <c r="I138" s="71">
        <f t="shared" ref="I138:I187" si="9">D138-F138</f>
        <v>0</v>
      </c>
      <c r="J138" s="69">
        <f t="shared" ref="J138:J187" si="10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8"/>
        <v>0</v>
      </c>
      <c r="I139" s="71">
        <f t="shared" si="9"/>
        <v>0</v>
      </c>
      <c r="J139" s="69">
        <f t="shared" si="10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8"/>
        <v>0</v>
      </c>
      <c r="I140" s="71">
        <f t="shared" si="9"/>
        <v>0</v>
      </c>
      <c r="J140" s="69">
        <f t="shared" si="10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8"/>
        <v>0</v>
      </c>
      <c r="I141" s="71">
        <f t="shared" si="9"/>
        <v>0</v>
      </c>
      <c r="J141" s="69">
        <f t="shared" si="10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8"/>
        <v>0</v>
      </c>
      <c r="I142" s="71">
        <f t="shared" si="9"/>
        <v>0</v>
      </c>
      <c r="J142" s="69">
        <f t="shared" si="10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8"/>
        <v>0</v>
      </c>
      <c r="I143" s="71">
        <f t="shared" si="9"/>
        <v>0</v>
      </c>
      <c r="J143" s="69">
        <f t="shared" si="10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8"/>
        <v>0</v>
      </c>
      <c r="I144" s="71">
        <f t="shared" si="9"/>
        <v>0</v>
      </c>
      <c r="J144" s="69">
        <f t="shared" si="10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8"/>
        <v>0</v>
      </c>
      <c r="I145" s="71">
        <f t="shared" si="9"/>
        <v>0</v>
      </c>
      <c r="J145" s="69">
        <f t="shared" si="10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8"/>
        <v>0</v>
      </c>
      <c r="I146" s="71">
        <f t="shared" si="9"/>
        <v>0</v>
      </c>
      <c r="J146" s="69">
        <f t="shared" si="10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8"/>
        <v>0</v>
      </c>
      <c r="I147" s="71">
        <f t="shared" si="9"/>
        <v>0</v>
      </c>
      <c r="J147" s="69">
        <f t="shared" si="10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8"/>
        <v>0</v>
      </c>
      <c r="I148" s="71">
        <f t="shared" si="9"/>
        <v>0</v>
      </c>
      <c r="J148" s="69">
        <f t="shared" si="10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8"/>
        <v>0</v>
      </c>
      <c r="I149" s="71">
        <f t="shared" si="9"/>
        <v>0</v>
      </c>
      <c r="J149" s="69">
        <f t="shared" si="10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8"/>
        <v>0</v>
      </c>
      <c r="I150" s="71">
        <f t="shared" si="9"/>
        <v>0</v>
      </c>
      <c r="J150" s="69">
        <f t="shared" si="10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8"/>
        <v>0</v>
      </c>
      <c r="I151" s="71">
        <f t="shared" si="9"/>
        <v>0</v>
      </c>
      <c r="J151" s="69">
        <f t="shared" si="10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8"/>
        <v>0</v>
      </c>
      <c r="I152" s="71">
        <f t="shared" si="9"/>
        <v>0</v>
      </c>
      <c r="J152" s="69">
        <f t="shared" si="10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8"/>
        <v>0</v>
      </c>
      <c r="I153" s="71">
        <f t="shared" si="9"/>
        <v>0</v>
      </c>
      <c r="J153" s="69">
        <f t="shared" si="10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8"/>
        <v>0</v>
      </c>
      <c r="I154" s="71">
        <f t="shared" si="9"/>
        <v>0</v>
      </c>
      <c r="J154" s="69">
        <f t="shared" si="10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8"/>
        <v>0</v>
      </c>
      <c r="I155" s="71">
        <f t="shared" si="9"/>
        <v>0</v>
      </c>
      <c r="J155" s="69">
        <f t="shared" si="10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8"/>
        <v>0</v>
      </c>
      <c r="I156" s="71">
        <f t="shared" si="9"/>
        <v>0</v>
      </c>
      <c r="J156" s="69">
        <f t="shared" si="10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8"/>
        <v>0</v>
      </c>
      <c r="I157" s="71">
        <f t="shared" si="9"/>
        <v>0</v>
      </c>
      <c r="J157" s="69">
        <f t="shared" si="10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8"/>
        <v>0</v>
      </c>
      <c r="I158" s="71">
        <f t="shared" si="9"/>
        <v>0</v>
      </c>
      <c r="J158" s="69">
        <f t="shared" si="10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8"/>
        <v>0</v>
      </c>
      <c r="I159" s="71">
        <f t="shared" si="9"/>
        <v>0</v>
      </c>
      <c r="J159" s="69">
        <f t="shared" si="10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8"/>
        <v>0</v>
      </c>
      <c r="I160" s="71">
        <f t="shared" si="9"/>
        <v>0</v>
      </c>
      <c r="J160" s="69">
        <f t="shared" si="10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8"/>
        <v>0</v>
      </c>
      <c r="I161" s="71">
        <f t="shared" si="9"/>
        <v>0</v>
      </c>
      <c r="J161" s="69">
        <f t="shared" si="10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8"/>
        <v>0</v>
      </c>
      <c r="I162" s="71">
        <f t="shared" si="9"/>
        <v>0</v>
      </c>
      <c r="J162" s="69">
        <f t="shared" si="10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8"/>
        <v>0</v>
      </c>
      <c r="I163" s="71">
        <f t="shared" si="9"/>
        <v>0</v>
      </c>
      <c r="J163" s="69">
        <f t="shared" si="10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8"/>
        <v>0</v>
      </c>
      <c r="I164" s="71">
        <f t="shared" si="9"/>
        <v>0</v>
      </c>
      <c r="J164" s="69">
        <f t="shared" si="10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8"/>
        <v>0</v>
      </c>
      <c r="I165" s="71">
        <f t="shared" si="9"/>
        <v>0</v>
      </c>
      <c r="J165" s="69">
        <f t="shared" si="10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8"/>
        <v>0</v>
      </c>
      <c r="I166" s="71">
        <f t="shared" si="9"/>
        <v>0</v>
      </c>
      <c r="J166" s="69">
        <f t="shared" si="10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8"/>
        <v>0</v>
      </c>
      <c r="I167" s="71">
        <f t="shared" si="9"/>
        <v>0</v>
      </c>
      <c r="J167" s="69">
        <f t="shared" si="10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8"/>
        <v>0</v>
      </c>
      <c r="I168" s="71">
        <f t="shared" si="9"/>
        <v>0</v>
      </c>
      <c r="J168" s="69">
        <f t="shared" si="10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8"/>
        <v>0</v>
      </c>
      <c r="I169" s="71">
        <f t="shared" si="9"/>
        <v>0</v>
      </c>
      <c r="J169" s="69">
        <f t="shared" si="10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8"/>
        <v>0</v>
      </c>
      <c r="I170" s="71">
        <f t="shared" si="9"/>
        <v>0</v>
      </c>
      <c r="J170" s="69">
        <f t="shared" si="10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8"/>
        <v>0</v>
      </c>
      <c r="I171" s="71">
        <f t="shared" si="9"/>
        <v>0</v>
      </c>
      <c r="J171" s="69">
        <f t="shared" si="10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8"/>
        <v>0</v>
      </c>
      <c r="I172" s="71">
        <f t="shared" si="9"/>
        <v>0</v>
      </c>
      <c r="J172" s="69">
        <f t="shared" si="10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8"/>
        <v>0</v>
      </c>
      <c r="I173" s="71">
        <f t="shared" si="9"/>
        <v>0</v>
      </c>
      <c r="J173" s="69">
        <f t="shared" si="10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8"/>
        <v>0</v>
      </c>
      <c r="I174" s="71">
        <f t="shared" si="9"/>
        <v>0</v>
      </c>
      <c r="J174" s="69">
        <f t="shared" si="10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8"/>
        <v>0</v>
      </c>
      <c r="I175" s="71">
        <f t="shared" si="9"/>
        <v>0</v>
      </c>
      <c r="J175" s="69">
        <f t="shared" si="10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8"/>
        <v>0</v>
      </c>
      <c r="I176" s="71">
        <f t="shared" si="9"/>
        <v>0</v>
      </c>
      <c r="J176" s="69">
        <f t="shared" si="10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8"/>
        <v>0</v>
      </c>
      <c r="I177" s="71">
        <f t="shared" si="9"/>
        <v>0</v>
      </c>
      <c r="J177" s="69">
        <f t="shared" si="10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8"/>
        <v>0</v>
      </c>
      <c r="I178" s="71">
        <f t="shared" si="9"/>
        <v>0</v>
      </c>
      <c r="J178" s="69">
        <f t="shared" si="10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8"/>
        <v>0</v>
      </c>
      <c r="I179" s="71">
        <f t="shared" si="9"/>
        <v>0</v>
      </c>
      <c r="J179" s="69">
        <f t="shared" si="10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8"/>
        <v>0</v>
      </c>
      <c r="I180" s="71">
        <f t="shared" si="9"/>
        <v>0</v>
      </c>
      <c r="J180" s="69">
        <f t="shared" si="10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8"/>
        <v>0</v>
      </c>
      <c r="I181" s="71">
        <f t="shared" si="9"/>
        <v>0</v>
      </c>
      <c r="J181" s="69">
        <f t="shared" si="10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8"/>
        <v>0</v>
      </c>
      <c r="I182" s="71">
        <f t="shared" si="9"/>
        <v>0</v>
      </c>
      <c r="J182" s="69">
        <f t="shared" si="10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8"/>
        <v>0</v>
      </c>
      <c r="I183" s="71">
        <f t="shared" si="9"/>
        <v>0</v>
      </c>
      <c r="J183" s="69">
        <f t="shared" si="10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8"/>
        <v>0</v>
      </c>
      <c r="I184" s="71">
        <f t="shared" si="9"/>
        <v>0</v>
      </c>
      <c r="J184" s="69">
        <f t="shared" si="10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8"/>
        <v>0</v>
      </c>
      <c r="I185" s="71">
        <f t="shared" si="9"/>
        <v>0</v>
      </c>
      <c r="J185" s="69">
        <f t="shared" si="10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8"/>
        <v>0</v>
      </c>
      <c r="I186" s="71">
        <f t="shared" si="9"/>
        <v>0</v>
      </c>
      <c r="J186" s="69">
        <f t="shared" si="10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8"/>
        <v>0</v>
      </c>
      <c r="I187" s="71">
        <f t="shared" si="9"/>
        <v>0</v>
      </c>
      <c r="J187" s="69">
        <f t="shared" si="10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1">SUM(D9:D187)</f>
        <v>450347000</v>
      </c>
      <c r="E188" s="79">
        <f t="shared" si="11"/>
        <v>63</v>
      </c>
      <c r="F188" s="78">
        <f t="shared" si="11"/>
        <v>5730000</v>
      </c>
      <c r="G188" s="78">
        <f t="shared" si="11"/>
        <v>1390000</v>
      </c>
      <c r="H188" s="78">
        <f t="shared" si="11"/>
        <v>7120000</v>
      </c>
      <c r="I188" s="78">
        <f t="shared" si="11"/>
        <v>444617000</v>
      </c>
      <c r="J188" s="78">
        <f t="shared" si="11"/>
        <v>139000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1390000</v>
      </c>
      <c r="E191" s="47"/>
      <c r="F191" s="129" t="s">
        <v>194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69500</v>
      </c>
      <c r="E192" s="47"/>
      <c r="F192" s="80" t="s">
        <v>131</v>
      </c>
      <c r="G192" s="80"/>
      <c r="H192" s="80"/>
      <c r="I192" s="80"/>
      <c r="K192" s="82"/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764500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34750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34750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34750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34750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139000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347500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1390000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71" workbookViewId="0">
      <selection activeCell="A71" sqref="A71:A84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195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'28-4-26'!I9</f>
        <v>5500000</v>
      </c>
      <c r="E9" s="68"/>
      <c r="F9" s="69"/>
      <c r="G9" s="69"/>
      <c r="H9" s="71">
        <f t="shared" ref="H9:H29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'28-4-26'!I10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'28-4-26'!I11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'28-4-26'!I12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'28-4-26'!I13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'28-4-26'!I14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'28-4-26'!I15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'28-4-26'!I16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'28-4-26'!I17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'28-4-26'!I18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'28-4-26'!I19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'28-4-26'!I20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'28-4-26'!I21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'28-4-26'!I22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'28-4-26'!I23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'28-4-26'!I24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'28-4-26'!I25</f>
        <v>22200000</v>
      </c>
      <c r="E25" s="68"/>
      <c r="F25" s="69"/>
      <c r="G25" s="69"/>
      <c r="H25" s="71">
        <f t="shared" si="0"/>
        <v>0</v>
      </c>
      <c r="I25" s="71">
        <f t="shared" si="1"/>
        <v>22200000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'28-4-26'!I26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'28-4-26'!I27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'28-4-26'!I28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'28-4-26'!I29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'28-4-26'!I30</f>
        <v>2500000</v>
      </c>
      <c r="E30" s="68"/>
      <c r="F30" s="69"/>
      <c r="G30" s="69"/>
      <c r="H30" s="71">
        <f t="shared" ref="H30:H61" si="3">SUM(F30:G30)</f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'28-4-26'!I31</f>
        <v>500000</v>
      </c>
      <c r="E31" s="68"/>
      <c r="F31" s="69"/>
      <c r="G31" s="69"/>
      <c r="H31" s="71">
        <f t="shared" si="3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'28-4-26'!I32</f>
        <v>12000000</v>
      </c>
      <c r="E32" s="68"/>
      <c r="F32" s="69"/>
      <c r="G32" s="69"/>
      <c r="H32" s="71">
        <f t="shared" si="3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'28-4-26'!I33</f>
        <v>600000</v>
      </c>
      <c r="E33" s="68"/>
      <c r="F33" s="69"/>
      <c r="G33" s="69"/>
      <c r="H33" s="71">
        <f t="shared" si="3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'28-4-26'!I34</f>
        <v>2400000</v>
      </c>
      <c r="E34" s="68"/>
      <c r="F34" s="69"/>
      <c r="G34" s="69"/>
      <c r="H34" s="71">
        <f t="shared" si="3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'28-4-26'!I35</f>
        <v>3250000</v>
      </c>
      <c r="E35" s="68"/>
      <c r="F35" s="69"/>
      <c r="G35" s="69"/>
      <c r="H35" s="71">
        <f t="shared" si="3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'28-4-26'!I36</f>
        <v>6400000</v>
      </c>
      <c r="E36" s="68"/>
      <c r="F36" s="69"/>
      <c r="G36" s="69"/>
      <c r="H36" s="71">
        <f t="shared" si="3"/>
        <v>0</v>
      </c>
      <c r="I36" s="71">
        <f t="shared" si="1"/>
        <v>6400000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'28-4-26'!I37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'28-4-26'!I38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'28-4-26'!I39</f>
        <v>13690000</v>
      </c>
      <c r="E39" s="68"/>
      <c r="F39" s="69"/>
      <c r="G39" s="69"/>
      <c r="H39" s="71">
        <f t="shared" si="3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'28-4-26'!I40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'28-4-26'!I41</f>
        <v>1500000</v>
      </c>
      <c r="E41" s="68"/>
      <c r="F41" s="69"/>
      <c r="G41" s="69"/>
      <c r="H41" s="71">
        <f t="shared" si="3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'28-4-26'!I42</f>
        <v>1050000</v>
      </c>
      <c r="E42" s="68"/>
      <c r="F42" s="69"/>
      <c r="G42" s="69"/>
      <c r="H42" s="71">
        <f t="shared" si="3"/>
        <v>0</v>
      </c>
      <c r="I42" s="71">
        <f t="shared" si="1"/>
        <v>1050000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'28-4-26'!I43</f>
        <v>5250000</v>
      </c>
      <c r="E43" s="68">
        <v>15</v>
      </c>
      <c r="F43" s="69">
        <v>750000</v>
      </c>
      <c r="G43" s="69">
        <v>300000</v>
      </c>
      <c r="H43" s="71">
        <f t="shared" si="3"/>
        <v>1050000</v>
      </c>
      <c r="I43" s="71">
        <f t="shared" si="1"/>
        <v>4500000</v>
      </c>
      <c r="J43" s="69">
        <f t="shared" si="2"/>
        <v>30000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'28-4-26'!I44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'28-4-26'!I45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'28-4-26'!I46</f>
        <v>150000</v>
      </c>
      <c r="E46" s="68">
        <v>20</v>
      </c>
      <c r="F46" s="69">
        <v>150000</v>
      </c>
      <c r="G46" s="69">
        <v>60000</v>
      </c>
      <c r="H46" s="71">
        <f t="shared" si="3"/>
        <v>210000</v>
      </c>
      <c r="I46" s="71">
        <f t="shared" si="1"/>
        <v>0</v>
      </c>
      <c r="J46" s="69">
        <f t="shared" si="2"/>
        <v>6000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'28-4-26'!I47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'28-4-26'!I48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'28-4-26'!I49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'28-4-26'!I50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'28-4-26'!I51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'28-4-26'!I52</f>
        <v>25000000</v>
      </c>
      <c r="E52" s="68"/>
      <c r="F52" s="69"/>
      <c r="G52" s="69"/>
      <c r="H52" s="71">
        <f t="shared" si="3"/>
        <v>0</v>
      </c>
      <c r="I52" s="71">
        <f t="shared" si="1"/>
        <v>25000000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'28-4-26'!I53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'28-4-26'!I54</f>
        <v>4400000</v>
      </c>
      <c r="E54" s="68"/>
      <c r="F54" s="69"/>
      <c r="G54" s="69"/>
      <c r="H54" s="71">
        <f t="shared" si="3"/>
        <v>0</v>
      </c>
      <c r="I54" s="71">
        <f t="shared" si="1"/>
        <v>4400000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'28-4-26'!I55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'28-4-26'!I56</f>
        <v>200000</v>
      </c>
      <c r="E56" s="68">
        <v>10</v>
      </c>
      <c r="F56" s="69">
        <v>200000</v>
      </c>
      <c r="G56" s="69">
        <v>40000</v>
      </c>
      <c r="H56" s="71">
        <f t="shared" si="3"/>
        <v>240000</v>
      </c>
      <c r="I56" s="71">
        <f t="shared" si="1"/>
        <v>0</v>
      </c>
      <c r="J56" s="69">
        <f t="shared" si="2"/>
        <v>4000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'28-4-26'!I57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'28-4-26'!I58</f>
        <v>645000</v>
      </c>
      <c r="E58" s="68"/>
      <c r="F58" s="69"/>
      <c r="G58" s="69"/>
      <c r="H58" s="71">
        <f t="shared" si="3"/>
        <v>0</v>
      </c>
      <c r="I58" s="71">
        <f t="shared" si="1"/>
        <v>645000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'28-4-26'!I59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'28-4-26'!I60</f>
        <v>2750000</v>
      </c>
      <c r="E60" s="68"/>
      <c r="F60" s="69"/>
      <c r="G60" s="69"/>
      <c r="H60" s="71">
        <f t="shared" si="3"/>
        <v>0</v>
      </c>
      <c r="I60" s="71">
        <f t="shared" si="1"/>
        <v>2750000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'28-4-26'!I61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'28-4-26'!I62</f>
        <v>0</v>
      </c>
      <c r="E62" s="68"/>
      <c r="F62" s="69"/>
      <c r="G62" s="69"/>
      <c r="H62" s="71">
        <f t="shared" ref="H62:H84" si="4">SUM(F62:G62)</f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'28-4-26'!I63</f>
        <v>0</v>
      </c>
      <c r="E63" s="68"/>
      <c r="F63" s="69"/>
      <c r="G63" s="69"/>
      <c r="H63" s="71">
        <f t="shared" si="4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'28-4-26'!I64</f>
        <v>0</v>
      </c>
      <c r="E64" s="68"/>
      <c r="F64" s="69"/>
      <c r="G64" s="69"/>
      <c r="H64" s="71">
        <f t="shared" si="4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'28-4-26'!I65</f>
        <v>5862000</v>
      </c>
      <c r="E65" s="68"/>
      <c r="F65" s="69"/>
      <c r="G65" s="69"/>
      <c r="H65" s="71">
        <f t="shared" si="4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'28-4-26'!I66</f>
        <v>100000</v>
      </c>
      <c r="E66" s="68"/>
      <c r="F66" s="69"/>
      <c r="G66" s="69"/>
      <c r="H66" s="71">
        <f t="shared" si="4"/>
        <v>0</v>
      </c>
      <c r="I66" s="71">
        <f t="shared" si="1"/>
        <v>100000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'28-4-26'!I67</f>
        <v>0</v>
      </c>
      <c r="E67" s="68"/>
      <c r="F67" s="69"/>
      <c r="G67" s="69"/>
      <c r="H67" s="71">
        <f t="shared" si="4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'28-4-26'!I68</f>
        <v>3400000</v>
      </c>
      <c r="E68" s="68"/>
      <c r="F68" s="69"/>
      <c r="G68" s="69"/>
      <c r="H68" s="71">
        <f t="shared" si="4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'28-4-26'!I69</f>
        <v>50000000</v>
      </c>
      <c r="E69" s="68"/>
      <c r="F69" s="69"/>
      <c r="G69" s="69">
        <v>1000000</v>
      </c>
      <c r="H69" s="71">
        <f t="shared" si="4"/>
        <v>1000000</v>
      </c>
      <c r="I69" s="71">
        <f t="shared" si="1"/>
        <v>50000000</v>
      </c>
      <c r="J69" s="69">
        <f t="shared" si="2"/>
        <v>100000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'28-4-26'!I70</f>
        <v>1000000</v>
      </c>
      <c r="E70" s="68"/>
      <c r="F70" s="69"/>
      <c r="G70" s="69"/>
      <c r="H70" s="71">
        <f t="shared" si="4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'28-4-26'!I71</f>
        <v>2000000</v>
      </c>
      <c r="E71" s="68"/>
      <c r="F71" s="69"/>
      <c r="G71" s="69"/>
      <c r="H71" s="71">
        <f t="shared" si="4"/>
        <v>0</v>
      </c>
      <c r="I71" s="71">
        <f t="shared" si="1"/>
        <v>2000000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'28-4-26'!I72</f>
        <v>1800000</v>
      </c>
      <c r="E72" s="68"/>
      <c r="F72" s="69"/>
      <c r="G72" s="69"/>
      <c r="H72" s="71">
        <f t="shared" si="4"/>
        <v>0</v>
      </c>
      <c r="I72" s="71">
        <f t="shared" si="1"/>
        <v>1800000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4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'28-4-26'!I74</f>
        <v>0</v>
      </c>
      <c r="E74" s="68"/>
      <c r="F74" s="69"/>
      <c r="G74" s="69"/>
      <c r="H74" s="71">
        <f t="shared" si="4"/>
        <v>0</v>
      </c>
      <c r="I74" s="71">
        <f t="shared" ref="I74:I137" si="5">D74-F74</f>
        <v>0</v>
      </c>
      <c r="J74" s="69">
        <f t="shared" ref="J74:J137" si="6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'28-4-26'!I75</f>
        <v>2700000</v>
      </c>
      <c r="E75" s="68"/>
      <c r="F75" s="69"/>
      <c r="G75" s="69"/>
      <c r="H75" s="71">
        <f t="shared" si="4"/>
        <v>0</v>
      </c>
      <c r="I75" s="71">
        <f t="shared" si="5"/>
        <v>2700000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'28-4-26'!I76</f>
        <v>990000</v>
      </c>
      <c r="E76" s="68"/>
      <c r="F76" s="69"/>
      <c r="G76" s="69"/>
      <c r="H76" s="71">
        <f t="shared" si="4"/>
        <v>0</v>
      </c>
      <c r="I76" s="71">
        <f t="shared" si="5"/>
        <v>990000</v>
      </c>
      <c r="J76" s="69">
        <f t="shared" si="6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'28-4-26'!I77</f>
        <v>4750000</v>
      </c>
      <c r="E77" s="68"/>
      <c r="F77" s="69"/>
      <c r="G77" s="69"/>
      <c r="H77" s="71">
        <f t="shared" si="4"/>
        <v>0</v>
      </c>
      <c r="I77" s="71">
        <f t="shared" si="5"/>
        <v>4750000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'28-4-26'!I78</f>
        <v>9500000</v>
      </c>
      <c r="E78" s="68">
        <v>2</v>
      </c>
      <c r="F78" s="69">
        <v>500000</v>
      </c>
      <c r="G78" s="69">
        <v>200000</v>
      </c>
      <c r="H78" s="71">
        <f t="shared" si="4"/>
        <v>700000</v>
      </c>
      <c r="I78" s="71">
        <f t="shared" si="5"/>
        <v>9000000</v>
      </c>
      <c r="J78" s="69">
        <f t="shared" si="6"/>
        <v>20000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'28-4-26'!I79</f>
        <v>2400000</v>
      </c>
      <c r="E79" s="68"/>
      <c r="F79" s="69"/>
      <c r="G79" s="69"/>
      <c r="H79" s="71">
        <f t="shared" si="4"/>
        <v>0</v>
      </c>
      <c r="I79" s="71">
        <f t="shared" si="5"/>
        <v>2400000</v>
      </c>
      <c r="J79" s="69">
        <f t="shared" si="6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'28-4-26'!I80</f>
        <v>800000</v>
      </c>
      <c r="E80" s="68"/>
      <c r="F80" s="69"/>
      <c r="G80" s="69"/>
      <c r="H80" s="71">
        <f t="shared" si="4"/>
        <v>0</v>
      </c>
      <c r="I80" s="71">
        <f t="shared" si="5"/>
        <v>800000</v>
      </c>
      <c r="J80" s="69">
        <f t="shared" si="6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'28-4-26'!I81</f>
        <v>7000000</v>
      </c>
      <c r="E81" s="68">
        <v>1</v>
      </c>
      <c r="F81" s="69">
        <v>700000</v>
      </c>
      <c r="G81" s="69">
        <v>140000</v>
      </c>
      <c r="H81" s="71">
        <f t="shared" si="4"/>
        <v>840000</v>
      </c>
      <c r="I81" s="71">
        <f t="shared" si="5"/>
        <v>6300000</v>
      </c>
      <c r="J81" s="69">
        <f t="shared" si="6"/>
        <v>14000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'28-4-26'!I82</f>
        <v>1000000</v>
      </c>
      <c r="E82" s="69">
        <v>1</v>
      </c>
      <c r="F82" s="69">
        <v>200000</v>
      </c>
      <c r="G82" s="69">
        <v>20000</v>
      </c>
      <c r="H82" s="71">
        <f t="shared" si="4"/>
        <v>220000</v>
      </c>
      <c r="I82" s="71">
        <f t="shared" si="5"/>
        <v>800000</v>
      </c>
      <c r="J82" s="69">
        <f t="shared" si="6"/>
        <v>2000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'28-4-26'!I83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'28-4-26'!I84</f>
        <v>450000</v>
      </c>
      <c r="E84" s="68"/>
      <c r="F84" s="69"/>
      <c r="G84" s="69"/>
      <c r="H84" s="71">
        <f t="shared" si="4"/>
        <v>0</v>
      </c>
      <c r="I84" s="71">
        <f t="shared" si="5"/>
        <v>450000</v>
      </c>
      <c r="J84" s="69">
        <f t="shared" si="6"/>
        <v>0</v>
      </c>
    </row>
    <row r="85" s="45" customFormat="1" ht="12.75" customHeight="1" spans="1:10">
      <c r="A85" s="68"/>
      <c r="B85" s="69"/>
      <c r="C85" s="70"/>
      <c r="D85" s="71">
        <f>'28-4-26'!I85</f>
        <v>0</v>
      </c>
      <c r="E85" s="68"/>
      <c r="F85" s="69"/>
      <c r="G85" s="69"/>
      <c r="H85" s="71">
        <f t="shared" ref="H74:H137" si="7">SUM(F85:G85)</f>
        <v>0</v>
      </c>
      <c r="I85" s="71">
        <f t="shared" si="5"/>
        <v>0</v>
      </c>
      <c r="J85" s="69">
        <f t="shared" si="6"/>
        <v>0</v>
      </c>
    </row>
    <row r="86" s="45" customFormat="1" ht="12.75" customHeight="1" spans="1:10">
      <c r="A86" s="68"/>
      <c r="B86" s="69"/>
      <c r="C86" s="70"/>
      <c r="D86" s="71">
        <f>'28-4-26'!I86</f>
        <v>0</v>
      </c>
      <c r="E86" s="68"/>
      <c r="F86" s="69"/>
      <c r="G86" s="69"/>
      <c r="H86" s="71">
        <f t="shared" si="7"/>
        <v>0</v>
      </c>
      <c r="I86" s="71">
        <f t="shared" si="5"/>
        <v>0</v>
      </c>
      <c r="J86" s="69">
        <f t="shared" si="6"/>
        <v>0</v>
      </c>
    </row>
    <row r="87" s="45" customFormat="1" ht="12.75" customHeight="1" spans="1:10">
      <c r="A87" s="68"/>
      <c r="B87" s="69"/>
      <c r="C87" s="70"/>
      <c r="D87" s="71">
        <f>'28-4-26'!I87</f>
        <v>0</v>
      </c>
      <c r="E87" s="68"/>
      <c r="F87" s="69"/>
      <c r="G87" s="69"/>
      <c r="H87" s="71">
        <f t="shared" si="7"/>
        <v>0</v>
      </c>
      <c r="I87" s="71">
        <f t="shared" si="5"/>
        <v>0</v>
      </c>
      <c r="J87" s="69">
        <f t="shared" si="6"/>
        <v>0</v>
      </c>
    </row>
    <row r="88" s="45" customFormat="1" ht="12.75" customHeight="1" spans="1:10">
      <c r="A88" s="68"/>
      <c r="B88" s="69"/>
      <c r="C88" s="70"/>
      <c r="D88" s="71">
        <f>'28-4-26'!I88</f>
        <v>0</v>
      </c>
      <c r="E88" s="68"/>
      <c r="F88" s="69"/>
      <c r="G88" s="69"/>
      <c r="H88" s="71">
        <f t="shared" si="7"/>
        <v>0</v>
      </c>
      <c r="I88" s="71">
        <f t="shared" si="5"/>
        <v>0</v>
      </c>
      <c r="J88" s="69">
        <f t="shared" si="6"/>
        <v>0</v>
      </c>
    </row>
    <row r="89" s="45" customFormat="1" ht="12.75" customHeight="1" spans="1:10">
      <c r="A89" s="68"/>
      <c r="B89" s="69"/>
      <c r="C89" s="70"/>
      <c r="D89" s="71">
        <f>'28-4-26'!I89</f>
        <v>0</v>
      </c>
      <c r="E89" s="68"/>
      <c r="F89" s="69"/>
      <c r="G89" s="69"/>
      <c r="H89" s="71">
        <f t="shared" si="7"/>
        <v>0</v>
      </c>
      <c r="I89" s="71">
        <f t="shared" si="5"/>
        <v>0</v>
      </c>
      <c r="J89" s="69">
        <f t="shared" si="6"/>
        <v>0</v>
      </c>
    </row>
    <row r="90" s="45" customFormat="1" ht="12.75" customHeight="1" spans="1:10">
      <c r="A90" s="68"/>
      <c r="B90" s="69"/>
      <c r="C90" s="70"/>
      <c r="D90" s="71">
        <f>'28-4-26'!I90</f>
        <v>0</v>
      </c>
      <c r="E90" s="68"/>
      <c r="F90" s="69"/>
      <c r="G90" s="69"/>
      <c r="H90" s="71">
        <f t="shared" si="7"/>
        <v>0</v>
      </c>
      <c r="I90" s="71">
        <f t="shared" si="5"/>
        <v>0</v>
      </c>
      <c r="J90" s="69">
        <f t="shared" si="6"/>
        <v>0</v>
      </c>
    </row>
    <row r="91" s="45" customFormat="1" ht="12.75" customHeight="1" spans="1:10">
      <c r="A91" s="68"/>
      <c r="B91" s="69"/>
      <c r="C91" s="70"/>
      <c r="D91" s="71">
        <f>'28-4-26'!I91</f>
        <v>0</v>
      </c>
      <c r="E91" s="68"/>
      <c r="F91" s="69"/>
      <c r="G91" s="69"/>
      <c r="H91" s="71">
        <f t="shared" si="7"/>
        <v>0</v>
      </c>
      <c r="I91" s="71">
        <f t="shared" si="5"/>
        <v>0</v>
      </c>
      <c r="J91" s="69">
        <f t="shared" si="6"/>
        <v>0</v>
      </c>
    </row>
    <row r="92" s="45" customFormat="1" ht="12.75" customHeight="1" spans="1:10">
      <c r="A92" s="68"/>
      <c r="B92" s="69"/>
      <c r="C92" s="70"/>
      <c r="D92" s="71">
        <f>'28-4-26'!I92</f>
        <v>0</v>
      </c>
      <c r="E92" s="68"/>
      <c r="F92" s="69"/>
      <c r="G92" s="69"/>
      <c r="H92" s="71">
        <f t="shared" si="7"/>
        <v>0</v>
      </c>
      <c r="I92" s="71">
        <f t="shared" si="5"/>
        <v>0</v>
      </c>
      <c r="J92" s="69">
        <f t="shared" si="6"/>
        <v>0</v>
      </c>
    </row>
    <row r="93" s="45" customFormat="1" ht="12.75" customHeight="1" spans="1:10">
      <c r="A93" s="68"/>
      <c r="B93" s="69"/>
      <c r="C93" s="70"/>
      <c r="D93" s="71">
        <f>'28-4-26'!I93</f>
        <v>0</v>
      </c>
      <c r="E93" s="68"/>
      <c r="F93" s="69"/>
      <c r="G93" s="69"/>
      <c r="H93" s="71">
        <f t="shared" si="7"/>
        <v>0</v>
      </c>
      <c r="I93" s="71">
        <f t="shared" si="5"/>
        <v>0</v>
      </c>
      <c r="J93" s="69">
        <f t="shared" si="6"/>
        <v>0</v>
      </c>
    </row>
    <row r="94" s="45" customFormat="1" ht="12.75" customHeight="1" spans="1:10">
      <c r="A94" s="68"/>
      <c r="B94" s="69"/>
      <c r="C94" s="70"/>
      <c r="D94" s="71">
        <f>'28-4-26'!I94</f>
        <v>0</v>
      </c>
      <c r="E94" s="68"/>
      <c r="F94" s="69"/>
      <c r="G94" s="69"/>
      <c r="H94" s="71">
        <f t="shared" si="7"/>
        <v>0</v>
      </c>
      <c r="I94" s="71">
        <f t="shared" si="5"/>
        <v>0</v>
      </c>
      <c r="J94" s="69">
        <f t="shared" si="6"/>
        <v>0</v>
      </c>
    </row>
    <row r="95" s="45" customFormat="1" ht="12.75" customHeight="1" spans="1:10">
      <c r="A95" s="68"/>
      <c r="B95" s="69"/>
      <c r="C95" s="70"/>
      <c r="D95" s="71">
        <f>'28-4-26'!I95</f>
        <v>0</v>
      </c>
      <c r="E95" s="68"/>
      <c r="F95" s="69"/>
      <c r="G95" s="69"/>
      <c r="H95" s="71">
        <f t="shared" si="7"/>
        <v>0</v>
      </c>
      <c r="I95" s="71">
        <f t="shared" si="5"/>
        <v>0</v>
      </c>
      <c r="J95" s="69">
        <f t="shared" si="6"/>
        <v>0</v>
      </c>
    </row>
    <row r="96" s="45" customFormat="1" ht="12.75" customHeight="1" spans="1:10">
      <c r="A96" s="68"/>
      <c r="B96" s="69"/>
      <c r="C96" s="70"/>
      <c r="D96" s="71">
        <f>'28-4-26'!I96</f>
        <v>0</v>
      </c>
      <c r="E96" s="68"/>
      <c r="F96" s="69"/>
      <c r="G96" s="69"/>
      <c r="H96" s="71">
        <f t="shared" si="7"/>
        <v>0</v>
      </c>
      <c r="I96" s="71">
        <f t="shared" si="5"/>
        <v>0</v>
      </c>
      <c r="J96" s="69">
        <f t="shared" si="6"/>
        <v>0</v>
      </c>
    </row>
    <row r="97" s="45" customFormat="1" ht="12.75" customHeight="1" spans="1:10">
      <c r="A97" s="68"/>
      <c r="B97" s="69"/>
      <c r="C97" s="70"/>
      <c r="D97" s="71">
        <f>'28-4-26'!I97</f>
        <v>0</v>
      </c>
      <c r="E97" s="68"/>
      <c r="F97" s="69"/>
      <c r="G97" s="69"/>
      <c r="H97" s="71">
        <f t="shared" si="7"/>
        <v>0</v>
      </c>
      <c r="I97" s="71">
        <f t="shared" si="5"/>
        <v>0</v>
      </c>
      <c r="J97" s="69">
        <f t="shared" si="6"/>
        <v>0</v>
      </c>
    </row>
    <row r="98" s="45" customFormat="1" ht="12.75" customHeight="1" spans="1:10">
      <c r="A98" s="68"/>
      <c r="B98" s="69"/>
      <c r="C98" s="70"/>
      <c r="D98" s="71">
        <f>'28-4-26'!I98</f>
        <v>0</v>
      </c>
      <c r="E98" s="68"/>
      <c r="F98" s="69"/>
      <c r="G98" s="69"/>
      <c r="H98" s="71">
        <f t="shared" si="7"/>
        <v>0</v>
      </c>
      <c r="I98" s="71">
        <f t="shared" si="5"/>
        <v>0</v>
      </c>
      <c r="J98" s="69">
        <f t="shared" si="6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7"/>
        <v>0</v>
      </c>
      <c r="I99" s="71">
        <f t="shared" si="5"/>
        <v>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7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7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7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7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7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7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7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7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7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7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7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7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7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7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7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7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7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7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7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7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7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7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7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7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7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7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7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7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7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7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7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7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7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7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7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7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7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7"/>
        <v>0</v>
      </c>
      <c r="I137" s="71">
        <f t="shared" si="5"/>
        <v>0</v>
      </c>
      <c r="J137" s="69">
        <f t="shared" si="6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8">SUM(F138:G138)</f>
        <v>0</v>
      </c>
      <c r="I138" s="71">
        <f t="shared" ref="I138:I187" si="9">D138-F138</f>
        <v>0</v>
      </c>
      <c r="J138" s="69">
        <f t="shared" ref="J138:J187" si="10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8"/>
        <v>0</v>
      </c>
      <c r="I139" s="71">
        <f t="shared" si="9"/>
        <v>0</v>
      </c>
      <c r="J139" s="69">
        <f t="shared" si="10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8"/>
        <v>0</v>
      </c>
      <c r="I140" s="71">
        <f t="shared" si="9"/>
        <v>0</v>
      </c>
      <c r="J140" s="69">
        <f t="shared" si="10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8"/>
        <v>0</v>
      </c>
      <c r="I141" s="71">
        <f t="shared" si="9"/>
        <v>0</v>
      </c>
      <c r="J141" s="69">
        <f t="shared" si="10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8"/>
        <v>0</v>
      </c>
      <c r="I142" s="71">
        <f t="shared" si="9"/>
        <v>0</v>
      </c>
      <c r="J142" s="69">
        <f t="shared" si="10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8"/>
        <v>0</v>
      </c>
      <c r="I143" s="71">
        <f t="shared" si="9"/>
        <v>0</v>
      </c>
      <c r="J143" s="69">
        <f t="shared" si="10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8"/>
        <v>0</v>
      </c>
      <c r="I144" s="71">
        <f t="shared" si="9"/>
        <v>0</v>
      </c>
      <c r="J144" s="69">
        <f t="shared" si="10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8"/>
        <v>0</v>
      </c>
      <c r="I145" s="71">
        <f t="shared" si="9"/>
        <v>0</v>
      </c>
      <c r="J145" s="69">
        <f t="shared" si="10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8"/>
        <v>0</v>
      </c>
      <c r="I146" s="71">
        <f t="shared" si="9"/>
        <v>0</v>
      </c>
      <c r="J146" s="69">
        <f t="shared" si="10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8"/>
        <v>0</v>
      </c>
      <c r="I147" s="71">
        <f t="shared" si="9"/>
        <v>0</v>
      </c>
      <c r="J147" s="69">
        <f t="shared" si="10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8"/>
        <v>0</v>
      </c>
      <c r="I148" s="71">
        <f t="shared" si="9"/>
        <v>0</v>
      </c>
      <c r="J148" s="69">
        <f t="shared" si="10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8"/>
        <v>0</v>
      </c>
      <c r="I149" s="71">
        <f t="shared" si="9"/>
        <v>0</v>
      </c>
      <c r="J149" s="69">
        <f t="shared" si="10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8"/>
        <v>0</v>
      </c>
      <c r="I150" s="71">
        <f t="shared" si="9"/>
        <v>0</v>
      </c>
      <c r="J150" s="69">
        <f t="shared" si="10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8"/>
        <v>0</v>
      </c>
      <c r="I151" s="71">
        <f t="shared" si="9"/>
        <v>0</v>
      </c>
      <c r="J151" s="69">
        <f t="shared" si="10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8"/>
        <v>0</v>
      </c>
      <c r="I152" s="71">
        <f t="shared" si="9"/>
        <v>0</v>
      </c>
      <c r="J152" s="69">
        <f t="shared" si="10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8"/>
        <v>0</v>
      </c>
      <c r="I153" s="71">
        <f t="shared" si="9"/>
        <v>0</v>
      </c>
      <c r="J153" s="69">
        <f t="shared" si="10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8"/>
        <v>0</v>
      </c>
      <c r="I154" s="71">
        <f t="shared" si="9"/>
        <v>0</v>
      </c>
      <c r="J154" s="69">
        <f t="shared" si="10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8"/>
        <v>0</v>
      </c>
      <c r="I155" s="71">
        <f t="shared" si="9"/>
        <v>0</v>
      </c>
      <c r="J155" s="69">
        <f t="shared" si="10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8"/>
        <v>0</v>
      </c>
      <c r="I156" s="71">
        <f t="shared" si="9"/>
        <v>0</v>
      </c>
      <c r="J156" s="69">
        <f t="shared" si="10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8"/>
        <v>0</v>
      </c>
      <c r="I157" s="71">
        <f t="shared" si="9"/>
        <v>0</v>
      </c>
      <c r="J157" s="69">
        <f t="shared" si="10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8"/>
        <v>0</v>
      </c>
      <c r="I158" s="71">
        <f t="shared" si="9"/>
        <v>0</v>
      </c>
      <c r="J158" s="69">
        <f t="shared" si="10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8"/>
        <v>0</v>
      </c>
      <c r="I159" s="71">
        <f t="shared" si="9"/>
        <v>0</v>
      </c>
      <c r="J159" s="69">
        <f t="shared" si="10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8"/>
        <v>0</v>
      </c>
      <c r="I160" s="71">
        <f t="shared" si="9"/>
        <v>0</v>
      </c>
      <c r="J160" s="69">
        <f t="shared" si="10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8"/>
        <v>0</v>
      </c>
      <c r="I161" s="71">
        <f t="shared" si="9"/>
        <v>0</v>
      </c>
      <c r="J161" s="69">
        <f t="shared" si="10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8"/>
        <v>0</v>
      </c>
      <c r="I162" s="71">
        <f t="shared" si="9"/>
        <v>0</v>
      </c>
      <c r="J162" s="69">
        <f t="shared" si="10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8"/>
        <v>0</v>
      </c>
      <c r="I163" s="71">
        <f t="shared" si="9"/>
        <v>0</v>
      </c>
      <c r="J163" s="69">
        <f t="shared" si="10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8"/>
        <v>0</v>
      </c>
      <c r="I164" s="71">
        <f t="shared" si="9"/>
        <v>0</v>
      </c>
      <c r="J164" s="69">
        <f t="shared" si="10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8"/>
        <v>0</v>
      </c>
      <c r="I165" s="71">
        <f t="shared" si="9"/>
        <v>0</v>
      </c>
      <c r="J165" s="69">
        <f t="shared" si="10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8"/>
        <v>0</v>
      </c>
      <c r="I166" s="71">
        <f t="shared" si="9"/>
        <v>0</v>
      </c>
      <c r="J166" s="69">
        <f t="shared" si="10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8"/>
        <v>0</v>
      </c>
      <c r="I167" s="71">
        <f t="shared" si="9"/>
        <v>0</v>
      </c>
      <c r="J167" s="69">
        <f t="shared" si="10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8"/>
        <v>0</v>
      </c>
      <c r="I168" s="71">
        <f t="shared" si="9"/>
        <v>0</v>
      </c>
      <c r="J168" s="69">
        <f t="shared" si="10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8"/>
        <v>0</v>
      </c>
      <c r="I169" s="71">
        <f t="shared" si="9"/>
        <v>0</v>
      </c>
      <c r="J169" s="69">
        <f t="shared" si="10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8"/>
        <v>0</v>
      </c>
      <c r="I170" s="71">
        <f t="shared" si="9"/>
        <v>0</v>
      </c>
      <c r="J170" s="69">
        <f t="shared" si="10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8"/>
        <v>0</v>
      </c>
      <c r="I171" s="71">
        <f t="shared" si="9"/>
        <v>0</v>
      </c>
      <c r="J171" s="69">
        <f t="shared" si="10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8"/>
        <v>0</v>
      </c>
      <c r="I172" s="71">
        <f t="shared" si="9"/>
        <v>0</v>
      </c>
      <c r="J172" s="69">
        <f t="shared" si="10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8"/>
        <v>0</v>
      </c>
      <c r="I173" s="71">
        <f t="shared" si="9"/>
        <v>0</v>
      </c>
      <c r="J173" s="69">
        <f t="shared" si="10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8"/>
        <v>0</v>
      </c>
      <c r="I174" s="71">
        <f t="shared" si="9"/>
        <v>0</v>
      </c>
      <c r="J174" s="69">
        <f t="shared" si="10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8"/>
        <v>0</v>
      </c>
      <c r="I175" s="71">
        <f t="shared" si="9"/>
        <v>0</v>
      </c>
      <c r="J175" s="69">
        <f t="shared" si="10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8"/>
        <v>0</v>
      </c>
      <c r="I176" s="71">
        <f t="shared" si="9"/>
        <v>0</v>
      </c>
      <c r="J176" s="69">
        <f t="shared" si="10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8"/>
        <v>0</v>
      </c>
      <c r="I177" s="71">
        <f t="shared" si="9"/>
        <v>0</v>
      </c>
      <c r="J177" s="69">
        <f t="shared" si="10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8"/>
        <v>0</v>
      </c>
      <c r="I178" s="71">
        <f t="shared" si="9"/>
        <v>0</v>
      </c>
      <c r="J178" s="69">
        <f t="shared" si="10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8"/>
        <v>0</v>
      </c>
      <c r="I179" s="71">
        <f t="shared" si="9"/>
        <v>0</v>
      </c>
      <c r="J179" s="69">
        <f t="shared" si="10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8"/>
        <v>0</v>
      </c>
      <c r="I180" s="71">
        <f t="shared" si="9"/>
        <v>0</v>
      </c>
      <c r="J180" s="69">
        <f t="shared" si="10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8"/>
        <v>0</v>
      </c>
      <c r="I181" s="71">
        <f t="shared" si="9"/>
        <v>0</v>
      </c>
      <c r="J181" s="69">
        <f t="shared" si="10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8"/>
        <v>0</v>
      </c>
      <c r="I182" s="71">
        <f t="shared" si="9"/>
        <v>0</v>
      </c>
      <c r="J182" s="69">
        <f t="shared" si="10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8"/>
        <v>0</v>
      </c>
      <c r="I183" s="71">
        <f t="shared" si="9"/>
        <v>0</v>
      </c>
      <c r="J183" s="69">
        <f t="shared" si="10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8"/>
        <v>0</v>
      </c>
      <c r="I184" s="71">
        <f t="shared" si="9"/>
        <v>0</v>
      </c>
      <c r="J184" s="69">
        <f t="shared" si="10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8"/>
        <v>0</v>
      </c>
      <c r="I185" s="71">
        <f t="shared" si="9"/>
        <v>0</v>
      </c>
      <c r="J185" s="69">
        <f t="shared" si="10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8"/>
        <v>0</v>
      </c>
      <c r="I186" s="71">
        <f t="shared" si="9"/>
        <v>0</v>
      </c>
      <c r="J186" s="69">
        <f t="shared" si="10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8"/>
        <v>0</v>
      </c>
      <c r="I187" s="71">
        <f t="shared" si="9"/>
        <v>0</v>
      </c>
      <c r="J187" s="69">
        <f t="shared" si="10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1">SUM(D9:D187)</f>
        <v>444617000</v>
      </c>
      <c r="E188" s="79">
        <f t="shared" si="11"/>
        <v>49</v>
      </c>
      <c r="F188" s="78">
        <f t="shared" si="11"/>
        <v>2500000</v>
      </c>
      <c r="G188" s="78">
        <f t="shared" si="11"/>
        <v>1760000</v>
      </c>
      <c r="H188" s="78">
        <f t="shared" si="11"/>
        <v>4260000</v>
      </c>
      <c r="I188" s="78">
        <f t="shared" si="11"/>
        <v>442117000</v>
      </c>
      <c r="J188" s="78">
        <f t="shared" si="11"/>
        <v>176000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1760000</v>
      </c>
      <c r="E191" s="47"/>
      <c r="F191" s="129" t="s">
        <v>196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88000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968000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44000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44000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44000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44000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176000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440000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1760000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71" workbookViewId="0">
      <selection activeCell="A71" sqref="A71:A88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198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'5-5-26'!I9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'5-5-26'!I10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'5-5-26'!I11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'5-5-26'!I12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'5-5-26'!I13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'5-5-26'!I14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'5-5-26'!I15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'5-5-26'!I16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'5-5-26'!I17</f>
        <v>6150000</v>
      </c>
      <c r="E17" s="68"/>
      <c r="F17" s="69"/>
      <c r="G17" s="69"/>
      <c r="H17" s="71">
        <f t="shared" si="0"/>
        <v>0</v>
      </c>
      <c r="I17" s="71">
        <f t="shared" si="1"/>
        <v>6150000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'5-5-26'!I18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'5-5-26'!I19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'5-5-26'!I20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'5-5-26'!I21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'5-5-26'!I22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'5-5-26'!I23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'5-5-26'!I24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'5-5-26'!I25</f>
        <v>22200000</v>
      </c>
      <c r="E25" s="68">
        <v>17</v>
      </c>
      <c r="F25" s="69">
        <v>800000</v>
      </c>
      <c r="G25" s="69">
        <v>700000</v>
      </c>
      <c r="H25" s="71">
        <f t="shared" si="0"/>
        <v>1500000</v>
      </c>
      <c r="I25" s="71">
        <f t="shared" si="1"/>
        <v>21400000</v>
      </c>
      <c r="J25" s="69">
        <f t="shared" si="2"/>
        <v>70000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'5-5-26'!I26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'5-5-26'!I27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'5-5-26'!I28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'5-5-26'!I29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'5-5-26'!I30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'5-5-26'!I31</f>
        <v>500000</v>
      </c>
      <c r="E31" s="68"/>
      <c r="F31" s="69"/>
      <c r="G31" s="69"/>
      <c r="H31" s="71">
        <f t="shared" si="0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'5-5-26'!I32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'5-5-26'!I33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'5-5-26'!I34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'5-5-26'!I35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'5-5-26'!I36</f>
        <v>6400000</v>
      </c>
      <c r="E36" s="68"/>
      <c r="F36" s="69"/>
      <c r="G36" s="69"/>
      <c r="H36" s="71">
        <f t="shared" si="0"/>
        <v>0</v>
      </c>
      <c r="I36" s="71">
        <f t="shared" si="1"/>
        <v>6400000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'5-5-26'!I37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'5-5-26'!I38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'5-5-26'!I39</f>
        <v>13690000</v>
      </c>
      <c r="E39" s="68"/>
      <c r="F39" s="69"/>
      <c r="G39" s="69"/>
      <c r="H39" s="71">
        <f t="shared" si="0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'5-5-26'!I40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'5-5-26'!I41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'5-5-26'!I42</f>
        <v>1050000</v>
      </c>
      <c r="E42" s="68"/>
      <c r="F42" s="69"/>
      <c r="G42" s="69"/>
      <c r="H42" s="71">
        <f t="shared" si="0"/>
        <v>0</v>
      </c>
      <c r="I42" s="71">
        <f t="shared" si="1"/>
        <v>1050000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'5-5-26'!I43</f>
        <v>4500000</v>
      </c>
      <c r="E43" s="68"/>
      <c r="F43" s="69"/>
      <c r="G43" s="69"/>
      <c r="H43" s="71">
        <f t="shared" ref="H43:H91" si="3">SUM(F43:G43)</f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'5-5-26'!I44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'5-5-26'!I45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'5-5-26'!I46</f>
        <v>0</v>
      </c>
      <c r="E46" s="68"/>
      <c r="F46" s="69"/>
      <c r="G46" s="69"/>
      <c r="H46" s="71">
        <f t="shared" si="3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'5-5-26'!I47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'5-5-26'!I48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'5-5-26'!I49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'5-5-26'!I50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'5-5-26'!I51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'5-5-26'!I52</f>
        <v>25000000</v>
      </c>
      <c r="E52" s="68">
        <v>8</v>
      </c>
      <c r="F52" s="69">
        <v>400000</v>
      </c>
      <c r="G52" s="69">
        <v>600000</v>
      </c>
      <c r="H52" s="71">
        <f t="shared" si="3"/>
        <v>1000000</v>
      </c>
      <c r="I52" s="71">
        <f t="shared" si="1"/>
        <v>24600000</v>
      </c>
      <c r="J52" s="69">
        <f t="shared" si="2"/>
        <v>60000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'5-5-26'!I53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'5-5-26'!I54</f>
        <v>4400000</v>
      </c>
      <c r="E54" s="68">
        <v>5</v>
      </c>
      <c r="F54" s="69">
        <v>200000</v>
      </c>
      <c r="G54" s="69">
        <v>100000</v>
      </c>
      <c r="H54" s="71">
        <f t="shared" si="3"/>
        <v>300000</v>
      </c>
      <c r="I54" s="71">
        <f t="shared" si="1"/>
        <v>4200000</v>
      </c>
      <c r="J54" s="69">
        <f t="shared" si="2"/>
        <v>10000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'5-5-26'!I55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'5-5-26'!I56</f>
        <v>0</v>
      </c>
      <c r="E56" s="68"/>
      <c r="F56" s="69"/>
      <c r="G56" s="69"/>
      <c r="H56" s="71">
        <f t="shared" si="3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'5-5-26'!I57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'5-5-26'!I58</f>
        <v>645000</v>
      </c>
      <c r="E58" s="68">
        <v>14</v>
      </c>
      <c r="F58" s="69">
        <v>645000</v>
      </c>
      <c r="G58" s="69">
        <v>100000</v>
      </c>
      <c r="H58" s="71">
        <f t="shared" si="3"/>
        <v>745000</v>
      </c>
      <c r="I58" s="71">
        <f t="shared" si="1"/>
        <v>0</v>
      </c>
      <c r="J58" s="69">
        <f t="shared" si="2"/>
        <v>10000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'5-5-26'!I59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'5-5-26'!I60</f>
        <v>2750000</v>
      </c>
      <c r="E60" s="68"/>
      <c r="F60" s="69"/>
      <c r="G60" s="69"/>
      <c r="H60" s="71">
        <f t="shared" si="3"/>
        <v>0</v>
      </c>
      <c r="I60" s="71">
        <f t="shared" si="1"/>
        <v>2750000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'5-5-26'!I61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'5-5-26'!I62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'5-5-26'!I63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'5-5-26'!I64</f>
        <v>0</v>
      </c>
      <c r="E64" s="68"/>
      <c r="F64" s="69"/>
      <c r="G64" s="69"/>
      <c r="H64" s="71">
        <f t="shared" si="3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'5-5-26'!I65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'5-5-26'!I66</f>
        <v>100000</v>
      </c>
      <c r="E66" s="68">
        <v>9</v>
      </c>
      <c r="F66" s="69">
        <v>50000</v>
      </c>
      <c r="G66" s="69">
        <v>10000</v>
      </c>
      <c r="H66" s="71">
        <f t="shared" si="3"/>
        <v>60000</v>
      </c>
      <c r="I66" s="71">
        <f t="shared" si="1"/>
        <v>50000</v>
      </c>
      <c r="J66" s="69">
        <f t="shared" si="2"/>
        <v>1000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'5-5-26'!I67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'5-5-26'!I68</f>
        <v>3400000</v>
      </c>
      <c r="E68" s="68"/>
      <c r="F68" s="69"/>
      <c r="G68" s="69"/>
      <c r="H68" s="71">
        <f t="shared" si="3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'5-5-26'!I69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'5-5-26'!I70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'5-5-26'!I71</f>
        <v>2000000</v>
      </c>
      <c r="E71" s="68">
        <v>3</v>
      </c>
      <c r="F71" s="69">
        <v>500000</v>
      </c>
      <c r="G71" s="69">
        <v>60000</v>
      </c>
      <c r="H71" s="71">
        <f t="shared" si="3"/>
        <v>560000</v>
      </c>
      <c r="I71" s="71">
        <f t="shared" si="1"/>
        <v>1500000</v>
      </c>
      <c r="J71" s="69">
        <f t="shared" si="2"/>
        <v>6000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'5-5-26'!I72</f>
        <v>1800000</v>
      </c>
      <c r="E72" s="68">
        <v>2</v>
      </c>
      <c r="F72" s="69">
        <v>200000</v>
      </c>
      <c r="G72" s="69">
        <v>40000</v>
      </c>
      <c r="H72" s="71">
        <f t="shared" si="3"/>
        <v>240000</v>
      </c>
      <c r="I72" s="71">
        <f t="shared" si="1"/>
        <v>1600000</v>
      </c>
      <c r="J72" s="69">
        <f t="shared" si="2"/>
        <v>4000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3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'5-5-26'!I74</f>
        <v>0</v>
      </c>
      <c r="E74" s="68"/>
      <c r="F74" s="69"/>
      <c r="G74" s="69"/>
      <c r="H74" s="71">
        <f t="shared" si="3"/>
        <v>0</v>
      </c>
      <c r="I74" s="71">
        <f t="shared" ref="I74:I137" si="4">D74-F74</f>
        <v>0</v>
      </c>
      <c r="J74" s="69">
        <f t="shared" ref="J74:J137" si="5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'5-5-26'!I75</f>
        <v>2700000</v>
      </c>
      <c r="E75" s="68">
        <v>2</v>
      </c>
      <c r="F75" s="69">
        <v>300000</v>
      </c>
      <c r="G75" s="69">
        <v>60000</v>
      </c>
      <c r="H75" s="71">
        <f t="shared" si="3"/>
        <v>360000</v>
      </c>
      <c r="I75" s="71">
        <f t="shared" si="4"/>
        <v>2400000</v>
      </c>
      <c r="J75" s="69">
        <f t="shared" si="5"/>
        <v>6000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'5-5-26'!I76</f>
        <v>990000</v>
      </c>
      <c r="E76" s="68"/>
      <c r="F76" s="69"/>
      <c r="G76" s="69"/>
      <c r="H76" s="71">
        <f t="shared" si="3"/>
        <v>0</v>
      </c>
      <c r="I76" s="71">
        <f t="shared" si="4"/>
        <v>990000</v>
      </c>
      <c r="J76" s="69">
        <f t="shared" si="5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'5-5-26'!I77</f>
        <v>4750000</v>
      </c>
      <c r="E77" s="68">
        <v>2</v>
      </c>
      <c r="F77" s="69">
        <v>250000</v>
      </c>
      <c r="G77" s="69">
        <v>100000</v>
      </c>
      <c r="H77" s="71">
        <f t="shared" si="3"/>
        <v>350000</v>
      </c>
      <c r="I77" s="71">
        <f t="shared" si="4"/>
        <v>4500000</v>
      </c>
      <c r="J77" s="69">
        <f t="shared" si="5"/>
        <v>10000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'5-5-26'!I78</f>
        <v>9000000</v>
      </c>
      <c r="E78" s="68"/>
      <c r="F78" s="69"/>
      <c r="G78" s="69"/>
      <c r="H78" s="71">
        <f t="shared" si="3"/>
        <v>0</v>
      </c>
      <c r="I78" s="71">
        <f t="shared" si="4"/>
        <v>9000000</v>
      </c>
      <c r="J78" s="69">
        <f t="shared" si="5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'5-5-26'!I79</f>
        <v>2400000</v>
      </c>
      <c r="E79" s="68">
        <v>2</v>
      </c>
      <c r="F79" s="69">
        <v>300000</v>
      </c>
      <c r="G79" s="69">
        <v>60000</v>
      </c>
      <c r="H79" s="71">
        <f t="shared" si="3"/>
        <v>360000</v>
      </c>
      <c r="I79" s="71">
        <f t="shared" si="4"/>
        <v>2100000</v>
      </c>
      <c r="J79" s="69">
        <f t="shared" si="5"/>
        <v>6000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'5-5-26'!I80</f>
        <v>800000</v>
      </c>
      <c r="E80" s="68"/>
      <c r="F80" s="69"/>
      <c r="G80" s="69"/>
      <c r="H80" s="71">
        <f t="shared" si="3"/>
        <v>0</v>
      </c>
      <c r="I80" s="71">
        <f t="shared" si="4"/>
        <v>800000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'5-5-26'!I81</f>
        <v>6300000</v>
      </c>
      <c r="E81" s="68"/>
      <c r="F81" s="69"/>
      <c r="G81" s="69"/>
      <c r="H81" s="71">
        <f t="shared" si="3"/>
        <v>0</v>
      </c>
      <c r="I81" s="71">
        <f t="shared" si="4"/>
        <v>6300000</v>
      </c>
      <c r="J81" s="69">
        <f t="shared" si="5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'5-5-26'!I82</f>
        <v>800000</v>
      </c>
      <c r="E82" s="69"/>
      <c r="F82" s="69"/>
      <c r="G82" s="69"/>
      <c r="H82" s="71">
        <f t="shared" si="3"/>
        <v>0</v>
      </c>
      <c r="I82" s="71">
        <f t="shared" si="4"/>
        <v>800000</v>
      </c>
      <c r="J82" s="69">
        <f t="shared" si="5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'5-5-26'!I83</f>
        <v>500000</v>
      </c>
      <c r="E83" s="68"/>
      <c r="F83" s="69"/>
      <c r="G83" s="69"/>
      <c r="H83" s="71">
        <f t="shared" si="3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'5-5-26'!I84</f>
        <v>450000</v>
      </c>
      <c r="E84" s="68">
        <v>2</v>
      </c>
      <c r="F84" s="69">
        <v>50000</v>
      </c>
      <c r="G84" s="69">
        <v>10000</v>
      </c>
      <c r="H84" s="71">
        <f t="shared" si="3"/>
        <v>60000</v>
      </c>
      <c r="I84" s="71">
        <f t="shared" si="4"/>
        <v>400000</v>
      </c>
      <c r="J84" s="69">
        <f t="shared" si="5"/>
        <v>1000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v>5000000</v>
      </c>
      <c r="E85" s="68"/>
      <c r="F85" s="69"/>
      <c r="G85" s="69"/>
      <c r="H85" s="71">
        <f t="shared" si="3"/>
        <v>0</v>
      </c>
      <c r="I85" s="71">
        <f t="shared" si="4"/>
        <v>5000000</v>
      </c>
      <c r="J85" s="69">
        <f t="shared" si="5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v>1000000</v>
      </c>
      <c r="E86" s="68"/>
      <c r="F86" s="69"/>
      <c r="G86" s="69"/>
      <c r="H86" s="71">
        <f t="shared" si="3"/>
        <v>0</v>
      </c>
      <c r="I86" s="71">
        <f t="shared" si="4"/>
        <v>1000000</v>
      </c>
      <c r="J86" s="69">
        <f t="shared" si="5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v>500000</v>
      </c>
      <c r="E87" s="68"/>
      <c r="F87" s="69"/>
      <c r="G87" s="69"/>
      <c r="H87" s="71">
        <f t="shared" si="3"/>
        <v>0</v>
      </c>
      <c r="I87" s="71">
        <f t="shared" si="4"/>
        <v>500000</v>
      </c>
      <c r="J87" s="69">
        <f t="shared" si="5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v>3000000</v>
      </c>
      <c r="E88" s="68"/>
      <c r="F88" s="69"/>
      <c r="G88" s="69"/>
      <c r="H88" s="71">
        <f t="shared" si="3"/>
        <v>0</v>
      </c>
      <c r="I88" s="71">
        <f t="shared" si="4"/>
        <v>3000000</v>
      </c>
      <c r="J88" s="69">
        <f t="shared" si="5"/>
        <v>0</v>
      </c>
    </row>
    <row r="89" s="45" customFormat="1" ht="12.75" customHeight="1" spans="1:10">
      <c r="A89" s="68"/>
      <c r="B89" s="69"/>
      <c r="C89" s="70"/>
      <c r="D89" s="71">
        <f>'28-4-26'!I89</f>
        <v>0</v>
      </c>
      <c r="E89" s="68"/>
      <c r="F89" s="69"/>
      <c r="G89" s="69"/>
      <c r="H89" s="71">
        <f t="shared" si="3"/>
        <v>0</v>
      </c>
      <c r="I89" s="71">
        <f t="shared" si="4"/>
        <v>0</v>
      </c>
      <c r="J89" s="69">
        <f t="shared" si="5"/>
        <v>0</v>
      </c>
    </row>
    <row r="90" s="45" customFormat="1" ht="12.75" customHeight="1" spans="1:10">
      <c r="A90" s="68"/>
      <c r="B90" s="69"/>
      <c r="C90" s="70"/>
      <c r="D90" s="71">
        <f>'28-4-26'!I90</f>
        <v>0</v>
      </c>
      <c r="E90" s="68"/>
      <c r="F90" s="69"/>
      <c r="G90" s="69"/>
      <c r="H90" s="71">
        <f t="shared" si="3"/>
        <v>0</v>
      </c>
      <c r="I90" s="71">
        <f t="shared" si="4"/>
        <v>0</v>
      </c>
      <c r="J90" s="69">
        <f t="shared" si="5"/>
        <v>0</v>
      </c>
    </row>
    <row r="91" s="45" customFormat="1" ht="12.75" customHeight="1" spans="1:10">
      <c r="A91" s="68"/>
      <c r="B91" s="69"/>
      <c r="C91" s="70"/>
      <c r="D91" s="71">
        <f>'28-4-26'!I91</f>
        <v>0</v>
      </c>
      <c r="E91" s="68"/>
      <c r="F91" s="69"/>
      <c r="G91" s="69"/>
      <c r="H91" s="71">
        <f t="shared" si="3"/>
        <v>0</v>
      </c>
      <c r="I91" s="71">
        <f t="shared" si="4"/>
        <v>0</v>
      </c>
      <c r="J91" s="69">
        <f t="shared" si="5"/>
        <v>0</v>
      </c>
    </row>
    <row r="92" s="45" customFormat="1" ht="12.75" customHeight="1" spans="1:10">
      <c r="A92" s="68"/>
      <c r="B92" s="69"/>
      <c r="C92" s="70"/>
      <c r="D92" s="71">
        <f>'28-4-26'!I92</f>
        <v>0</v>
      </c>
      <c r="E92" s="68"/>
      <c r="F92" s="69"/>
      <c r="G92" s="69"/>
      <c r="H92" s="71">
        <f t="shared" ref="H74:H137" si="6">SUM(F92:G92)</f>
        <v>0</v>
      </c>
      <c r="I92" s="71">
        <f t="shared" si="4"/>
        <v>0</v>
      </c>
      <c r="J92" s="69">
        <f t="shared" si="5"/>
        <v>0</v>
      </c>
    </row>
    <row r="93" s="45" customFormat="1" ht="12.75" customHeight="1" spans="1:10">
      <c r="A93" s="68"/>
      <c r="B93" s="69"/>
      <c r="C93" s="70"/>
      <c r="D93" s="71">
        <f>'28-4-26'!I93</f>
        <v>0</v>
      </c>
      <c r="E93" s="68"/>
      <c r="F93" s="69"/>
      <c r="G93" s="69"/>
      <c r="H93" s="71">
        <f t="shared" si="6"/>
        <v>0</v>
      </c>
      <c r="I93" s="71">
        <f t="shared" si="4"/>
        <v>0</v>
      </c>
      <c r="J93" s="69">
        <f t="shared" si="5"/>
        <v>0</v>
      </c>
    </row>
    <row r="94" s="45" customFormat="1" ht="12.75" customHeight="1" spans="1:10">
      <c r="A94" s="68"/>
      <c r="B94" s="69"/>
      <c r="C94" s="70"/>
      <c r="D94" s="71">
        <f>'28-4-26'!I94</f>
        <v>0</v>
      </c>
      <c r="E94" s="68"/>
      <c r="F94" s="69"/>
      <c r="G94" s="69"/>
      <c r="H94" s="71">
        <f t="shared" si="6"/>
        <v>0</v>
      </c>
      <c r="I94" s="71">
        <f t="shared" si="4"/>
        <v>0</v>
      </c>
      <c r="J94" s="69">
        <f t="shared" si="5"/>
        <v>0</v>
      </c>
    </row>
    <row r="95" s="45" customFormat="1" ht="12.75" customHeight="1" spans="1:10">
      <c r="A95" s="68"/>
      <c r="B95" s="69"/>
      <c r="C95" s="70"/>
      <c r="D95" s="71">
        <f>'28-4-26'!I95</f>
        <v>0</v>
      </c>
      <c r="E95" s="68"/>
      <c r="F95" s="69"/>
      <c r="G95" s="69"/>
      <c r="H95" s="71">
        <f t="shared" si="6"/>
        <v>0</v>
      </c>
      <c r="I95" s="71">
        <f t="shared" si="4"/>
        <v>0</v>
      </c>
      <c r="J95" s="69">
        <f t="shared" si="5"/>
        <v>0</v>
      </c>
    </row>
    <row r="96" s="45" customFormat="1" ht="12.75" customHeight="1" spans="1:10">
      <c r="A96" s="68"/>
      <c r="B96" s="69"/>
      <c r="C96" s="70"/>
      <c r="D96" s="71">
        <f>'28-4-26'!I96</f>
        <v>0</v>
      </c>
      <c r="E96" s="68"/>
      <c r="F96" s="69"/>
      <c r="G96" s="69"/>
      <c r="H96" s="71">
        <f t="shared" si="6"/>
        <v>0</v>
      </c>
      <c r="I96" s="71">
        <f t="shared" si="4"/>
        <v>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'28-4-26'!I97</f>
        <v>0</v>
      </c>
      <c r="E97" s="68"/>
      <c r="F97" s="69"/>
      <c r="G97" s="69"/>
      <c r="H97" s="71">
        <f t="shared" si="6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'28-4-26'!I98</f>
        <v>0</v>
      </c>
      <c r="E98" s="68"/>
      <c r="F98" s="69"/>
      <c r="G98" s="69"/>
      <c r="H98" s="71">
        <f t="shared" si="6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'24-3-26'!I99</f>
        <v>0</v>
      </c>
      <c r="E99" s="68"/>
      <c r="F99" s="69"/>
      <c r="G99" s="69"/>
      <c r="H99" s="71">
        <f t="shared" si="6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'24-3-26'!I100</f>
        <v>0</v>
      </c>
      <c r="E100" s="68"/>
      <c r="F100" s="69"/>
      <c r="G100" s="69"/>
      <c r="H100" s="71">
        <f t="shared" si="6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'24-3-26'!I101</f>
        <v>0</v>
      </c>
      <c r="E101" s="68"/>
      <c r="F101" s="69"/>
      <c r="G101" s="69"/>
      <c r="H101" s="71">
        <f t="shared" si="6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'24-3-26'!I102</f>
        <v>0</v>
      </c>
      <c r="E102" s="68"/>
      <c r="F102" s="69"/>
      <c r="G102" s="69"/>
      <c r="H102" s="71">
        <f t="shared" si="6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'24-3-26'!I103</f>
        <v>0</v>
      </c>
      <c r="E103" s="68"/>
      <c r="F103" s="69"/>
      <c r="G103" s="69"/>
      <c r="H103" s="71">
        <f t="shared" si="6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'24-3-26'!I104</f>
        <v>0</v>
      </c>
      <c r="E104" s="68"/>
      <c r="F104" s="69"/>
      <c r="G104" s="69"/>
      <c r="H104" s="71">
        <f t="shared" si="6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'24-3-26'!I105</f>
        <v>0</v>
      </c>
      <c r="E105" s="68"/>
      <c r="F105" s="69"/>
      <c r="G105" s="69"/>
      <c r="H105" s="71">
        <f t="shared" si="6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'24-3-26'!I106</f>
        <v>0</v>
      </c>
      <c r="E106" s="68"/>
      <c r="F106" s="69"/>
      <c r="G106" s="69"/>
      <c r="H106" s="71">
        <f t="shared" si="6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'24-3-26'!I107</f>
        <v>0</v>
      </c>
      <c r="E107" s="68"/>
      <c r="F107" s="69"/>
      <c r="G107" s="69"/>
      <c r="H107" s="71">
        <f t="shared" si="6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'24-3-26'!I108</f>
        <v>0</v>
      </c>
      <c r="E108" s="68"/>
      <c r="F108" s="69"/>
      <c r="G108" s="69"/>
      <c r="H108" s="71">
        <f t="shared" si="6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'24-3-26'!I109</f>
        <v>0</v>
      </c>
      <c r="E109" s="68"/>
      <c r="F109" s="69"/>
      <c r="G109" s="69"/>
      <c r="H109" s="71">
        <f t="shared" si="6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'24-3-26'!I110</f>
        <v>0</v>
      </c>
      <c r="E110" s="68"/>
      <c r="F110" s="69"/>
      <c r="G110" s="69"/>
      <c r="H110" s="71">
        <f t="shared" si="6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'24-3-26'!I111</f>
        <v>0</v>
      </c>
      <c r="E111" s="68"/>
      <c r="F111" s="69"/>
      <c r="G111" s="69"/>
      <c r="H111" s="71">
        <f t="shared" si="6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'24-3-26'!I112</f>
        <v>0</v>
      </c>
      <c r="E112" s="68"/>
      <c r="F112" s="69"/>
      <c r="G112" s="69"/>
      <c r="H112" s="71">
        <f t="shared" si="6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'24-3-26'!I113</f>
        <v>0</v>
      </c>
      <c r="E113" s="68"/>
      <c r="F113" s="69"/>
      <c r="G113" s="69"/>
      <c r="H113" s="71">
        <f t="shared" si="6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'24-3-26'!I114</f>
        <v>0</v>
      </c>
      <c r="E114" s="68"/>
      <c r="F114" s="69"/>
      <c r="G114" s="69"/>
      <c r="H114" s="71">
        <f t="shared" si="6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'24-3-26'!I115</f>
        <v>0</v>
      </c>
      <c r="E115" s="68"/>
      <c r="F115" s="69"/>
      <c r="G115" s="69"/>
      <c r="H115" s="71">
        <f t="shared" si="6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'24-3-26'!I116</f>
        <v>0</v>
      </c>
      <c r="E116" s="68"/>
      <c r="F116" s="69"/>
      <c r="G116" s="69"/>
      <c r="H116" s="71">
        <f t="shared" si="6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'24-3-26'!I117</f>
        <v>0</v>
      </c>
      <c r="E117" s="68"/>
      <c r="F117" s="69"/>
      <c r="G117" s="69"/>
      <c r="H117" s="71">
        <f t="shared" si="6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'24-3-26'!I118</f>
        <v>0</v>
      </c>
      <c r="E118" s="68"/>
      <c r="F118" s="69"/>
      <c r="G118" s="69"/>
      <c r="H118" s="71">
        <f t="shared" si="6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'24-3-26'!I119</f>
        <v>0</v>
      </c>
      <c r="E119" s="68"/>
      <c r="F119" s="69"/>
      <c r="G119" s="69"/>
      <c r="H119" s="71">
        <f t="shared" si="6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'24-3-26'!I120</f>
        <v>0</v>
      </c>
      <c r="E120" s="68"/>
      <c r="F120" s="69"/>
      <c r="G120" s="69"/>
      <c r="H120" s="71">
        <f t="shared" si="6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'24-3-26'!I121</f>
        <v>0</v>
      </c>
      <c r="E121" s="68"/>
      <c r="F121" s="69"/>
      <c r="G121" s="69"/>
      <c r="H121" s="71">
        <f t="shared" si="6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'24-3-26'!I122</f>
        <v>0</v>
      </c>
      <c r="E122" s="68"/>
      <c r="F122" s="69"/>
      <c r="G122" s="69"/>
      <c r="H122" s="71">
        <f t="shared" si="6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'24-3-26'!I123</f>
        <v>0</v>
      </c>
      <c r="E123" s="68"/>
      <c r="F123" s="69"/>
      <c r="G123" s="69"/>
      <c r="H123" s="71">
        <f t="shared" si="6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'24-3-26'!I124</f>
        <v>0</v>
      </c>
      <c r="E124" s="68"/>
      <c r="F124" s="69"/>
      <c r="G124" s="69"/>
      <c r="H124" s="71">
        <f t="shared" si="6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'24-3-26'!I125</f>
        <v>0</v>
      </c>
      <c r="E125" s="68"/>
      <c r="F125" s="69"/>
      <c r="G125" s="69"/>
      <c r="H125" s="71">
        <f t="shared" si="6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'24-3-26'!I126</f>
        <v>0</v>
      </c>
      <c r="E126" s="68"/>
      <c r="F126" s="69"/>
      <c r="G126" s="69"/>
      <c r="H126" s="71">
        <f t="shared" si="6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'24-3-26'!I127</f>
        <v>0</v>
      </c>
      <c r="E127" s="68"/>
      <c r="F127" s="69"/>
      <c r="G127" s="69"/>
      <c r="H127" s="71">
        <f t="shared" si="6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'24-3-26'!I128</f>
        <v>0</v>
      </c>
      <c r="E128" s="68"/>
      <c r="F128" s="69"/>
      <c r="G128" s="69"/>
      <c r="H128" s="71">
        <f t="shared" si="6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'24-3-26'!I129</f>
        <v>0</v>
      </c>
      <c r="E129" s="68"/>
      <c r="F129" s="69"/>
      <c r="G129" s="69"/>
      <c r="H129" s="71">
        <f t="shared" si="6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'24-3-26'!I130</f>
        <v>0</v>
      </c>
      <c r="E130" s="68"/>
      <c r="F130" s="69"/>
      <c r="G130" s="69"/>
      <c r="H130" s="71">
        <f t="shared" si="6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'24-3-26'!I131</f>
        <v>0</v>
      </c>
      <c r="E131" s="68"/>
      <c r="F131" s="69"/>
      <c r="G131" s="69"/>
      <c r="H131" s="71">
        <f t="shared" si="6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'24-3-26'!I132</f>
        <v>0</v>
      </c>
      <c r="E132" s="68"/>
      <c r="F132" s="69"/>
      <c r="G132" s="69"/>
      <c r="H132" s="71">
        <f t="shared" si="6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'24-3-26'!I133</f>
        <v>0</v>
      </c>
      <c r="E133" s="68"/>
      <c r="F133" s="69"/>
      <c r="G133" s="69"/>
      <c r="H133" s="71">
        <f t="shared" si="6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'24-3-26'!I134</f>
        <v>0</v>
      </c>
      <c r="E134" s="68"/>
      <c r="F134" s="69"/>
      <c r="G134" s="69"/>
      <c r="H134" s="71">
        <f t="shared" si="6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'24-3-26'!I135</f>
        <v>0</v>
      </c>
      <c r="E135" s="68"/>
      <c r="F135" s="69"/>
      <c r="G135" s="69"/>
      <c r="H135" s="71">
        <f t="shared" si="6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'24-3-26'!I136</f>
        <v>0</v>
      </c>
      <c r="E136" s="68"/>
      <c r="F136" s="69"/>
      <c r="G136" s="69"/>
      <c r="H136" s="71">
        <f t="shared" si="6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'24-3-26'!I137</f>
        <v>0</v>
      </c>
      <c r="E137" s="68"/>
      <c r="F137" s="69"/>
      <c r="G137" s="69"/>
      <c r="H137" s="71">
        <f t="shared" si="6"/>
        <v>0</v>
      </c>
      <c r="I137" s="71">
        <f t="shared" si="4"/>
        <v>0</v>
      </c>
      <c r="J137" s="69">
        <f t="shared" si="5"/>
        <v>0</v>
      </c>
    </row>
    <row r="138" s="45" customFormat="1" ht="12.75" customHeight="1" spans="1:10">
      <c r="A138" s="68"/>
      <c r="B138" s="69"/>
      <c r="C138" s="70"/>
      <c r="D138" s="71">
        <f>'24-3-26'!I138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ref="I138:I187" si="8">D138-F138</f>
        <v>0</v>
      </c>
      <c r="J138" s="69">
        <f t="shared" ref="J138:J187" si="9">1/10*G138</f>
        <v>0</v>
      </c>
    </row>
    <row r="139" s="45" customFormat="1" ht="12.75" customHeight="1" spans="1:10">
      <c r="A139" s="68"/>
      <c r="B139" s="69"/>
      <c r="C139" s="70"/>
      <c r="D139" s="71">
        <f>'24-3-26'!I139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'24-3-26'!I140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'24-3-26'!I141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'24-3-26'!I142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'24-3-26'!I143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'24-3-26'!I144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'24-3-26'!I145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'24-3-26'!I146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'24-3-26'!I147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'24-3-26'!I148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'24-3-26'!I149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'24-3-26'!I150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'24-3-26'!I151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'24-3-26'!I152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'24-3-26'!I153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'24-3-26'!I154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'24-3-26'!I155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'24-3-26'!I156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'24-3-26'!I157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'24-3-26'!I158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'24-3-26'!I159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'24-3-26'!I160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'24-3-26'!I161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'24-3-26'!I162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'24-3-26'!I163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'24-3-26'!I164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'24-3-26'!I165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'24-3-26'!I166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'24-3-26'!I167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'24-3-26'!I168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'24-3-26'!I169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'24-3-26'!I170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'24-3-26'!I171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'24-3-26'!I172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'24-3-26'!I173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'24-3-26'!I174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'24-3-26'!I175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'24-3-26'!I176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'24-3-26'!I177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'24-3-26'!I178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'24-3-26'!I179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'24-3-26'!I180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'24-3-26'!I181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'24-3-26'!I182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'24-3-26'!I183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'24-3-26'!I184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'24-3-26'!I185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'24-3-26'!I186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'24-3-26'!I187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451617000</v>
      </c>
      <c r="E188" s="79">
        <f t="shared" si="10"/>
        <v>66</v>
      </c>
      <c r="F188" s="78">
        <f t="shared" si="10"/>
        <v>3695000</v>
      </c>
      <c r="G188" s="78">
        <f t="shared" si="10"/>
        <v>1840000</v>
      </c>
      <c r="H188" s="78">
        <f t="shared" si="10"/>
        <v>5535000</v>
      </c>
      <c r="I188" s="78">
        <f t="shared" si="10"/>
        <v>447922000</v>
      </c>
      <c r="J188" s="78">
        <f t="shared" si="10"/>
        <v>184000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1840000</v>
      </c>
      <c r="E191" s="47"/>
      <c r="F191" s="129" t="s">
        <v>204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92000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1012000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46000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46000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46000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46000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184000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460000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1840000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" right="0.7" top="0.75" bottom="0.75" header="0.3" footer="0.3"/>
  <headerFooter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20" zoomScaleNormal="120" topLeftCell="A72" workbookViewId="0">
      <selection activeCell="A90" sqref="A90:C90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205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'12-5-26'!I9</f>
        <v>5500000</v>
      </c>
      <c r="E9" s="68"/>
      <c r="F9" s="69"/>
      <c r="G9" s="69"/>
      <c r="H9" s="71">
        <f t="shared" ref="H9:H24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'12-5-26'!I10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'12-5-26'!I11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'12-5-26'!I12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'12-5-26'!I13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'12-5-26'!I14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'12-5-26'!I15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'12-5-26'!I16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'12-5-26'!I17</f>
        <v>6150000</v>
      </c>
      <c r="E17" s="68">
        <v>12</v>
      </c>
      <c r="F17" s="69">
        <v>350000</v>
      </c>
      <c r="G17" s="69">
        <v>200000</v>
      </c>
      <c r="H17" s="71">
        <f t="shared" si="0"/>
        <v>550000</v>
      </c>
      <c r="I17" s="71">
        <f t="shared" si="1"/>
        <v>5800000</v>
      </c>
      <c r="J17" s="69">
        <f t="shared" si="2"/>
        <v>20000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'12-5-26'!I18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'12-5-26'!I19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'12-5-26'!I20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'12-5-26'!I21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'12-5-26'!I22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'12-5-26'!I23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'12-5-26'!I24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'12-5-26'!I25</f>
        <v>21400000</v>
      </c>
      <c r="E25" s="68"/>
      <c r="F25" s="69"/>
      <c r="G25" s="69"/>
      <c r="H25" s="71">
        <f t="shared" ref="H25:H56" si="3">SUM(F25:G25)</f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'12-5-26'!I26</f>
        <v>3800000</v>
      </c>
      <c r="E26" s="68"/>
      <c r="F26" s="69"/>
      <c r="G26" s="69"/>
      <c r="H26" s="71">
        <f t="shared" si="3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'12-5-26'!I27</f>
        <v>760000</v>
      </c>
      <c r="E27" s="68"/>
      <c r="F27" s="69"/>
      <c r="G27" s="69"/>
      <c r="H27" s="71">
        <f t="shared" si="3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'12-5-26'!I28</f>
        <v>0</v>
      </c>
      <c r="E28" s="68"/>
      <c r="F28" s="69"/>
      <c r="G28" s="69"/>
      <c r="H28" s="71">
        <f t="shared" si="3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'12-5-26'!I29</f>
        <v>0</v>
      </c>
      <c r="E29" s="68"/>
      <c r="F29" s="69"/>
      <c r="G29" s="69"/>
      <c r="H29" s="71">
        <f t="shared" si="3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'12-5-26'!I30</f>
        <v>2500000</v>
      </c>
      <c r="E30" s="68"/>
      <c r="F30" s="69"/>
      <c r="G30" s="69"/>
      <c r="H30" s="71">
        <f t="shared" si="3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'12-5-26'!I31</f>
        <v>500000</v>
      </c>
      <c r="E31" s="68"/>
      <c r="F31" s="69"/>
      <c r="G31" s="69"/>
      <c r="H31" s="71">
        <f t="shared" si="3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'12-5-26'!I32</f>
        <v>12000000</v>
      </c>
      <c r="E32" s="68"/>
      <c r="F32" s="69"/>
      <c r="G32" s="69"/>
      <c r="H32" s="71">
        <f t="shared" si="3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'12-5-26'!I33</f>
        <v>600000</v>
      </c>
      <c r="E33" s="68"/>
      <c r="F33" s="69"/>
      <c r="G33" s="69"/>
      <c r="H33" s="71">
        <f t="shared" si="3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'12-5-26'!I34</f>
        <v>2400000</v>
      </c>
      <c r="E34" s="68"/>
      <c r="F34" s="69"/>
      <c r="G34" s="69"/>
      <c r="H34" s="71">
        <f t="shared" si="3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'12-5-26'!I35</f>
        <v>3250000</v>
      </c>
      <c r="E35" s="68"/>
      <c r="F35" s="69"/>
      <c r="G35" s="69"/>
      <c r="H35" s="71">
        <f t="shared" si="3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'12-5-26'!I36</f>
        <v>6400000</v>
      </c>
      <c r="E36" s="68"/>
      <c r="F36" s="69"/>
      <c r="G36" s="69"/>
      <c r="H36" s="71">
        <f t="shared" si="3"/>
        <v>0</v>
      </c>
      <c r="I36" s="71">
        <f t="shared" si="1"/>
        <v>6400000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'12-5-26'!I37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'12-5-26'!I38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'12-5-26'!I39</f>
        <v>13690000</v>
      </c>
      <c r="E39" s="68"/>
      <c r="F39" s="69"/>
      <c r="G39" s="69"/>
      <c r="H39" s="71">
        <f t="shared" si="3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'12-5-26'!I40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'12-5-26'!I41</f>
        <v>1500000</v>
      </c>
      <c r="E41" s="68"/>
      <c r="F41" s="69"/>
      <c r="G41" s="69"/>
      <c r="H41" s="71">
        <f t="shared" si="3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'12-5-26'!I42</f>
        <v>1050000</v>
      </c>
      <c r="E42" s="68"/>
      <c r="F42" s="69"/>
      <c r="G42" s="69"/>
      <c r="H42" s="71">
        <f t="shared" si="3"/>
        <v>0</v>
      </c>
      <c r="I42" s="71">
        <f t="shared" si="1"/>
        <v>1050000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'12-5-26'!I43</f>
        <v>4500000</v>
      </c>
      <c r="E43" s="68"/>
      <c r="F43" s="69"/>
      <c r="G43" s="69"/>
      <c r="H43" s="71">
        <f t="shared" si="3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'12-5-26'!I44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'12-5-26'!I45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'12-5-26'!I46</f>
        <v>0</v>
      </c>
      <c r="E46" s="68"/>
      <c r="F46" s="69"/>
      <c r="G46" s="69"/>
      <c r="H46" s="71">
        <f t="shared" si="3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'12-5-26'!I47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'12-5-26'!I48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'12-5-26'!I49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'12-5-26'!I50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'12-5-26'!I51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'12-5-26'!I52</f>
        <v>24600000</v>
      </c>
      <c r="E52" s="68"/>
      <c r="F52" s="69"/>
      <c r="G52" s="69"/>
      <c r="H52" s="71">
        <f t="shared" si="3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'12-5-26'!I53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'12-5-26'!I54</f>
        <v>4200000</v>
      </c>
      <c r="E54" s="68"/>
      <c r="F54" s="69"/>
      <c r="G54" s="69"/>
      <c r="H54" s="71">
        <f t="shared" si="3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'12-5-26'!I55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'12-5-26'!I56</f>
        <v>0</v>
      </c>
      <c r="E56" s="68"/>
      <c r="F56" s="69"/>
      <c r="G56" s="69"/>
      <c r="H56" s="71">
        <f t="shared" si="3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'12-5-26'!I57</f>
        <v>20000000</v>
      </c>
      <c r="E57" s="68"/>
      <c r="F57" s="69"/>
      <c r="G57" s="69"/>
      <c r="H57" s="71">
        <f t="shared" ref="H57:H85" si="4">SUM(F57:G57)</f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'12-5-26'!I58</f>
        <v>0</v>
      </c>
      <c r="E58" s="68"/>
      <c r="F58" s="69"/>
      <c r="G58" s="69"/>
      <c r="H58" s="71">
        <f t="shared" si="4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'12-5-26'!I59</f>
        <v>0</v>
      </c>
      <c r="E59" s="68"/>
      <c r="F59" s="69"/>
      <c r="G59" s="69"/>
      <c r="H59" s="71">
        <f t="shared" si="4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'12-5-26'!I60</f>
        <v>2750000</v>
      </c>
      <c r="E60" s="68"/>
      <c r="F60" s="69"/>
      <c r="G60" s="69"/>
      <c r="H60" s="71">
        <f t="shared" si="4"/>
        <v>0</v>
      </c>
      <c r="I60" s="71">
        <f t="shared" si="1"/>
        <v>2750000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'12-5-26'!I61</f>
        <v>230000</v>
      </c>
      <c r="E61" s="68"/>
      <c r="F61" s="69"/>
      <c r="G61" s="69"/>
      <c r="H61" s="71">
        <f t="shared" si="4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'12-5-26'!I62</f>
        <v>0</v>
      </c>
      <c r="E62" s="68"/>
      <c r="F62" s="69"/>
      <c r="G62" s="69"/>
      <c r="H62" s="71">
        <f t="shared" si="4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'12-5-26'!I63</f>
        <v>0</v>
      </c>
      <c r="E63" s="68"/>
      <c r="F63" s="69"/>
      <c r="G63" s="69"/>
      <c r="H63" s="71">
        <f t="shared" si="4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'12-5-26'!I64</f>
        <v>0</v>
      </c>
      <c r="E64" s="68"/>
      <c r="F64" s="69"/>
      <c r="G64" s="69"/>
      <c r="H64" s="71">
        <f t="shared" si="4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'12-5-26'!I65</f>
        <v>5862000</v>
      </c>
      <c r="E65" s="68"/>
      <c r="F65" s="69"/>
      <c r="G65" s="69"/>
      <c r="H65" s="71">
        <f t="shared" si="4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'12-5-26'!I66</f>
        <v>50000</v>
      </c>
      <c r="E66" s="68"/>
      <c r="F66" s="69"/>
      <c r="G66" s="69"/>
      <c r="H66" s="71">
        <f t="shared" si="4"/>
        <v>0</v>
      </c>
      <c r="I66" s="71">
        <f t="shared" si="1"/>
        <v>50000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'12-5-26'!I67</f>
        <v>0</v>
      </c>
      <c r="E67" s="68"/>
      <c r="F67" s="69"/>
      <c r="G67" s="69"/>
      <c r="H67" s="71">
        <f t="shared" si="4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'12-5-26'!I68</f>
        <v>3400000</v>
      </c>
      <c r="E68" s="68"/>
      <c r="F68" s="69"/>
      <c r="G68" s="69"/>
      <c r="H68" s="71">
        <f t="shared" si="4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'12-5-26'!I69</f>
        <v>50000000</v>
      </c>
      <c r="E69" s="68"/>
      <c r="F69" s="69"/>
      <c r="G69" s="69"/>
      <c r="H69" s="71">
        <f t="shared" si="4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'12-5-26'!I70</f>
        <v>1000000</v>
      </c>
      <c r="E70" s="68"/>
      <c r="F70" s="69"/>
      <c r="G70" s="69"/>
      <c r="H70" s="71">
        <f t="shared" si="4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'12-5-26'!I71</f>
        <v>1500000</v>
      </c>
      <c r="E71" s="68"/>
      <c r="F71" s="69"/>
      <c r="G71" s="69"/>
      <c r="H71" s="71">
        <f t="shared" si="4"/>
        <v>0</v>
      </c>
      <c r="I71" s="71">
        <f t="shared" si="1"/>
        <v>1500000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'12-5-26'!I72</f>
        <v>1600000</v>
      </c>
      <c r="E72" s="68"/>
      <c r="F72" s="69"/>
      <c r="G72" s="69"/>
      <c r="H72" s="71">
        <f t="shared" si="4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4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'12-5-26'!I74</f>
        <v>0</v>
      </c>
      <c r="E74" s="68"/>
      <c r="F74" s="69"/>
      <c r="G74" s="69"/>
      <c r="H74" s="71">
        <f t="shared" si="4"/>
        <v>0</v>
      </c>
      <c r="I74" s="71">
        <f t="shared" ref="I74:I137" si="5">D74-F74</f>
        <v>0</v>
      </c>
      <c r="J74" s="69">
        <f t="shared" ref="J74:J137" si="6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'12-5-26'!I75</f>
        <v>2400000</v>
      </c>
      <c r="E75" s="68"/>
      <c r="F75" s="69"/>
      <c r="G75" s="69"/>
      <c r="H75" s="71">
        <f t="shared" si="4"/>
        <v>0</v>
      </c>
      <c r="I75" s="71">
        <f t="shared" si="5"/>
        <v>2400000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'12-5-26'!I76</f>
        <v>990000</v>
      </c>
      <c r="E76" s="68">
        <v>2</v>
      </c>
      <c r="F76" s="69">
        <v>110000</v>
      </c>
      <c r="G76" s="69">
        <v>22000</v>
      </c>
      <c r="H76" s="71">
        <f t="shared" si="4"/>
        <v>132000</v>
      </c>
      <c r="I76" s="71">
        <f t="shared" si="5"/>
        <v>880000</v>
      </c>
      <c r="J76" s="69">
        <f t="shared" si="6"/>
        <v>2200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'12-5-26'!I77</f>
        <v>4500000</v>
      </c>
      <c r="E77" s="68"/>
      <c r="F77" s="69"/>
      <c r="G77" s="69"/>
      <c r="H77" s="71">
        <f t="shared" si="4"/>
        <v>0</v>
      </c>
      <c r="I77" s="71">
        <f t="shared" si="5"/>
        <v>4500000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'12-5-26'!I78</f>
        <v>9000000</v>
      </c>
      <c r="E78" s="68"/>
      <c r="F78" s="69"/>
      <c r="G78" s="69"/>
      <c r="H78" s="71">
        <f t="shared" si="4"/>
        <v>0</v>
      </c>
      <c r="I78" s="71">
        <f t="shared" si="5"/>
        <v>9000000</v>
      </c>
      <c r="J78" s="69">
        <f t="shared" si="6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'12-5-26'!I79</f>
        <v>2100000</v>
      </c>
      <c r="E79" s="68"/>
      <c r="F79" s="69"/>
      <c r="G79" s="69"/>
      <c r="H79" s="71">
        <f t="shared" si="4"/>
        <v>0</v>
      </c>
      <c r="I79" s="71">
        <f t="shared" si="5"/>
        <v>2100000</v>
      </c>
      <c r="J79" s="69">
        <f t="shared" si="6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'12-5-26'!I80</f>
        <v>800000</v>
      </c>
      <c r="E80" s="68">
        <v>2</v>
      </c>
      <c r="F80" s="69">
        <v>100000</v>
      </c>
      <c r="G80" s="69">
        <v>20000</v>
      </c>
      <c r="H80" s="71">
        <f t="shared" si="4"/>
        <v>120000</v>
      </c>
      <c r="I80" s="71">
        <f t="shared" si="5"/>
        <v>700000</v>
      </c>
      <c r="J80" s="69">
        <f t="shared" si="6"/>
        <v>2000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'12-5-26'!I81</f>
        <v>6300000</v>
      </c>
      <c r="E81" s="68"/>
      <c r="F81" s="69"/>
      <c r="G81" s="69"/>
      <c r="H81" s="71">
        <f t="shared" si="4"/>
        <v>0</v>
      </c>
      <c r="I81" s="71">
        <f t="shared" si="5"/>
        <v>6300000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'12-5-26'!I82</f>
        <v>800000</v>
      </c>
      <c r="E82" s="69"/>
      <c r="F82" s="69"/>
      <c r="G82" s="69"/>
      <c r="H82" s="71">
        <f t="shared" si="4"/>
        <v>0</v>
      </c>
      <c r="I82" s="71">
        <f t="shared" si="5"/>
        <v>800000</v>
      </c>
      <c r="J82" s="69">
        <f t="shared" si="6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'12-5-26'!I83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'12-5-26'!I84</f>
        <v>400000</v>
      </c>
      <c r="E84" s="68"/>
      <c r="F84" s="69"/>
      <c r="G84" s="69"/>
      <c r="H84" s="71">
        <f t="shared" si="4"/>
        <v>0</v>
      </c>
      <c r="I84" s="71">
        <f t="shared" si="5"/>
        <v>400000</v>
      </c>
      <c r="J84" s="69">
        <f t="shared" si="6"/>
        <v>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'12-5-26'!I85</f>
        <v>5000000</v>
      </c>
      <c r="E85" s="68"/>
      <c r="F85" s="69"/>
      <c r="G85" s="69"/>
      <c r="H85" s="71">
        <f t="shared" si="4"/>
        <v>0</v>
      </c>
      <c r="I85" s="71">
        <f t="shared" si="5"/>
        <v>5000000</v>
      </c>
      <c r="J85" s="69">
        <f t="shared" si="6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'12-5-26'!I86</f>
        <v>1000000</v>
      </c>
      <c r="E86" s="68"/>
      <c r="F86" s="69"/>
      <c r="G86" s="69"/>
      <c r="H86" s="71">
        <f t="shared" ref="H74:H137" si="7">SUM(F86:G86)</f>
        <v>0</v>
      </c>
      <c r="I86" s="71">
        <f t="shared" si="5"/>
        <v>1000000</v>
      </c>
      <c r="J86" s="69">
        <f t="shared" si="6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'12-5-26'!I87</f>
        <v>500000</v>
      </c>
      <c r="E87" s="68"/>
      <c r="F87" s="69"/>
      <c r="G87" s="69"/>
      <c r="H87" s="71">
        <f t="shared" si="7"/>
        <v>0</v>
      </c>
      <c r="I87" s="71">
        <f t="shared" si="5"/>
        <v>500000</v>
      </c>
      <c r="J87" s="69">
        <f t="shared" si="6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'12-5-26'!I88</f>
        <v>3000000</v>
      </c>
      <c r="E88" s="68"/>
      <c r="F88" s="69"/>
      <c r="G88" s="69"/>
      <c r="H88" s="71">
        <f t="shared" si="7"/>
        <v>0</v>
      </c>
      <c r="I88" s="71">
        <f t="shared" si="5"/>
        <v>3000000</v>
      </c>
      <c r="J88" s="69">
        <f t="shared" si="6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v>10000000</v>
      </c>
      <c r="E89" s="68"/>
      <c r="F89" s="69"/>
      <c r="G89" s="69"/>
      <c r="H89" s="71">
        <f t="shared" si="7"/>
        <v>0</v>
      </c>
      <c r="I89" s="71">
        <f t="shared" si="5"/>
        <v>10000000</v>
      </c>
      <c r="J89" s="69">
        <f t="shared" si="6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v>2000000</v>
      </c>
      <c r="E90" s="68"/>
      <c r="F90" s="69"/>
      <c r="G90" s="69"/>
      <c r="H90" s="71">
        <f t="shared" si="7"/>
        <v>0</v>
      </c>
      <c r="I90" s="71">
        <f t="shared" si="5"/>
        <v>2000000</v>
      </c>
      <c r="J90" s="69">
        <f t="shared" si="6"/>
        <v>0</v>
      </c>
    </row>
    <row r="91" s="45" customFormat="1" ht="12.75" customHeight="1" spans="1:10">
      <c r="A91" s="68"/>
      <c r="B91" s="69"/>
      <c r="C91" s="70"/>
      <c r="D91" s="71">
        <f>'12-5-26'!I91</f>
        <v>0</v>
      </c>
      <c r="E91" s="68"/>
      <c r="F91" s="69"/>
      <c r="G91" s="69"/>
      <c r="H91" s="71">
        <f t="shared" si="7"/>
        <v>0</v>
      </c>
      <c r="I91" s="71">
        <f t="shared" si="5"/>
        <v>0</v>
      </c>
      <c r="J91" s="69">
        <f t="shared" si="6"/>
        <v>0</v>
      </c>
    </row>
    <row r="92" s="45" customFormat="1" ht="12.75" customHeight="1" spans="1:10">
      <c r="A92" s="68"/>
      <c r="B92" s="69"/>
      <c r="C92" s="70"/>
      <c r="D92" s="71">
        <f>'12-5-26'!I92</f>
        <v>0</v>
      </c>
      <c r="E92" s="68"/>
      <c r="F92" s="69"/>
      <c r="G92" s="69"/>
      <c r="H92" s="71">
        <f t="shared" si="7"/>
        <v>0</v>
      </c>
      <c r="I92" s="71">
        <f t="shared" si="5"/>
        <v>0</v>
      </c>
      <c r="J92" s="69">
        <f t="shared" si="6"/>
        <v>0</v>
      </c>
    </row>
    <row r="93" s="45" customFormat="1" ht="12.75" customHeight="1" spans="1:10">
      <c r="A93" s="68"/>
      <c r="B93" s="69"/>
      <c r="C93" s="70"/>
      <c r="D93" s="71">
        <f>'12-5-26'!I93</f>
        <v>0</v>
      </c>
      <c r="E93" s="68"/>
      <c r="F93" s="69"/>
      <c r="G93" s="69"/>
      <c r="H93" s="71">
        <f t="shared" si="7"/>
        <v>0</v>
      </c>
      <c r="I93" s="71">
        <f t="shared" si="5"/>
        <v>0</v>
      </c>
      <c r="J93" s="69">
        <f t="shared" si="6"/>
        <v>0</v>
      </c>
    </row>
    <row r="94" s="45" customFormat="1" ht="12.75" customHeight="1" spans="1:10">
      <c r="A94" s="68"/>
      <c r="B94" s="69"/>
      <c r="C94" s="70"/>
      <c r="D94" s="71">
        <f>'12-5-26'!I94</f>
        <v>0</v>
      </c>
      <c r="E94" s="68"/>
      <c r="F94" s="69"/>
      <c r="G94" s="69"/>
      <c r="H94" s="71">
        <f t="shared" si="7"/>
        <v>0</v>
      </c>
      <c r="I94" s="71">
        <f t="shared" si="5"/>
        <v>0</v>
      </c>
      <c r="J94" s="69">
        <f t="shared" si="6"/>
        <v>0</v>
      </c>
    </row>
    <row r="95" s="45" customFormat="1" ht="12.75" customHeight="1" spans="1:10">
      <c r="A95" s="68"/>
      <c r="B95" s="69"/>
      <c r="C95" s="70"/>
      <c r="D95" s="71">
        <f>'12-5-26'!I95</f>
        <v>0</v>
      </c>
      <c r="E95" s="68"/>
      <c r="F95" s="69"/>
      <c r="G95" s="69"/>
      <c r="H95" s="71">
        <f t="shared" si="7"/>
        <v>0</v>
      </c>
      <c r="I95" s="71">
        <f t="shared" si="5"/>
        <v>0</v>
      </c>
      <c r="J95" s="69">
        <f t="shared" si="6"/>
        <v>0</v>
      </c>
    </row>
    <row r="96" s="45" customFormat="1" ht="12.75" customHeight="1" spans="1:10">
      <c r="A96" s="68"/>
      <c r="B96" s="69"/>
      <c r="C96" s="70"/>
      <c r="D96" s="71">
        <f>'12-5-26'!I96</f>
        <v>0</v>
      </c>
      <c r="E96" s="68"/>
      <c r="F96" s="69"/>
      <c r="G96" s="69"/>
      <c r="H96" s="71">
        <f t="shared" si="7"/>
        <v>0</v>
      </c>
      <c r="I96" s="71">
        <f t="shared" si="5"/>
        <v>0</v>
      </c>
      <c r="J96" s="69">
        <f t="shared" si="6"/>
        <v>0</v>
      </c>
    </row>
    <row r="97" s="45" customFormat="1" ht="12.75" customHeight="1" spans="1:10">
      <c r="A97" s="68"/>
      <c r="B97" s="69"/>
      <c r="C97" s="70"/>
      <c r="D97" s="71">
        <f>'12-5-26'!I97</f>
        <v>0</v>
      </c>
      <c r="E97" s="68"/>
      <c r="F97" s="69"/>
      <c r="G97" s="69"/>
      <c r="H97" s="71">
        <f t="shared" si="7"/>
        <v>0</v>
      </c>
      <c r="I97" s="71">
        <f t="shared" si="5"/>
        <v>0</v>
      </c>
      <c r="J97" s="69">
        <f t="shared" si="6"/>
        <v>0</v>
      </c>
    </row>
    <row r="98" s="45" customFormat="1" ht="12.75" customHeight="1" spans="1:10">
      <c r="A98" s="68"/>
      <c r="B98" s="69"/>
      <c r="C98" s="70"/>
      <c r="D98" s="71">
        <f>'12-5-26'!I98</f>
        <v>0</v>
      </c>
      <c r="E98" s="68"/>
      <c r="F98" s="69"/>
      <c r="G98" s="69"/>
      <c r="H98" s="71">
        <f t="shared" si="7"/>
        <v>0</v>
      </c>
      <c r="I98" s="71">
        <f t="shared" si="5"/>
        <v>0</v>
      </c>
      <c r="J98" s="69">
        <f t="shared" si="6"/>
        <v>0</v>
      </c>
    </row>
    <row r="99" s="45" customFormat="1" ht="12.75" customHeight="1" spans="1:10">
      <c r="A99" s="68"/>
      <c r="B99" s="69"/>
      <c r="C99" s="70"/>
      <c r="D99" s="71">
        <f>'12-5-26'!I99</f>
        <v>0</v>
      </c>
      <c r="E99" s="68"/>
      <c r="F99" s="69"/>
      <c r="G99" s="69"/>
      <c r="H99" s="71">
        <f t="shared" si="7"/>
        <v>0</v>
      </c>
      <c r="I99" s="71">
        <f t="shared" si="5"/>
        <v>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'12-5-26'!I100</f>
        <v>0</v>
      </c>
      <c r="E100" s="68"/>
      <c r="F100" s="69"/>
      <c r="G100" s="69"/>
      <c r="H100" s="71">
        <f t="shared" si="7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'12-5-26'!I101</f>
        <v>0</v>
      </c>
      <c r="E101" s="68"/>
      <c r="F101" s="69"/>
      <c r="G101" s="69"/>
      <c r="H101" s="71">
        <f t="shared" si="7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'12-5-26'!I102</f>
        <v>0</v>
      </c>
      <c r="E102" s="68"/>
      <c r="F102" s="69"/>
      <c r="G102" s="69"/>
      <c r="H102" s="71">
        <f t="shared" si="7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'12-5-26'!I103</f>
        <v>0</v>
      </c>
      <c r="E103" s="68"/>
      <c r="F103" s="69"/>
      <c r="G103" s="69"/>
      <c r="H103" s="71">
        <f t="shared" si="7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'12-5-26'!I104</f>
        <v>0</v>
      </c>
      <c r="E104" s="68"/>
      <c r="F104" s="69"/>
      <c r="G104" s="69"/>
      <c r="H104" s="71">
        <f t="shared" si="7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'12-5-26'!I105</f>
        <v>0</v>
      </c>
      <c r="E105" s="68"/>
      <c r="F105" s="69"/>
      <c r="G105" s="69"/>
      <c r="H105" s="71">
        <f t="shared" si="7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'12-5-26'!I106</f>
        <v>0</v>
      </c>
      <c r="E106" s="68"/>
      <c r="F106" s="69"/>
      <c r="G106" s="69"/>
      <c r="H106" s="71">
        <f t="shared" si="7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'12-5-26'!I107</f>
        <v>0</v>
      </c>
      <c r="E107" s="68"/>
      <c r="F107" s="69"/>
      <c r="G107" s="69"/>
      <c r="H107" s="71">
        <f t="shared" si="7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'12-5-26'!I108</f>
        <v>0</v>
      </c>
      <c r="E108" s="68"/>
      <c r="F108" s="69"/>
      <c r="G108" s="69"/>
      <c r="H108" s="71">
        <f t="shared" si="7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'12-5-26'!I109</f>
        <v>0</v>
      </c>
      <c r="E109" s="68"/>
      <c r="F109" s="69"/>
      <c r="G109" s="69"/>
      <c r="H109" s="71">
        <f t="shared" si="7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'12-5-26'!I110</f>
        <v>0</v>
      </c>
      <c r="E110" s="68"/>
      <c r="F110" s="69"/>
      <c r="G110" s="69"/>
      <c r="H110" s="71">
        <f t="shared" si="7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'12-5-26'!I111</f>
        <v>0</v>
      </c>
      <c r="E111" s="68"/>
      <c r="F111" s="69"/>
      <c r="G111" s="69"/>
      <c r="H111" s="71">
        <f t="shared" si="7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'12-5-26'!I112</f>
        <v>0</v>
      </c>
      <c r="E112" s="68"/>
      <c r="F112" s="69"/>
      <c r="G112" s="69"/>
      <c r="H112" s="71">
        <f t="shared" si="7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'12-5-26'!I113</f>
        <v>0</v>
      </c>
      <c r="E113" s="68"/>
      <c r="F113" s="69"/>
      <c r="G113" s="69"/>
      <c r="H113" s="71">
        <f t="shared" si="7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'12-5-26'!I114</f>
        <v>0</v>
      </c>
      <c r="E114" s="68"/>
      <c r="F114" s="69"/>
      <c r="G114" s="69"/>
      <c r="H114" s="71">
        <f t="shared" si="7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'12-5-26'!I115</f>
        <v>0</v>
      </c>
      <c r="E115" s="68"/>
      <c r="F115" s="69"/>
      <c r="G115" s="69"/>
      <c r="H115" s="71">
        <f t="shared" si="7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'12-5-26'!I116</f>
        <v>0</v>
      </c>
      <c r="E116" s="68"/>
      <c r="F116" s="69"/>
      <c r="G116" s="69"/>
      <c r="H116" s="71">
        <f t="shared" si="7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'12-5-26'!I117</f>
        <v>0</v>
      </c>
      <c r="E117" s="68"/>
      <c r="F117" s="69"/>
      <c r="G117" s="69"/>
      <c r="H117" s="71">
        <f t="shared" si="7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'12-5-26'!I118</f>
        <v>0</v>
      </c>
      <c r="E118" s="68"/>
      <c r="F118" s="69"/>
      <c r="G118" s="69"/>
      <c r="H118" s="71">
        <f t="shared" si="7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'12-5-26'!I119</f>
        <v>0</v>
      </c>
      <c r="E119" s="68"/>
      <c r="F119" s="69"/>
      <c r="G119" s="69"/>
      <c r="H119" s="71">
        <f t="shared" si="7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'12-5-26'!I120</f>
        <v>0</v>
      </c>
      <c r="E120" s="68"/>
      <c r="F120" s="69"/>
      <c r="G120" s="69"/>
      <c r="H120" s="71">
        <f t="shared" si="7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'12-5-26'!I121</f>
        <v>0</v>
      </c>
      <c r="E121" s="68"/>
      <c r="F121" s="69"/>
      <c r="G121" s="69"/>
      <c r="H121" s="71">
        <f t="shared" si="7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'12-5-26'!I122</f>
        <v>0</v>
      </c>
      <c r="E122" s="68"/>
      <c r="F122" s="69"/>
      <c r="G122" s="69"/>
      <c r="H122" s="71">
        <f t="shared" si="7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'12-5-26'!I123</f>
        <v>0</v>
      </c>
      <c r="E123" s="68"/>
      <c r="F123" s="69"/>
      <c r="G123" s="69"/>
      <c r="H123" s="71">
        <f t="shared" si="7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'12-5-26'!I124</f>
        <v>0</v>
      </c>
      <c r="E124" s="68"/>
      <c r="F124" s="69"/>
      <c r="G124" s="69"/>
      <c r="H124" s="71">
        <f t="shared" si="7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'12-5-26'!I125</f>
        <v>0</v>
      </c>
      <c r="E125" s="68"/>
      <c r="F125" s="69"/>
      <c r="G125" s="69"/>
      <c r="H125" s="71">
        <f t="shared" si="7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'12-5-26'!I126</f>
        <v>0</v>
      </c>
      <c r="E126" s="68"/>
      <c r="F126" s="69"/>
      <c r="G126" s="69"/>
      <c r="H126" s="71">
        <f t="shared" si="7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'12-5-26'!I127</f>
        <v>0</v>
      </c>
      <c r="E127" s="68"/>
      <c r="F127" s="69"/>
      <c r="G127" s="69"/>
      <c r="H127" s="71">
        <f t="shared" si="7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'12-5-26'!I128</f>
        <v>0</v>
      </c>
      <c r="E128" s="68"/>
      <c r="F128" s="69"/>
      <c r="G128" s="69"/>
      <c r="H128" s="71">
        <f t="shared" si="7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'12-5-26'!I129</f>
        <v>0</v>
      </c>
      <c r="E129" s="68"/>
      <c r="F129" s="69"/>
      <c r="G129" s="69"/>
      <c r="H129" s="71">
        <f t="shared" si="7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'12-5-26'!I130</f>
        <v>0</v>
      </c>
      <c r="E130" s="68"/>
      <c r="F130" s="69"/>
      <c r="G130" s="69"/>
      <c r="H130" s="71">
        <f t="shared" si="7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'12-5-26'!I131</f>
        <v>0</v>
      </c>
      <c r="E131" s="68"/>
      <c r="F131" s="69"/>
      <c r="G131" s="69"/>
      <c r="H131" s="71">
        <f t="shared" si="7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'12-5-26'!I132</f>
        <v>0</v>
      </c>
      <c r="E132" s="68"/>
      <c r="F132" s="69"/>
      <c r="G132" s="69"/>
      <c r="H132" s="71">
        <f t="shared" si="7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'12-5-26'!I133</f>
        <v>0</v>
      </c>
      <c r="E133" s="68"/>
      <c r="F133" s="69"/>
      <c r="G133" s="69"/>
      <c r="H133" s="71">
        <f t="shared" si="7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'12-5-26'!I134</f>
        <v>0</v>
      </c>
      <c r="E134" s="68"/>
      <c r="F134" s="69"/>
      <c r="G134" s="69"/>
      <c r="H134" s="71">
        <f t="shared" si="7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'12-5-26'!I135</f>
        <v>0</v>
      </c>
      <c r="E135" s="68"/>
      <c r="F135" s="69"/>
      <c r="G135" s="69"/>
      <c r="H135" s="71">
        <f t="shared" si="7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'12-5-26'!I136</f>
        <v>0</v>
      </c>
      <c r="E136" s="68"/>
      <c r="F136" s="69"/>
      <c r="G136" s="69"/>
      <c r="H136" s="71">
        <f t="shared" si="7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'12-5-26'!I137</f>
        <v>0</v>
      </c>
      <c r="E137" s="68"/>
      <c r="F137" s="69"/>
      <c r="G137" s="69"/>
      <c r="H137" s="71">
        <f t="shared" si="7"/>
        <v>0</v>
      </c>
      <c r="I137" s="71">
        <f t="shared" si="5"/>
        <v>0</v>
      </c>
      <c r="J137" s="69">
        <f t="shared" si="6"/>
        <v>0</v>
      </c>
    </row>
    <row r="138" s="45" customFormat="1" ht="12.75" customHeight="1" spans="1:10">
      <c r="A138" s="68"/>
      <c r="B138" s="69"/>
      <c r="C138" s="70"/>
      <c r="D138" s="71">
        <f>'12-5-26'!I138</f>
        <v>0</v>
      </c>
      <c r="E138" s="68"/>
      <c r="F138" s="69"/>
      <c r="G138" s="69"/>
      <c r="H138" s="71">
        <f t="shared" ref="H138:H187" si="8">SUM(F138:G138)</f>
        <v>0</v>
      </c>
      <c r="I138" s="71">
        <f t="shared" ref="I138:I187" si="9">D138-F138</f>
        <v>0</v>
      </c>
      <c r="J138" s="69">
        <f t="shared" ref="J138:J187" si="10">1/10*G138</f>
        <v>0</v>
      </c>
    </row>
    <row r="139" s="45" customFormat="1" ht="12.75" customHeight="1" spans="1:10">
      <c r="A139" s="68"/>
      <c r="B139" s="69"/>
      <c r="C139" s="70"/>
      <c r="D139" s="71">
        <f>'12-5-26'!I139</f>
        <v>0</v>
      </c>
      <c r="E139" s="68"/>
      <c r="F139" s="69"/>
      <c r="G139" s="69"/>
      <c r="H139" s="71">
        <f t="shared" si="8"/>
        <v>0</v>
      </c>
      <c r="I139" s="71">
        <f t="shared" si="9"/>
        <v>0</v>
      </c>
      <c r="J139" s="69">
        <f t="shared" si="10"/>
        <v>0</v>
      </c>
    </row>
    <row r="140" s="45" customFormat="1" ht="12.75" customHeight="1" spans="1:10">
      <c r="A140" s="68"/>
      <c r="B140" s="69"/>
      <c r="C140" s="70"/>
      <c r="D140" s="71">
        <f>'12-5-26'!I140</f>
        <v>0</v>
      </c>
      <c r="E140" s="68"/>
      <c r="F140" s="69"/>
      <c r="G140" s="69"/>
      <c r="H140" s="71">
        <f t="shared" si="8"/>
        <v>0</v>
      </c>
      <c r="I140" s="71">
        <f t="shared" si="9"/>
        <v>0</v>
      </c>
      <c r="J140" s="69">
        <f t="shared" si="10"/>
        <v>0</v>
      </c>
    </row>
    <row r="141" s="45" customFormat="1" ht="12.75" customHeight="1" spans="1:10">
      <c r="A141" s="68"/>
      <c r="B141" s="69"/>
      <c r="C141" s="70"/>
      <c r="D141" s="71">
        <f>'12-5-26'!I141</f>
        <v>0</v>
      </c>
      <c r="E141" s="68"/>
      <c r="F141" s="69"/>
      <c r="G141" s="69"/>
      <c r="H141" s="71">
        <f t="shared" si="8"/>
        <v>0</v>
      </c>
      <c r="I141" s="71">
        <f t="shared" si="9"/>
        <v>0</v>
      </c>
      <c r="J141" s="69">
        <f t="shared" si="10"/>
        <v>0</v>
      </c>
    </row>
    <row r="142" s="45" customFormat="1" ht="12.75" customHeight="1" spans="1:10">
      <c r="A142" s="68"/>
      <c r="B142" s="69"/>
      <c r="C142" s="70"/>
      <c r="D142" s="71">
        <f>'12-5-26'!I142</f>
        <v>0</v>
      </c>
      <c r="E142" s="68"/>
      <c r="F142" s="69"/>
      <c r="G142" s="69"/>
      <c r="H142" s="71">
        <f t="shared" si="8"/>
        <v>0</v>
      </c>
      <c r="I142" s="71">
        <f t="shared" si="9"/>
        <v>0</v>
      </c>
      <c r="J142" s="69">
        <f t="shared" si="10"/>
        <v>0</v>
      </c>
    </row>
    <row r="143" s="45" customFormat="1" ht="12.75" customHeight="1" spans="1:10">
      <c r="A143" s="68"/>
      <c r="B143" s="69"/>
      <c r="C143" s="70"/>
      <c r="D143" s="71">
        <f>'12-5-26'!I143</f>
        <v>0</v>
      </c>
      <c r="E143" s="68"/>
      <c r="F143" s="69"/>
      <c r="G143" s="69"/>
      <c r="H143" s="71">
        <f t="shared" si="8"/>
        <v>0</v>
      </c>
      <c r="I143" s="71">
        <f t="shared" si="9"/>
        <v>0</v>
      </c>
      <c r="J143" s="69">
        <f t="shared" si="10"/>
        <v>0</v>
      </c>
    </row>
    <row r="144" s="45" customFormat="1" ht="12.75" customHeight="1" spans="1:10">
      <c r="A144" s="68"/>
      <c r="B144" s="69"/>
      <c r="C144" s="70"/>
      <c r="D144" s="71">
        <f>'12-5-26'!I144</f>
        <v>0</v>
      </c>
      <c r="E144" s="68"/>
      <c r="F144" s="69"/>
      <c r="G144" s="69"/>
      <c r="H144" s="71">
        <f t="shared" si="8"/>
        <v>0</v>
      </c>
      <c r="I144" s="71">
        <f t="shared" si="9"/>
        <v>0</v>
      </c>
      <c r="J144" s="69">
        <f t="shared" si="10"/>
        <v>0</v>
      </c>
    </row>
    <row r="145" s="45" customFormat="1" ht="12.75" customHeight="1" spans="1:10">
      <c r="A145" s="68"/>
      <c r="B145" s="69"/>
      <c r="C145" s="70"/>
      <c r="D145" s="71">
        <f>'12-5-26'!I145</f>
        <v>0</v>
      </c>
      <c r="E145" s="68"/>
      <c r="F145" s="69"/>
      <c r="G145" s="69"/>
      <c r="H145" s="71">
        <f t="shared" si="8"/>
        <v>0</v>
      </c>
      <c r="I145" s="71">
        <f t="shared" si="9"/>
        <v>0</v>
      </c>
      <c r="J145" s="69">
        <f t="shared" si="10"/>
        <v>0</v>
      </c>
    </row>
    <row r="146" s="45" customFormat="1" ht="12.75" customHeight="1" spans="1:10">
      <c r="A146" s="68"/>
      <c r="B146" s="69"/>
      <c r="C146" s="70"/>
      <c r="D146" s="71">
        <f>'12-5-26'!I146</f>
        <v>0</v>
      </c>
      <c r="E146" s="68"/>
      <c r="F146" s="69"/>
      <c r="G146" s="69"/>
      <c r="H146" s="71">
        <f t="shared" si="8"/>
        <v>0</v>
      </c>
      <c r="I146" s="71">
        <f t="shared" si="9"/>
        <v>0</v>
      </c>
      <c r="J146" s="69">
        <f t="shared" si="10"/>
        <v>0</v>
      </c>
    </row>
    <row r="147" s="45" customFormat="1" ht="12.75" customHeight="1" spans="1:10">
      <c r="A147" s="68"/>
      <c r="B147" s="69"/>
      <c r="C147" s="70"/>
      <c r="D147" s="71">
        <f>'12-5-26'!I147</f>
        <v>0</v>
      </c>
      <c r="E147" s="68"/>
      <c r="F147" s="69"/>
      <c r="G147" s="69"/>
      <c r="H147" s="71">
        <f t="shared" si="8"/>
        <v>0</v>
      </c>
      <c r="I147" s="71">
        <f t="shared" si="9"/>
        <v>0</v>
      </c>
      <c r="J147" s="69">
        <f t="shared" si="10"/>
        <v>0</v>
      </c>
    </row>
    <row r="148" s="45" customFormat="1" ht="12.75" customHeight="1" spans="1:10">
      <c r="A148" s="68"/>
      <c r="B148" s="69"/>
      <c r="C148" s="70"/>
      <c r="D148" s="71">
        <f>'12-5-26'!I148</f>
        <v>0</v>
      </c>
      <c r="E148" s="68"/>
      <c r="F148" s="69"/>
      <c r="G148" s="69"/>
      <c r="H148" s="71">
        <f t="shared" si="8"/>
        <v>0</v>
      </c>
      <c r="I148" s="71">
        <f t="shared" si="9"/>
        <v>0</v>
      </c>
      <c r="J148" s="69">
        <f t="shared" si="10"/>
        <v>0</v>
      </c>
    </row>
    <row r="149" s="45" customFormat="1" ht="12.75" customHeight="1" spans="1:10">
      <c r="A149" s="68"/>
      <c r="B149" s="69"/>
      <c r="C149" s="70"/>
      <c r="D149" s="71">
        <f>'12-5-26'!I149</f>
        <v>0</v>
      </c>
      <c r="E149" s="68"/>
      <c r="F149" s="69"/>
      <c r="G149" s="69"/>
      <c r="H149" s="71">
        <f t="shared" si="8"/>
        <v>0</v>
      </c>
      <c r="I149" s="71">
        <f t="shared" si="9"/>
        <v>0</v>
      </c>
      <c r="J149" s="69">
        <f t="shared" si="10"/>
        <v>0</v>
      </c>
    </row>
    <row r="150" s="45" customFormat="1" ht="12.75" customHeight="1" spans="1:10">
      <c r="A150" s="68"/>
      <c r="B150" s="69"/>
      <c r="C150" s="70"/>
      <c r="D150" s="71">
        <f>'12-5-26'!I150</f>
        <v>0</v>
      </c>
      <c r="E150" s="68"/>
      <c r="F150" s="69"/>
      <c r="G150" s="69"/>
      <c r="H150" s="71">
        <f t="shared" si="8"/>
        <v>0</v>
      </c>
      <c r="I150" s="71">
        <f t="shared" si="9"/>
        <v>0</v>
      </c>
      <c r="J150" s="69">
        <f t="shared" si="10"/>
        <v>0</v>
      </c>
    </row>
    <row r="151" s="45" customFormat="1" ht="12.75" customHeight="1" spans="1:10">
      <c r="A151" s="68"/>
      <c r="B151" s="69"/>
      <c r="C151" s="70"/>
      <c r="D151" s="71">
        <f>'12-5-26'!I151</f>
        <v>0</v>
      </c>
      <c r="E151" s="68"/>
      <c r="F151" s="69"/>
      <c r="G151" s="69"/>
      <c r="H151" s="71">
        <f t="shared" si="8"/>
        <v>0</v>
      </c>
      <c r="I151" s="71">
        <f t="shared" si="9"/>
        <v>0</v>
      </c>
      <c r="J151" s="69">
        <f t="shared" si="10"/>
        <v>0</v>
      </c>
    </row>
    <row r="152" s="45" customFormat="1" ht="12.75" customHeight="1" spans="1:10">
      <c r="A152" s="68"/>
      <c r="B152" s="69"/>
      <c r="C152" s="70"/>
      <c r="D152" s="71">
        <f>'12-5-26'!I152</f>
        <v>0</v>
      </c>
      <c r="E152" s="68"/>
      <c r="F152" s="69"/>
      <c r="G152" s="69"/>
      <c r="H152" s="71">
        <f t="shared" si="8"/>
        <v>0</v>
      </c>
      <c r="I152" s="71">
        <f t="shared" si="9"/>
        <v>0</v>
      </c>
      <c r="J152" s="69">
        <f t="shared" si="10"/>
        <v>0</v>
      </c>
    </row>
    <row r="153" s="45" customFormat="1" ht="12.75" customHeight="1" spans="1:10">
      <c r="A153" s="68"/>
      <c r="B153" s="69"/>
      <c r="C153" s="70"/>
      <c r="D153" s="71">
        <f>'12-5-26'!I153</f>
        <v>0</v>
      </c>
      <c r="E153" s="68"/>
      <c r="F153" s="69"/>
      <c r="G153" s="69"/>
      <c r="H153" s="71">
        <f t="shared" si="8"/>
        <v>0</v>
      </c>
      <c r="I153" s="71">
        <f t="shared" si="9"/>
        <v>0</v>
      </c>
      <c r="J153" s="69">
        <f t="shared" si="10"/>
        <v>0</v>
      </c>
    </row>
    <row r="154" s="45" customFormat="1" ht="12.75" customHeight="1" spans="1:10">
      <c r="A154" s="68"/>
      <c r="B154" s="69"/>
      <c r="C154" s="70"/>
      <c r="D154" s="71">
        <f>'12-5-26'!I154</f>
        <v>0</v>
      </c>
      <c r="E154" s="68"/>
      <c r="F154" s="69"/>
      <c r="G154" s="69"/>
      <c r="H154" s="71">
        <f t="shared" si="8"/>
        <v>0</v>
      </c>
      <c r="I154" s="71">
        <f t="shared" si="9"/>
        <v>0</v>
      </c>
      <c r="J154" s="69">
        <f t="shared" si="10"/>
        <v>0</v>
      </c>
    </row>
    <row r="155" s="45" customFormat="1" ht="12.75" customHeight="1" spans="1:10">
      <c r="A155" s="68"/>
      <c r="B155" s="69"/>
      <c r="C155" s="70"/>
      <c r="D155" s="71">
        <f>'12-5-26'!I155</f>
        <v>0</v>
      </c>
      <c r="E155" s="68"/>
      <c r="F155" s="69"/>
      <c r="G155" s="69"/>
      <c r="H155" s="71">
        <f t="shared" si="8"/>
        <v>0</v>
      </c>
      <c r="I155" s="71">
        <f t="shared" si="9"/>
        <v>0</v>
      </c>
      <c r="J155" s="69">
        <f t="shared" si="10"/>
        <v>0</v>
      </c>
    </row>
    <row r="156" s="45" customFormat="1" ht="12.75" customHeight="1" spans="1:10">
      <c r="A156" s="68"/>
      <c r="B156" s="69"/>
      <c r="C156" s="70"/>
      <c r="D156" s="71">
        <f>'12-5-26'!I156</f>
        <v>0</v>
      </c>
      <c r="E156" s="68"/>
      <c r="F156" s="69"/>
      <c r="G156" s="69"/>
      <c r="H156" s="71">
        <f t="shared" si="8"/>
        <v>0</v>
      </c>
      <c r="I156" s="71">
        <f t="shared" si="9"/>
        <v>0</v>
      </c>
      <c r="J156" s="69">
        <f t="shared" si="10"/>
        <v>0</v>
      </c>
    </row>
    <row r="157" s="45" customFormat="1" ht="12.75" customHeight="1" spans="1:10">
      <c r="A157" s="68"/>
      <c r="B157" s="69"/>
      <c r="C157" s="70"/>
      <c r="D157" s="71">
        <f>'12-5-26'!I157</f>
        <v>0</v>
      </c>
      <c r="E157" s="68"/>
      <c r="F157" s="69"/>
      <c r="G157" s="69"/>
      <c r="H157" s="71">
        <f t="shared" si="8"/>
        <v>0</v>
      </c>
      <c r="I157" s="71">
        <f t="shared" si="9"/>
        <v>0</v>
      </c>
      <c r="J157" s="69">
        <f t="shared" si="10"/>
        <v>0</v>
      </c>
    </row>
    <row r="158" s="45" customFormat="1" ht="12.75" customHeight="1" spans="1:10">
      <c r="A158" s="68"/>
      <c r="B158" s="69"/>
      <c r="C158" s="70"/>
      <c r="D158" s="71">
        <f>'12-5-26'!I158</f>
        <v>0</v>
      </c>
      <c r="E158" s="68"/>
      <c r="F158" s="69"/>
      <c r="G158" s="69"/>
      <c r="H158" s="71">
        <f t="shared" si="8"/>
        <v>0</v>
      </c>
      <c r="I158" s="71">
        <f t="shared" si="9"/>
        <v>0</v>
      </c>
      <c r="J158" s="69">
        <f t="shared" si="10"/>
        <v>0</v>
      </c>
    </row>
    <row r="159" s="45" customFormat="1" ht="12.75" customHeight="1" spans="1:10">
      <c r="A159" s="68"/>
      <c r="B159" s="69"/>
      <c r="C159" s="70"/>
      <c r="D159" s="71">
        <f>'12-5-26'!I159</f>
        <v>0</v>
      </c>
      <c r="E159" s="68"/>
      <c r="F159" s="69"/>
      <c r="G159" s="69"/>
      <c r="H159" s="71">
        <f t="shared" si="8"/>
        <v>0</v>
      </c>
      <c r="I159" s="71">
        <f t="shared" si="9"/>
        <v>0</v>
      </c>
      <c r="J159" s="69">
        <f t="shared" si="10"/>
        <v>0</v>
      </c>
    </row>
    <row r="160" s="45" customFormat="1" ht="12.75" customHeight="1" spans="1:10">
      <c r="A160" s="68"/>
      <c r="B160" s="69"/>
      <c r="C160" s="70"/>
      <c r="D160" s="71">
        <f>'12-5-26'!I160</f>
        <v>0</v>
      </c>
      <c r="E160" s="68"/>
      <c r="F160" s="69"/>
      <c r="G160" s="69"/>
      <c r="H160" s="71">
        <f t="shared" si="8"/>
        <v>0</v>
      </c>
      <c r="I160" s="71">
        <f t="shared" si="9"/>
        <v>0</v>
      </c>
      <c r="J160" s="69">
        <f t="shared" si="10"/>
        <v>0</v>
      </c>
    </row>
    <row r="161" s="45" customFormat="1" ht="12.75" customHeight="1" spans="1:10">
      <c r="A161" s="68"/>
      <c r="B161" s="69"/>
      <c r="C161" s="70"/>
      <c r="D161" s="71">
        <f>'12-5-26'!I161</f>
        <v>0</v>
      </c>
      <c r="E161" s="68"/>
      <c r="F161" s="69"/>
      <c r="G161" s="69"/>
      <c r="H161" s="71">
        <f t="shared" si="8"/>
        <v>0</v>
      </c>
      <c r="I161" s="71">
        <f t="shared" si="9"/>
        <v>0</v>
      </c>
      <c r="J161" s="69">
        <f t="shared" si="10"/>
        <v>0</v>
      </c>
    </row>
    <row r="162" s="45" customFormat="1" ht="12.75" customHeight="1" spans="1:10">
      <c r="A162" s="68"/>
      <c r="B162" s="69"/>
      <c r="C162" s="70"/>
      <c r="D162" s="71">
        <f>'12-5-26'!I162</f>
        <v>0</v>
      </c>
      <c r="E162" s="68"/>
      <c r="F162" s="69"/>
      <c r="G162" s="69"/>
      <c r="H162" s="71">
        <f t="shared" si="8"/>
        <v>0</v>
      </c>
      <c r="I162" s="71">
        <f t="shared" si="9"/>
        <v>0</v>
      </c>
      <c r="J162" s="69">
        <f t="shared" si="10"/>
        <v>0</v>
      </c>
    </row>
    <row r="163" s="45" customFormat="1" ht="12.75" customHeight="1" spans="1:10">
      <c r="A163" s="68"/>
      <c r="B163" s="69"/>
      <c r="C163" s="70"/>
      <c r="D163" s="71">
        <f>'12-5-26'!I163</f>
        <v>0</v>
      </c>
      <c r="E163" s="68"/>
      <c r="F163" s="69"/>
      <c r="G163" s="69"/>
      <c r="H163" s="71">
        <f t="shared" si="8"/>
        <v>0</v>
      </c>
      <c r="I163" s="71">
        <f t="shared" si="9"/>
        <v>0</v>
      </c>
      <c r="J163" s="69">
        <f t="shared" si="10"/>
        <v>0</v>
      </c>
    </row>
    <row r="164" s="45" customFormat="1" ht="12.75" customHeight="1" spans="1:10">
      <c r="A164" s="68"/>
      <c r="B164" s="69"/>
      <c r="C164" s="70"/>
      <c r="D164" s="71">
        <f>'12-5-26'!I164</f>
        <v>0</v>
      </c>
      <c r="E164" s="68"/>
      <c r="F164" s="69"/>
      <c r="G164" s="69"/>
      <c r="H164" s="71">
        <f t="shared" si="8"/>
        <v>0</v>
      </c>
      <c r="I164" s="71">
        <f t="shared" si="9"/>
        <v>0</v>
      </c>
      <c r="J164" s="69">
        <f t="shared" si="10"/>
        <v>0</v>
      </c>
    </row>
    <row r="165" s="45" customFormat="1" ht="12.75" customHeight="1" spans="1:10">
      <c r="A165" s="68"/>
      <c r="B165" s="69"/>
      <c r="C165" s="70"/>
      <c r="D165" s="71">
        <f>'12-5-26'!I165</f>
        <v>0</v>
      </c>
      <c r="E165" s="68"/>
      <c r="F165" s="69"/>
      <c r="G165" s="69"/>
      <c r="H165" s="71">
        <f t="shared" si="8"/>
        <v>0</v>
      </c>
      <c r="I165" s="71">
        <f t="shared" si="9"/>
        <v>0</v>
      </c>
      <c r="J165" s="69">
        <f t="shared" si="10"/>
        <v>0</v>
      </c>
    </row>
    <row r="166" s="45" customFormat="1" ht="12.75" customHeight="1" spans="1:10">
      <c r="A166" s="68"/>
      <c r="B166" s="69"/>
      <c r="C166" s="70"/>
      <c r="D166" s="71">
        <f>'12-5-26'!I166</f>
        <v>0</v>
      </c>
      <c r="E166" s="68"/>
      <c r="F166" s="69"/>
      <c r="G166" s="69"/>
      <c r="H166" s="71">
        <f t="shared" si="8"/>
        <v>0</v>
      </c>
      <c r="I166" s="71">
        <f t="shared" si="9"/>
        <v>0</v>
      </c>
      <c r="J166" s="69">
        <f t="shared" si="10"/>
        <v>0</v>
      </c>
    </row>
    <row r="167" s="45" customFormat="1" ht="12.75" customHeight="1" spans="1:10">
      <c r="A167" s="68"/>
      <c r="B167" s="69"/>
      <c r="C167" s="70"/>
      <c r="D167" s="71">
        <f>'12-5-26'!I167</f>
        <v>0</v>
      </c>
      <c r="E167" s="68"/>
      <c r="F167" s="69"/>
      <c r="G167" s="69"/>
      <c r="H167" s="71">
        <f t="shared" si="8"/>
        <v>0</v>
      </c>
      <c r="I167" s="71">
        <f t="shared" si="9"/>
        <v>0</v>
      </c>
      <c r="J167" s="69">
        <f t="shared" si="10"/>
        <v>0</v>
      </c>
    </row>
    <row r="168" s="45" customFormat="1" ht="12.75" customHeight="1" spans="1:10">
      <c r="A168" s="68"/>
      <c r="B168" s="69"/>
      <c r="C168" s="70"/>
      <c r="D168" s="71">
        <f>'12-5-26'!I168</f>
        <v>0</v>
      </c>
      <c r="E168" s="68"/>
      <c r="F168" s="69"/>
      <c r="G168" s="69"/>
      <c r="H168" s="71">
        <f t="shared" si="8"/>
        <v>0</v>
      </c>
      <c r="I168" s="71">
        <f t="shared" si="9"/>
        <v>0</v>
      </c>
      <c r="J168" s="69">
        <f t="shared" si="10"/>
        <v>0</v>
      </c>
    </row>
    <row r="169" s="45" customFormat="1" ht="12.75" customHeight="1" spans="1:10">
      <c r="A169" s="68"/>
      <c r="B169" s="69"/>
      <c r="C169" s="70"/>
      <c r="D169" s="71">
        <f>'12-5-26'!I169</f>
        <v>0</v>
      </c>
      <c r="E169" s="68"/>
      <c r="F169" s="69"/>
      <c r="G169" s="69"/>
      <c r="H169" s="71">
        <f t="shared" si="8"/>
        <v>0</v>
      </c>
      <c r="I169" s="71">
        <f t="shared" si="9"/>
        <v>0</v>
      </c>
      <c r="J169" s="69">
        <f t="shared" si="10"/>
        <v>0</v>
      </c>
    </row>
    <row r="170" s="45" customFormat="1" ht="12.75" customHeight="1" spans="1:10">
      <c r="A170" s="68"/>
      <c r="B170" s="69"/>
      <c r="C170" s="70"/>
      <c r="D170" s="71">
        <f>'12-5-26'!I170</f>
        <v>0</v>
      </c>
      <c r="E170" s="68"/>
      <c r="F170" s="69"/>
      <c r="G170" s="69"/>
      <c r="H170" s="71">
        <f t="shared" si="8"/>
        <v>0</v>
      </c>
      <c r="I170" s="71">
        <f t="shared" si="9"/>
        <v>0</v>
      </c>
      <c r="J170" s="69">
        <f t="shared" si="10"/>
        <v>0</v>
      </c>
    </row>
    <row r="171" s="45" customFormat="1" ht="12.75" customHeight="1" spans="1:10">
      <c r="A171" s="68"/>
      <c r="B171" s="69"/>
      <c r="C171" s="70"/>
      <c r="D171" s="71">
        <f>'12-5-26'!I171</f>
        <v>0</v>
      </c>
      <c r="E171" s="68"/>
      <c r="F171" s="69"/>
      <c r="G171" s="69"/>
      <c r="H171" s="71">
        <f t="shared" si="8"/>
        <v>0</v>
      </c>
      <c r="I171" s="71">
        <f t="shared" si="9"/>
        <v>0</v>
      </c>
      <c r="J171" s="69">
        <f t="shared" si="10"/>
        <v>0</v>
      </c>
    </row>
    <row r="172" s="45" customFormat="1" ht="12.75" customHeight="1" spans="1:10">
      <c r="A172" s="68"/>
      <c r="B172" s="69"/>
      <c r="C172" s="70"/>
      <c r="D172" s="71">
        <f>'12-5-26'!I172</f>
        <v>0</v>
      </c>
      <c r="E172" s="68"/>
      <c r="F172" s="69"/>
      <c r="G172" s="69"/>
      <c r="H172" s="71">
        <f t="shared" si="8"/>
        <v>0</v>
      </c>
      <c r="I172" s="71">
        <f t="shared" si="9"/>
        <v>0</v>
      </c>
      <c r="J172" s="69">
        <f t="shared" si="10"/>
        <v>0</v>
      </c>
    </row>
    <row r="173" s="45" customFormat="1" ht="12.75" customHeight="1" spans="1:10">
      <c r="A173" s="68"/>
      <c r="B173" s="69"/>
      <c r="C173" s="70"/>
      <c r="D173" s="71">
        <f>'12-5-26'!I173</f>
        <v>0</v>
      </c>
      <c r="E173" s="68"/>
      <c r="F173" s="69"/>
      <c r="G173" s="69"/>
      <c r="H173" s="71">
        <f t="shared" si="8"/>
        <v>0</v>
      </c>
      <c r="I173" s="71">
        <f t="shared" si="9"/>
        <v>0</v>
      </c>
      <c r="J173" s="69">
        <f t="shared" si="10"/>
        <v>0</v>
      </c>
    </row>
    <row r="174" s="45" customFormat="1" ht="12.75" customHeight="1" spans="1:10">
      <c r="A174" s="68"/>
      <c r="B174" s="69"/>
      <c r="C174" s="70"/>
      <c r="D174" s="71">
        <f>'12-5-26'!I174</f>
        <v>0</v>
      </c>
      <c r="E174" s="68"/>
      <c r="F174" s="69"/>
      <c r="G174" s="69"/>
      <c r="H174" s="71">
        <f t="shared" si="8"/>
        <v>0</v>
      </c>
      <c r="I174" s="71">
        <f t="shared" si="9"/>
        <v>0</v>
      </c>
      <c r="J174" s="69">
        <f t="shared" si="10"/>
        <v>0</v>
      </c>
    </row>
    <row r="175" s="45" customFormat="1" ht="12.75" customHeight="1" spans="1:10">
      <c r="A175" s="68"/>
      <c r="B175" s="69"/>
      <c r="C175" s="70"/>
      <c r="D175" s="71">
        <f>'12-5-26'!I175</f>
        <v>0</v>
      </c>
      <c r="E175" s="68"/>
      <c r="F175" s="69"/>
      <c r="G175" s="69"/>
      <c r="H175" s="71">
        <f t="shared" si="8"/>
        <v>0</v>
      </c>
      <c r="I175" s="71">
        <f t="shared" si="9"/>
        <v>0</v>
      </c>
      <c r="J175" s="69">
        <f t="shared" si="10"/>
        <v>0</v>
      </c>
    </row>
    <row r="176" s="45" customFormat="1" ht="12.75" customHeight="1" spans="1:10">
      <c r="A176" s="68"/>
      <c r="B176" s="69"/>
      <c r="C176" s="70"/>
      <c r="D176" s="71">
        <f>'12-5-26'!I176</f>
        <v>0</v>
      </c>
      <c r="E176" s="68"/>
      <c r="F176" s="69"/>
      <c r="G176" s="69"/>
      <c r="H176" s="71">
        <f t="shared" si="8"/>
        <v>0</v>
      </c>
      <c r="I176" s="71">
        <f t="shared" si="9"/>
        <v>0</v>
      </c>
      <c r="J176" s="69">
        <f t="shared" si="10"/>
        <v>0</v>
      </c>
    </row>
    <row r="177" s="45" customFormat="1" ht="12.75" customHeight="1" spans="1:11">
      <c r="A177" s="68"/>
      <c r="B177" s="69"/>
      <c r="C177" s="70"/>
      <c r="D177" s="71">
        <f>'12-5-26'!I177</f>
        <v>0</v>
      </c>
      <c r="E177" s="68"/>
      <c r="F177" s="69"/>
      <c r="G177" s="69"/>
      <c r="H177" s="71">
        <f t="shared" si="8"/>
        <v>0</v>
      </c>
      <c r="I177" s="71">
        <f t="shared" si="9"/>
        <v>0</v>
      </c>
      <c r="J177" s="69">
        <f t="shared" si="10"/>
        <v>0</v>
      </c>
    </row>
    <row r="178" s="45" customFormat="1" ht="12.75" customHeight="1" spans="1:11">
      <c r="A178" s="68"/>
      <c r="B178" s="69"/>
      <c r="C178" s="70"/>
      <c r="D178" s="71">
        <f>'12-5-26'!I178</f>
        <v>0</v>
      </c>
      <c r="E178" s="68"/>
      <c r="F178" s="69"/>
      <c r="G178" s="69"/>
      <c r="H178" s="71">
        <f t="shared" si="8"/>
        <v>0</v>
      </c>
      <c r="I178" s="71">
        <f t="shared" si="9"/>
        <v>0</v>
      </c>
      <c r="J178" s="69">
        <f t="shared" si="10"/>
        <v>0</v>
      </c>
    </row>
    <row r="179" s="45" customFormat="1" ht="12.75" customHeight="1" spans="1:11">
      <c r="A179" s="68"/>
      <c r="B179" s="69"/>
      <c r="C179" s="70"/>
      <c r="D179" s="71">
        <f>'12-5-26'!I179</f>
        <v>0</v>
      </c>
      <c r="E179" s="68"/>
      <c r="F179" s="69"/>
      <c r="G179" s="69"/>
      <c r="H179" s="71">
        <f t="shared" si="8"/>
        <v>0</v>
      </c>
      <c r="I179" s="71">
        <f t="shared" si="9"/>
        <v>0</v>
      </c>
      <c r="J179" s="69">
        <f t="shared" si="10"/>
        <v>0</v>
      </c>
    </row>
    <row r="180" s="45" customFormat="1" ht="12.75" customHeight="1" spans="1:11">
      <c r="A180" s="68"/>
      <c r="B180" s="69"/>
      <c r="C180" s="70"/>
      <c r="D180" s="71">
        <f>'12-5-26'!I180</f>
        <v>0</v>
      </c>
      <c r="E180" s="68"/>
      <c r="F180" s="69"/>
      <c r="G180" s="69"/>
      <c r="H180" s="71">
        <f t="shared" si="8"/>
        <v>0</v>
      </c>
      <c r="I180" s="71">
        <f t="shared" si="9"/>
        <v>0</v>
      </c>
      <c r="J180" s="69">
        <f t="shared" si="10"/>
        <v>0</v>
      </c>
    </row>
    <row r="181" s="45" customFormat="1" ht="12.75" customHeight="1" spans="1:11">
      <c r="A181" s="68"/>
      <c r="B181" s="69"/>
      <c r="C181" s="70"/>
      <c r="D181" s="71">
        <f>'12-5-26'!I181</f>
        <v>0</v>
      </c>
      <c r="E181" s="68"/>
      <c r="F181" s="69"/>
      <c r="G181" s="69"/>
      <c r="H181" s="71">
        <f t="shared" si="8"/>
        <v>0</v>
      </c>
      <c r="I181" s="71">
        <f t="shared" si="9"/>
        <v>0</v>
      </c>
      <c r="J181" s="69">
        <f t="shared" si="10"/>
        <v>0</v>
      </c>
    </row>
    <row r="182" s="45" customFormat="1" ht="12.75" customHeight="1" spans="1:11">
      <c r="A182" s="68"/>
      <c r="B182" s="69"/>
      <c r="C182" s="70"/>
      <c r="D182" s="71">
        <f>'12-5-26'!I182</f>
        <v>0</v>
      </c>
      <c r="E182" s="68"/>
      <c r="F182" s="69"/>
      <c r="G182" s="69"/>
      <c r="H182" s="71">
        <f t="shared" si="8"/>
        <v>0</v>
      </c>
      <c r="I182" s="71">
        <f t="shared" si="9"/>
        <v>0</v>
      </c>
      <c r="J182" s="69">
        <f t="shared" si="10"/>
        <v>0</v>
      </c>
    </row>
    <row r="183" s="45" customFormat="1" ht="12.75" customHeight="1" spans="1:11">
      <c r="A183" s="68"/>
      <c r="B183" s="69"/>
      <c r="C183" s="70"/>
      <c r="D183" s="71">
        <f>'12-5-26'!I183</f>
        <v>0</v>
      </c>
      <c r="E183" s="68"/>
      <c r="F183" s="69"/>
      <c r="G183" s="69"/>
      <c r="H183" s="71">
        <f t="shared" si="8"/>
        <v>0</v>
      </c>
      <c r="I183" s="71">
        <f t="shared" si="9"/>
        <v>0</v>
      </c>
      <c r="J183" s="69">
        <f t="shared" si="10"/>
        <v>0</v>
      </c>
    </row>
    <row r="184" s="45" customFormat="1" ht="12.75" customHeight="1" spans="1:11">
      <c r="A184" s="68"/>
      <c r="B184" s="69"/>
      <c r="C184" s="70"/>
      <c r="D184" s="71">
        <f>'12-5-26'!I184</f>
        <v>0</v>
      </c>
      <c r="E184" s="68"/>
      <c r="F184" s="69"/>
      <c r="G184" s="69"/>
      <c r="H184" s="71">
        <f t="shared" si="8"/>
        <v>0</v>
      </c>
      <c r="I184" s="71">
        <f t="shared" si="9"/>
        <v>0</v>
      </c>
      <c r="J184" s="69">
        <f t="shared" si="10"/>
        <v>0</v>
      </c>
    </row>
    <row r="185" s="45" customFormat="1" ht="12.75" customHeight="1" spans="1:11">
      <c r="A185" s="68"/>
      <c r="B185" s="69"/>
      <c r="C185" s="70"/>
      <c r="D185" s="71">
        <f>'12-5-26'!I185</f>
        <v>0</v>
      </c>
      <c r="E185" s="68"/>
      <c r="F185" s="69"/>
      <c r="G185" s="69"/>
      <c r="H185" s="71">
        <f t="shared" si="8"/>
        <v>0</v>
      </c>
      <c r="I185" s="71">
        <f t="shared" si="9"/>
        <v>0</v>
      </c>
      <c r="J185" s="69">
        <f t="shared" si="10"/>
        <v>0</v>
      </c>
    </row>
    <row r="186" s="45" customFormat="1" ht="12.75" customHeight="1" spans="1:11">
      <c r="A186" s="68"/>
      <c r="B186" s="69"/>
      <c r="C186" s="70"/>
      <c r="D186" s="71">
        <f>'12-5-26'!I186</f>
        <v>0</v>
      </c>
      <c r="E186" s="68"/>
      <c r="F186" s="69"/>
      <c r="G186" s="69"/>
      <c r="H186" s="71">
        <f t="shared" si="8"/>
        <v>0</v>
      </c>
      <c r="I186" s="71">
        <f t="shared" si="9"/>
        <v>0</v>
      </c>
      <c r="J186" s="69">
        <f t="shared" si="10"/>
        <v>0</v>
      </c>
    </row>
    <row r="187" s="45" customFormat="1" ht="12.75" spans="1:11">
      <c r="A187" s="68"/>
      <c r="B187" s="69"/>
      <c r="C187" s="74"/>
      <c r="D187" s="71">
        <f>'12-5-26'!I187</f>
        <v>0</v>
      </c>
      <c r="E187" s="68"/>
      <c r="F187" s="69"/>
      <c r="G187" s="69"/>
      <c r="H187" s="71">
        <f t="shared" si="8"/>
        <v>0</v>
      </c>
      <c r="I187" s="71">
        <f t="shared" si="9"/>
        <v>0</v>
      </c>
      <c r="J187" s="69">
        <f t="shared" si="10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1">SUM(D9:D187)</f>
        <v>459922000</v>
      </c>
      <c r="E188" s="79">
        <f t="shared" si="11"/>
        <v>16</v>
      </c>
      <c r="F188" s="78">
        <f t="shared" si="11"/>
        <v>560000</v>
      </c>
      <c r="G188" s="78">
        <f t="shared" si="11"/>
        <v>242000</v>
      </c>
      <c r="H188" s="78">
        <f t="shared" si="11"/>
        <v>802000</v>
      </c>
      <c r="I188" s="78">
        <f t="shared" si="11"/>
        <v>459362000</v>
      </c>
      <c r="J188" s="78">
        <f t="shared" si="11"/>
        <v>24200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242000</v>
      </c>
      <c r="E191" s="47"/>
      <c r="F191" s="129" t="s">
        <v>209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12100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133100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6050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6050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6050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6050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24200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60500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242000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40" zoomScaleNormal="140" topLeftCell="A84" workbookViewId="0">
      <selection activeCell="A91" sqref="A91:J91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210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'19-5-26'!I9</f>
        <v>5500000</v>
      </c>
      <c r="E9" s="68"/>
      <c r="F9" s="69"/>
      <c r="G9" s="69"/>
      <c r="H9" s="71">
        <f t="shared" ref="H9:H73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'19-5-26'!I10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'19-5-26'!I11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'19-5-26'!I12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'19-5-26'!I13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'19-5-26'!I14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'19-5-26'!I15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'19-5-26'!I16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'19-5-26'!I17</f>
        <v>5800000</v>
      </c>
      <c r="E17" s="68"/>
      <c r="F17" s="69"/>
      <c r="G17" s="69"/>
      <c r="H17" s="71">
        <f t="shared" ref="H17:H22" si="3">SUM(F17:G17)</f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'19-5-26'!I18</f>
        <v>11995000</v>
      </c>
      <c r="E18" s="68"/>
      <c r="F18" s="69"/>
      <c r="G18" s="69"/>
      <c r="H18" s="71">
        <f t="shared" si="3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'19-5-26'!I19</f>
        <v>3500000</v>
      </c>
      <c r="E19" s="68"/>
      <c r="F19" s="69"/>
      <c r="G19" s="69"/>
      <c r="H19" s="71">
        <f t="shared" si="3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'19-5-26'!I20</f>
        <v>42000000</v>
      </c>
      <c r="E20" s="68"/>
      <c r="F20" s="69"/>
      <c r="G20" s="69"/>
      <c r="H20" s="71">
        <f t="shared" si="3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'19-5-26'!I21</f>
        <v>12680000</v>
      </c>
      <c r="E21" s="68"/>
      <c r="F21" s="69"/>
      <c r="G21" s="69"/>
      <c r="H21" s="71">
        <f t="shared" si="3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'19-5-26'!I22</f>
        <v>0</v>
      </c>
      <c r="E22" s="68"/>
      <c r="F22" s="69"/>
      <c r="G22" s="69"/>
      <c r="H22" s="71">
        <f t="shared" si="3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'19-5-26'!I23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'19-5-26'!I24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'19-5-26'!I25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'19-5-26'!I26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'19-5-26'!I27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'19-5-26'!I28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'19-5-26'!I29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'19-5-26'!I30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'19-5-26'!I31</f>
        <v>500000</v>
      </c>
      <c r="E31" s="68"/>
      <c r="F31" s="69"/>
      <c r="G31" s="69"/>
      <c r="H31" s="71">
        <f t="shared" si="0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'19-5-26'!I32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'19-5-26'!I33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'19-5-26'!I34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'19-5-26'!I35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'19-5-26'!I36</f>
        <v>6400000</v>
      </c>
      <c r="E36" s="68">
        <v>25</v>
      </c>
      <c r="F36" s="69">
        <v>1400000</v>
      </c>
      <c r="G36" s="69">
        <v>800000</v>
      </c>
      <c r="H36" s="71">
        <f t="shared" si="0"/>
        <v>2200000</v>
      </c>
      <c r="I36" s="71">
        <f t="shared" si="1"/>
        <v>5000000</v>
      </c>
      <c r="J36" s="69">
        <f t="shared" si="2"/>
        <v>80000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'19-5-26'!I37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'19-5-26'!I38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'19-5-26'!I39</f>
        <v>13690000</v>
      </c>
      <c r="E39" s="68"/>
      <c r="F39" s="69"/>
      <c r="G39" s="69"/>
      <c r="H39" s="71">
        <f t="shared" si="0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'19-5-26'!I40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'19-5-26'!I41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'19-5-26'!I42</f>
        <v>1050000</v>
      </c>
      <c r="E42" s="68"/>
      <c r="F42" s="69"/>
      <c r="G42" s="69"/>
      <c r="H42" s="71">
        <f t="shared" si="0"/>
        <v>0</v>
      </c>
      <c r="I42" s="71">
        <f t="shared" si="1"/>
        <v>1050000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'19-5-26'!I43</f>
        <v>4500000</v>
      </c>
      <c r="E43" s="68"/>
      <c r="F43" s="69"/>
      <c r="G43" s="69"/>
      <c r="H43" s="71">
        <f t="shared" si="0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'19-5-26'!I44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'19-5-26'!I45</f>
        <v>10875000</v>
      </c>
      <c r="E45" s="68"/>
      <c r="F45" s="69"/>
      <c r="G45" s="69"/>
      <c r="H45" s="71">
        <f t="shared" si="0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'19-5-26'!I46</f>
        <v>0</v>
      </c>
      <c r="E46" s="68"/>
      <c r="F46" s="69"/>
      <c r="G46" s="69"/>
      <c r="H46" s="71">
        <f t="shared" si="0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'19-5-26'!I47</f>
        <v>9300000</v>
      </c>
      <c r="E47" s="68"/>
      <c r="F47" s="69"/>
      <c r="G47" s="69"/>
      <c r="H47" s="71">
        <f t="shared" si="0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'19-5-26'!I48</f>
        <v>600000</v>
      </c>
      <c r="E48" s="68"/>
      <c r="F48" s="69"/>
      <c r="G48" s="69"/>
      <c r="H48" s="71">
        <f t="shared" si="0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'19-5-26'!I49</f>
        <v>9340000</v>
      </c>
      <c r="E49" s="68"/>
      <c r="F49" s="69"/>
      <c r="G49" s="69"/>
      <c r="H49" s="71">
        <f t="shared" si="0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'19-5-26'!I50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'19-5-26'!I51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'19-5-26'!I52</f>
        <v>24600000</v>
      </c>
      <c r="E52" s="68"/>
      <c r="F52" s="69"/>
      <c r="G52" s="69"/>
      <c r="H52" s="71">
        <f t="shared" si="0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'19-5-26'!I53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'19-5-26'!I54</f>
        <v>4200000</v>
      </c>
      <c r="E54" s="68"/>
      <c r="F54" s="69"/>
      <c r="G54" s="69"/>
      <c r="H54" s="71">
        <f t="shared" si="0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'19-5-26'!I55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'19-5-26'!I56</f>
        <v>0</v>
      </c>
      <c r="E56" s="68"/>
      <c r="F56" s="69"/>
      <c r="G56" s="69"/>
      <c r="H56" s="71">
        <f t="shared" si="0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'19-5-26'!I57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'19-5-26'!I58</f>
        <v>0</v>
      </c>
      <c r="E58" s="68"/>
      <c r="F58" s="69"/>
      <c r="G58" s="69"/>
      <c r="H58" s="71">
        <f t="shared" si="0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'19-5-26'!I59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'19-5-26'!I60</f>
        <v>2750000</v>
      </c>
      <c r="E60" s="68"/>
      <c r="F60" s="69"/>
      <c r="G60" s="69"/>
      <c r="H60" s="71">
        <f t="shared" si="0"/>
        <v>0</v>
      </c>
      <c r="I60" s="71">
        <f t="shared" si="1"/>
        <v>2750000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'19-5-26'!I61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'19-5-26'!I62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'19-5-26'!I63</f>
        <v>0</v>
      </c>
      <c r="E63" s="68"/>
      <c r="F63" s="69"/>
      <c r="G63" s="69"/>
      <c r="H63" s="71">
        <f t="shared" si="0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'19-5-26'!I64</f>
        <v>0</v>
      </c>
      <c r="E64" s="68"/>
      <c r="F64" s="69"/>
      <c r="G64" s="69"/>
      <c r="H64" s="71">
        <f t="shared" si="0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'19-5-26'!I65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'19-5-26'!I66</f>
        <v>50000</v>
      </c>
      <c r="E66" s="68"/>
      <c r="F66" s="69"/>
      <c r="G66" s="69"/>
      <c r="H66" s="71">
        <f t="shared" si="0"/>
        <v>0</v>
      </c>
      <c r="I66" s="71">
        <f t="shared" si="1"/>
        <v>50000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'19-5-26'!I67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'19-5-26'!I68</f>
        <v>3400000</v>
      </c>
      <c r="E68" s="68"/>
      <c r="F68" s="69"/>
      <c r="G68" s="69"/>
      <c r="H68" s="71">
        <f t="shared" si="0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'19-5-26'!I69</f>
        <v>50000000</v>
      </c>
      <c r="E69" s="68"/>
      <c r="F69" s="69"/>
      <c r="G69" s="69"/>
      <c r="H69" s="71">
        <f t="shared" si="0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'19-5-26'!I70</f>
        <v>1000000</v>
      </c>
      <c r="E70" s="68"/>
      <c r="F70" s="69"/>
      <c r="G70" s="69"/>
      <c r="H70" s="71">
        <f t="shared" si="0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'19-5-26'!I71</f>
        <v>1500000</v>
      </c>
      <c r="E71" s="68"/>
      <c r="F71" s="69"/>
      <c r="G71" s="69"/>
      <c r="H71" s="71">
        <f t="shared" si="0"/>
        <v>0</v>
      </c>
      <c r="I71" s="71">
        <f t="shared" si="1"/>
        <v>1500000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'19-5-26'!I72</f>
        <v>1600000</v>
      </c>
      <c r="E72" s="68"/>
      <c r="F72" s="69"/>
      <c r="G72" s="69"/>
      <c r="H72" s="71">
        <f t="shared" si="0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v>5000000</v>
      </c>
      <c r="E73" s="69"/>
      <c r="F73" s="69"/>
      <c r="G73" s="69"/>
      <c r="H73" s="71">
        <f t="shared" si="0"/>
        <v>0</v>
      </c>
      <c r="I73" s="71">
        <f>D73-F73</f>
        <v>5000000</v>
      </c>
      <c r="J73" s="69">
        <f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'19-5-26'!I74</f>
        <v>0</v>
      </c>
      <c r="E74" s="68"/>
      <c r="F74" s="69"/>
      <c r="G74" s="69"/>
      <c r="H74" s="71">
        <f t="shared" ref="H74:H137" si="4">SUM(F74:G74)</f>
        <v>0</v>
      </c>
      <c r="I74" s="71">
        <f t="shared" ref="I74:I137" si="5">D74-F74</f>
        <v>0</v>
      </c>
      <c r="J74" s="69">
        <f t="shared" ref="J74:J137" si="6">1/10*G74</f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'19-5-26'!I75</f>
        <v>2400000</v>
      </c>
      <c r="E75" s="68"/>
      <c r="F75" s="69"/>
      <c r="G75" s="69"/>
      <c r="H75" s="71">
        <f t="shared" si="4"/>
        <v>0</v>
      </c>
      <c r="I75" s="71">
        <f t="shared" si="5"/>
        <v>2400000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'19-5-26'!I76</f>
        <v>880000</v>
      </c>
      <c r="E76" s="68"/>
      <c r="F76" s="69"/>
      <c r="G76" s="69"/>
      <c r="H76" s="71">
        <f t="shared" si="4"/>
        <v>0</v>
      </c>
      <c r="I76" s="71">
        <f t="shared" si="5"/>
        <v>880000</v>
      </c>
      <c r="J76" s="69">
        <f t="shared" si="6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'19-5-26'!I77</f>
        <v>4500000</v>
      </c>
      <c r="E77" s="68"/>
      <c r="F77" s="69"/>
      <c r="G77" s="69"/>
      <c r="H77" s="71">
        <f t="shared" si="4"/>
        <v>0</v>
      </c>
      <c r="I77" s="71">
        <f t="shared" si="5"/>
        <v>4500000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'19-5-26'!I78</f>
        <v>9000000</v>
      </c>
      <c r="E78" s="68"/>
      <c r="F78" s="69"/>
      <c r="G78" s="69"/>
      <c r="H78" s="71">
        <f t="shared" si="4"/>
        <v>0</v>
      </c>
      <c r="I78" s="71">
        <f t="shared" si="5"/>
        <v>9000000</v>
      </c>
      <c r="J78" s="69">
        <f t="shared" si="6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'19-5-26'!I79</f>
        <v>2100000</v>
      </c>
      <c r="E79" s="68"/>
      <c r="F79" s="69"/>
      <c r="G79" s="69"/>
      <c r="H79" s="71">
        <f t="shared" si="4"/>
        <v>0</v>
      </c>
      <c r="I79" s="71">
        <f t="shared" si="5"/>
        <v>2100000</v>
      </c>
      <c r="J79" s="69">
        <f t="shared" si="6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'19-5-26'!I80</f>
        <v>700000</v>
      </c>
      <c r="E80" s="68"/>
      <c r="F80" s="69"/>
      <c r="G80" s="69"/>
      <c r="H80" s="71">
        <f t="shared" si="4"/>
        <v>0</v>
      </c>
      <c r="I80" s="71">
        <f t="shared" si="5"/>
        <v>700000</v>
      </c>
      <c r="J80" s="69">
        <f t="shared" si="6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'19-5-26'!I81</f>
        <v>6300000</v>
      </c>
      <c r="E81" s="68"/>
      <c r="F81" s="69"/>
      <c r="G81" s="69"/>
      <c r="H81" s="71">
        <f t="shared" si="4"/>
        <v>0</v>
      </c>
      <c r="I81" s="71">
        <f t="shared" si="5"/>
        <v>6300000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'19-5-26'!I82</f>
        <v>800000</v>
      </c>
      <c r="E82" s="69"/>
      <c r="F82" s="69"/>
      <c r="G82" s="69"/>
      <c r="H82" s="71">
        <f t="shared" si="4"/>
        <v>0</v>
      </c>
      <c r="I82" s="71">
        <f t="shared" si="5"/>
        <v>800000</v>
      </c>
      <c r="J82" s="69">
        <f t="shared" si="6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'19-5-26'!I83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'19-5-26'!I84</f>
        <v>400000</v>
      </c>
      <c r="E84" s="68">
        <v>3</v>
      </c>
      <c r="F84" s="69">
        <v>50000</v>
      </c>
      <c r="G84" s="69">
        <v>10000</v>
      </c>
      <c r="H84" s="71">
        <f t="shared" si="4"/>
        <v>60000</v>
      </c>
      <c r="I84" s="71">
        <f t="shared" si="5"/>
        <v>350000</v>
      </c>
      <c r="J84" s="69">
        <f t="shared" si="6"/>
        <v>1000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'19-5-26'!I85</f>
        <v>5000000</v>
      </c>
      <c r="E85" s="68"/>
      <c r="F85" s="69"/>
      <c r="G85" s="69"/>
      <c r="H85" s="71">
        <f t="shared" si="4"/>
        <v>0</v>
      </c>
      <c r="I85" s="71">
        <f t="shared" si="5"/>
        <v>5000000</v>
      </c>
      <c r="J85" s="69">
        <f t="shared" si="6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'19-5-26'!I86</f>
        <v>1000000</v>
      </c>
      <c r="E86" s="68"/>
      <c r="F86" s="69"/>
      <c r="G86" s="69"/>
      <c r="H86" s="71">
        <f t="shared" si="4"/>
        <v>0</v>
      </c>
      <c r="I86" s="71">
        <f t="shared" si="5"/>
        <v>1000000</v>
      </c>
      <c r="J86" s="69">
        <f t="shared" si="6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'19-5-26'!I87</f>
        <v>500000</v>
      </c>
      <c r="E87" s="68"/>
      <c r="F87" s="69"/>
      <c r="G87" s="69"/>
      <c r="H87" s="71">
        <f t="shared" si="4"/>
        <v>0</v>
      </c>
      <c r="I87" s="71">
        <f t="shared" si="5"/>
        <v>500000</v>
      </c>
      <c r="J87" s="69">
        <f t="shared" si="6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'19-5-26'!I88</f>
        <v>3000000</v>
      </c>
      <c r="E88" s="68"/>
      <c r="F88" s="69"/>
      <c r="G88" s="69"/>
      <c r="H88" s="71">
        <f t="shared" si="4"/>
        <v>0</v>
      </c>
      <c r="I88" s="71">
        <f t="shared" si="5"/>
        <v>3000000</v>
      </c>
      <c r="J88" s="69">
        <f t="shared" si="6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'19-5-26'!I89</f>
        <v>10000000</v>
      </c>
      <c r="E89" s="68"/>
      <c r="F89" s="69"/>
      <c r="G89" s="69"/>
      <c r="H89" s="71">
        <f t="shared" si="4"/>
        <v>0</v>
      </c>
      <c r="I89" s="71">
        <f t="shared" si="5"/>
        <v>10000000</v>
      </c>
      <c r="J89" s="69">
        <f t="shared" si="6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f>'19-5-26'!I90</f>
        <v>2000000</v>
      </c>
      <c r="E90" s="68"/>
      <c r="F90" s="69"/>
      <c r="G90" s="69"/>
      <c r="H90" s="71">
        <f t="shared" si="4"/>
        <v>0</v>
      </c>
      <c r="I90" s="71">
        <f t="shared" si="5"/>
        <v>2000000</v>
      </c>
      <c r="J90" s="69">
        <f t="shared" si="6"/>
        <v>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v>5000000</v>
      </c>
      <c r="E91" s="68"/>
      <c r="F91" s="69"/>
      <c r="G91" s="69"/>
      <c r="H91" s="71">
        <f t="shared" si="4"/>
        <v>0</v>
      </c>
      <c r="I91" s="71">
        <f t="shared" si="5"/>
        <v>5000000</v>
      </c>
      <c r="J91" s="69">
        <f t="shared" si="6"/>
        <v>0</v>
      </c>
    </row>
    <row r="92" s="45" customFormat="1" ht="12.75" customHeight="1" spans="1:10">
      <c r="A92" s="68"/>
      <c r="B92" s="69"/>
      <c r="C92" s="70"/>
      <c r="D92" s="71">
        <f>'19-5-26'!I92</f>
        <v>0</v>
      </c>
      <c r="E92" s="68"/>
      <c r="F92" s="69"/>
      <c r="G92" s="69"/>
      <c r="H92" s="71">
        <f t="shared" si="4"/>
        <v>0</v>
      </c>
      <c r="I92" s="71">
        <f t="shared" si="5"/>
        <v>0</v>
      </c>
      <c r="J92" s="69">
        <f t="shared" si="6"/>
        <v>0</v>
      </c>
    </row>
    <row r="93" s="45" customFormat="1" ht="12.75" customHeight="1" spans="1:10">
      <c r="A93" s="68"/>
      <c r="B93" s="69"/>
      <c r="C93" s="70"/>
      <c r="D93" s="71">
        <f>'19-5-26'!I93</f>
        <v>0</v>
      </c>
      <c r="E93" s="68"/>
      <c r="F93" s="69"/>
      <c r="G93" s="69"/>
      <c r="H93" s="71">
        <f t="shared" si="4"/>
        <v>0</v>
      </c>
      <c r="I93" s="71">
        <f t="shared" si="5"/>
        <v>0</v>
      </c>
      <c r="J93" s="69">
        <f t="shared" si="6"/>
        <v>0</v>
      </c>
    </row>
    <row r="94" s="45" customFormat="1" ht="12.75" customHeight="1" spans="1:10">
      <c r="A94" s="68"/>
      <c r="B94" s="69"/>
      <c r="C94" s="70"/>
      <c r="D94" s="71">
        <f>'19-5-26'!I94</f>
        <v>0</v>
      </c>
      <c r="E94" s="68"/>
      <c r="F94" s="69"/>
      <c r="G94" s="69"/>
      <c r="H94" s="71">
        <f t="shared" si="4"/>
        <v>0</v>
      </c>
      <c r="I94" s="71">
        <f t="shared" si="5"/>
        <v>0</v>
      </c>
      <c r="J94" s="69">
        <f t="shared" si="6"/>
        <v>0</v>
      </c>
    </row>
    <row r="95" s="45" customFormat="1" ht="12.75" customHeight="1" spans="1:10">
      <c r="A95" s="68"/>
      <c r="B95" s="69"/>
      <c r="C95" s="70"/>
      <c r="D95" s="71">
        <f>'19-5-26'!I95</f>
        <v>0</v>
      </c>
      <c r="E95" s="68"/>
      <c r="F95" s="69"/>
      <c r="G95" s="69"/>
      <c r="H95" s="71">
        <f t="shared" si="4"/>
        <v>0</v>
      </c>
      <c r="I95" s="71">
        <f t="shared" si="5"/>
        <v>0</v>
      </c>
      <c r="J95" s="69">
        <f t="shared" si="6"/>
        <v>0</v>
      </c>
    </row>
    <row r="96" s="45" customFormat="1" ht="12.75" customHeight="1" spans="1:10">
      <c r="A96" s="68"/>
      <c r="B96" s="69"/>
      <c r="C96" s="70"/>
      <c r="D96" s="71">
        <f>'19-5-26'!I96</f>
        <v>0</v>
      </c>
      <c r="E96" s="68"/>
      <c r="F96" s="69"/>
      <c r="G96" s="69"/>
      <c r="H96" s="71">
        <f t="shared" si="4"/>
        <v>0</v>
      </c>
      <c r="I96" s="71">
        <f t="shared" si="5"/>
        <v>0</v>
      </c>
      <c r="J96" s="69">
        <f t="shared" si="6"/>
        <v>0</v>
      </c>
    </row>
    <row r="97" s="45" customFormat="1" ht="12.75" customHeight="1" spans="1:10">
      <c r="A97" s="68"/>
      <c r="B97" s="69"/>
      <c r="C97" s="70"/>
      <c r="D97" s="71">
        <f>'19-5-26'!I97</f>
        <v>0</v>
      </c>
      <c r="E97" s="68"/>
      <c r="F97" s="69"/>
      <c r="G97" s="69"/>
      <c r="H97" s="71">
        <f t="shared" si="4"/>
        <v>0</v>
      </c>
      <c r="I97" s="71">
        <f t="shared" si="5"/>
        <v>0</v>
      </c>
      <c r="J97" s="69">
        <f t="shared" si="6"/>
        <v>0</v>
      </c>
    </row>
    <row r="98" s="45" customFormat="1" ht="12.75" customHeight="1" spans="1:10">
      <c r="A98" s="68"/>
      <c r="B98" s="69"/>
      <c r="C98" s="70"/>
      <c r="D98" s="71">
        <f>'19-5-26'!I98</f>
        <v>0</v>
      </c>
      <c r="E98" s="68"/>
      <c r="F98" s="69"/>
      <c r="G98" s="69"/>
      <c r="H98" s="71">
        <f t="shared" si="4"/>
        <v>0</v>
      </c>
      <c r="I98" s="71">
        <f t="shared" si="5"/>
        <v>0</v>
      </c>
      <c r="J98" s="69">
        <f t="shared" si="6"/>
        <v>0</v>
      </c>
    </row>
    <row r="99" s="45" customFormat="1" ht="12.75" customHeight="1" spans="1:10">
      <c r="A99" s="68"/>
      <c r="B99" s="69"/>
      <c r="C99" s="70"/>
      <c r="D99" s="71">
        <f>'19-5-26'!I99</f>
        <v>0</v>
      </c>
      <c r="E99" s="68"/>
      <c r="F99" s="69"/>
      <c r="G99" s="69"/>
      <c r="H99" s="71">
        <f t="shared" si="4"/>
        <v>0</v>
      </c>
      <c r="I99" s="71">
        <f t="shared" si="5"/>
        <v>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'19-5-26'!I100</f>
        <v>0</v>
      </c>
      <c r="E100" s="68"/>
      <c r="F100" s="69"/>
      <c r="G100" s="69"/>
      <c r="H100" s="71">
        <f t="shared" si="4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'19-5-26'!I101</f>
        <v>0</v>
      </c>
      <c r="E101" s="68"/>
      <c r="F101" s="69"/>
      <c r="G101" s="69"/>
      <c r="H101" s="71">
        <f t="shared" si="4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'19-5-26'!I102</f>
        <v>0</v>
      </c>
      <c r="E102" s="68"/>
      <c r="F102" s="69"/>
      <c r="G102" s="69"/>
      <c r="H102" s="71">
        <f t="shared" si="4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'19-5-26'!I103</f>
        <v>0</v>
      </c>
      <c r="E103" s="68"/>
      <c r="F103" s="69"/>
      <c r="G103" s="69"/>
      <c r="H103" s="71">
        <f t="shared" si="4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'19-5-26'!I104</f>
        <v>0</v>
      </c>
      <c r="E104" s="68"/>
      <c r="F104" s="69"/>
      <c r="G104" s="69"/>
      <c r="H104" s="71">
        <f t="shared" si="4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'19-5-26'!I105</f>
        <v>0</v>
      </c>
      <c r="E105" s="68"/>
      <c r="F105" s="69"/>
      <c r="G105" s="69"/>
      <c r="H105" s="71">
        <f t="shared" si="4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'19-5-26'!I106</f>
        <v>0</v>
      </c>
      <c r="E106" s="68"/>
      <c r="F106" s="69"/>
      <c r="G106" s="69"/>
      <c r="H106" s="71">
        <f t="shared" si="4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'19-5-26'!I107</f>
        <v>0</v>
      </c>
      <c r="E107" s="68"/>
      <c r="F107" s="69"/>
      <c r="G107" s="69"/>
      <c r="H107" s="71">
        <f t="shared" si="4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'19-5-26'!I108</f>
        <v>0</v>
      </c>
      <c r="E108" s="68"/>
      <c r="F108" s="69"/>
      <c r="G108" s="69"/>
      <c r="H108" s="71">
        <f t="shared" si="4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'19-5-26'!I109</f>
        <v>0</v>
      </c>
      <c r="E109" s="68"/>
      <c r="F109" s="69"/>
      <c r="G109" s="69"/>
      <c r="H109" s="71">
        <f t="shared" si="4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'19-5-26'!I110</f>
        <v>0</v>
      </c>
      <c r="E110" s="68"/>
      <c r="F110" s="69"/>
      <c r="G110" s="69"/>
      <c r="H110" s="71">
        <f t="shared" si="4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'19-5-26'!I111</f>
        <v>0</v>
      </c>
      <c r="E111" s="68"/>
      <c r="F111" s="69"/>
      <c r="G111" s="69"/>
      <c r="H111" s="71">
        <f t="shared" si="4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'19-5-26'!I112</f>
        <v>0</v>
      </c>
      <c r="E112" s="68"/>
      <c r="F112" s="69"/>
      <c r="G112" s="69"/>
      <c r="H112" s="71">
        <f t="shared" si="4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'19-5-26'!I113</f>
        <v>0</v>
      </c>
      <c r="E113" s="68"/>
      <c r="F113" s="69"/>
      <c r="G113" s="69"/>
      <c r="H113" s="71">
        <f t="shared" si="4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'19-5-26'!I114</f>
        <v>0</v>
      </c>
      <c r="E114" s="68"/>
      <c r="F114" s="69"/>
      <c r="G114" s="69"/>
      <c r="H114" s="71">
        <f t="shared" si="4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'19-5-26'!I115</f>
        <v>0</v>
      </c>
      <c r="E115" s="68"/>
      <c r="F115" s="69"/>
      <c r="G115" s="69"/>
      <c r="H115" s="71">
        <f t="shared" si="4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'19-5-26'!I116</f>
        <v>0</v>
      </c>
      <c r="E116" s="68"/>
      <c r="F116" s="69"/>
      <c r="G116" s="69"/>
      <c r="H116" s="71">
        <f t="shared" si="4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'19-5-26'!I117</f>
        <v>0</v>
      </c>
      <c r="E117" s="68"/>
      <c r="F117" s="69"/>
      <c r="G117" s="69"/>
      <c r="H117" s="71">
        <f t="shared" si="4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'19-5-26'!I118</f>
        <v>0</v>
      </c>
      <c r="E118" s="68"/>
      <c r="F118" s="69"/>
      <c r="G118" s="69"/>
      <c r="H118" s="71">
        <f t="shared" si="4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'19-5-26'!I119</f>
        <v>0</v>
      </c>
      <c r="E119" s="68"/>
      <c r="F119" s="69"/>
      <c r="G119" s="69"/>
      <c r="H119" s="71">
        <f t="shared" si="4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'19-5-26'!I120</f>
        <v>0</v>
      </c>
      <c r="E120" s="68"/>
      <c r="F120" s="69"/>
      <c r="G120" s="69"/>
      <c r="H120" s="71">
        <f t="shared" si="4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'19-5-26'!I121</f>
        <v>0</v>
      </c>
      <c r="E121" s="68"/>
      <c r="F121" s="69"/>
      <c r="G121" s="69"/>
      <c r="H121" s="71">
        <f t="shared" si="4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'19-5-26'!I122</f>
        <v>0</v>
      </c>
      <c r="E122" s="68"/>
      <c r="F122" s="69"/>
      <c r="G122" s="69"/>
      <c r="H122" s="71">
        <f t="shared" si="4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'19-5-26'!I123</f>
        <v>0</v>
      </c>
      <c r="E123" s="68"/>
      <c r="F123" s="69"/>
      <c r="G123" s="69"/>
      <c r="H123" s="71">
        <f t="shared" si="4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'19-5-26'!I124</f>
        <v>0</v>
      </c>
      <c r="E124" s="68"/>
      <c r="F124" s="69"/>
      <c r="G124" s="69"/>
      <c r="H124" s="71">
        <f t="shared" si="4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'19-5-26'!I125</f>
        <v>0</v>
      </c>
      <c r="E125" s="68"/>
      <c r="F125" s="69"/>
      <c r="G125" s="69"/>
      <c r="H125" s="71">
        <f t="shared" si="4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'19-5-26'!I126</f>
        <v>0</v>
      </c>
      <c r="E126" s="68"/>
      <c r="F126" s="69"/>
      <c r="G126" s="69"/>
      <c r="H126" s="71">
        <f t="shared" si="4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'19-5-26'!I127</f>
        <v>0</v>
      </c>
      <c r="E127" s="68"/>
      <c r="F127" s="69"/>
      <c r="G127" s="69"/>
      <c r="H127" s="71">
        <f t="shared" si="4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'19-5-26'!I128</f>
        <v>0</v>
      </c>
      <c r="E128" s="68"/>
      <c r="F128" s="69"/>
      <c r="G128" s="69"/>
      <c r="H128" s="71">
        <f t="shared" si="4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'19-5-26'!I129</f>
        <v>0</v>
      </c>
      <c r="E129" s="68"/>
      <c r="F129" s="69"/>
      <c r="G129" s="69"/>
      <c r="H129" s="71">
        <f t="shared" si="4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'19-5-26'!I130</f>
        <v>0</v>
      </c>
      <c r="E130" s="68"/>
      <c r="F130" s="69"/>
      <c r="G130" s="69"/>
      <c r="H130" s="71">
        <f t="shared" si="4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'19-5-26'!I131</f>
        <v>0</v>
      </c>
      <c r="E131" s="68"/>
      <c r="F131" s="69"/>
      <c r="G131" s="69"/>
      <c r="H131" s="71">
        <f t="shared" si="4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'19-5-26'!I132</f>
        <v>0</v>
      </c>
      <c r="E132" s="68"/>
      <c r="F132" s="69"/>
      <c r="G132" s="69"/>
      <c r="H132" s="71">
        <f t="shared" si="4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'19-5-26'!I133</f>
        <v>0</v>
      </c>
      <c r="E133" s="68"/>
      <c r="F133" s="69"/>
      <c r="G133" s="69"/>
      <c r="H133" s="71">
        <f t="shared" si="4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'19-5-26'!I134</f>
        <v>0</v>
      </c>
      <c r="E134" s="68"/>
      <c r="F134" s="69"/>
      <c r="G134" s="69"/>
      <c r="H134" s="71">
        <f t="shared" si="4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'19-5-26'!I135</f>
        <v>0</v>
      </c>
      <c r="E135" s="68"/>
      <c r="F135" s="69"/>
      <c r="G135" s="69"/>
      <c r="H135" s="71">
        <f t="shared" si="4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'19-5-26'!I136</f>
        <v>0</v>
      </c>
      <c r="E136" s="68"/>
      <c r="F136" s="69"/>
      <c r="G136" s="69"/>
      <c r="H136" s="71">
        <f t="shared" si="4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'19-5-26'!I137</f>
        <v>0</v>
      </c>
      <c r="E137" s="68"/>
      <c r="F137" s="69"/>
      <c r="G137" s="69"/>
      <c r="H137" s="71">
        <f t="shared" si="4"/>
        <v>0</v>
      </c>
      <c r="I137" s="71">
        <f t="shared" si="5"/>
        <v>0</v>
      </c>
      <c r="J137" s="69">
        <f t="shared" si="6"/>
        <v>0</v>
      </c>
    </row>
    <row r="138" s="45" customFormat="1" ht="12.75" customHeight="1" spans="1:10">
      <c r="A138" s="68"/>
      <c r="B138" s="69"/>
      <c r="C138" s="70"/>
      <c r="D138" s="71">
        <f>'19-5-26'!I138</f>
        <v>0</v>
      </c>
      <c r="E138" s="68"/>
      <c r="F138" s="69"/>
      <c r="G138" s="69"/>
      <c r="H138" s="71">
        <f t="shared" ref="H138:H187" si="7">SUM(F138:G138)</f>
        <v>0</v>
      </c>
      <c r="I138" s="71">
        <f t="shared" ref="I138:I187" si="8">D138-F138</f>
        <v>0</v>
      </c>
      <c r="J138" s="69">
        <f t="shared" ref="J138:J187" si="9">1/10*G138</f>
        <v>0</v>
      </c>
    </row>
    <row r="139" s="45" customFormat="1" ht="12.75" customHeight="1" spans="1:10">
      <c r="A139" s="68"/>
      <c r="B139" s="69"/>
      <c r="C139" s="70"/>
      <c r="D139" s="71">
        <f>'19-5-26'!I139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'19-5-26'!I140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'19-5-26'!I141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'19-5-26'!I142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'19-5-26'!I143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'19-5-26'!I144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'19-5-26'!I145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'19-5-26'!I146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'19-5-26'!I147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'19-5-26'!I148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'19-5-26'!I149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'19-5-26'!I150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'19-5-26'!I151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'19-5-26'!I152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'19-5-26'!I153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'19-5-26'!I154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'19-5-26'!I155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'19-5-26'!I156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'19-5-26'!I157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'19-5-26'!I158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'19-5-26'!I159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'19-5-26'!I160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'19-5-26'!I161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'19-5-26'!I162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'19-5-26'!I163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'19-5-26'!I164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'19-5-26'!I165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'19-5-26'!I166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'19-5-26'!I167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'19-5-26'!I168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'19-5-26'!I169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'19-5-26'!I170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'19-5-26'!I171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'19-5-26'!I172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'19-5-26'!I173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'19-5-26'!I174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'19-5-26'!I175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'19-5-26'!I176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'19-5-26'!I177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'19-5-26'!I178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'19-5-26'!I179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'19-5-26'!I180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'19-5-26'!I181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'19-5-26'!I182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'19-5-26'!I183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'19-5-26'!I184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'19-5-26'!I185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'19-5-26'!I186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'19-5-26'!I187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464362000</v>
      </c>
      <c r="E188" s="79">
        <f t="shared" si="10"/>
        <v>28</v>
      </c>
      <c r="F188" s="78">
        <f t="shared" si="10"/>
        <v>1450000</v>
      </c>
      <c r="G188" s="78">
        <f t="shared" si="10"/>
        <v>810000</v>
      </c>
      <c r="H188" s="78">
        <f t="shared" si="10"/>
        <v>2260000</v>
      </c>
      <c r="I188" s="78">
        <f t="shared" si="10"/>
        <v>462912000</v>
      </c>
      <c r="J188" s="78">
        <f t="shared" si="10"/>
        <v>81000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810000</v>
      </c>
      <c r="E191" s="47"/>
      <c r="F191" s="129" t="s">
        <v>213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40500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445500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20250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20250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20250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20250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81000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202500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810000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7"/>
  <sheetViews>
    <sheetView topLeftCell="A82" workbookViewId="0">
      <selection activeCell="A91" sqref="A91:J94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214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'26-5-26'!I9</f>
        <v>5500000</v>
      </c>
      <c r="E9" s="68"/>
      <c r="F9" s="69"/>
      <c r="G9" s="69"/>
      <c r="H9" s="71">
        <f t="shared" ref="H9:H35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'26-5-26'!I10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'26-5-26'!I11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'26-5-26'!I12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'26-5-26'!I13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'26-5-26'!I14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'26-5-26'!I15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'26-5-26'!I16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'26-5-26'!I17</f>
        <v>5800000</v>
      </c>
      <c r="E17" s="68"/>
      <c r="F17" s="69"/>
      <c r="G17" s="69"/>
      <c r="H17" s="71">
        <f t="shared" si="0"/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'26-5-26'!I18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'26-5-26'!I19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'26-5-26'!I20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'26-5-26'!I21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'26-5-26'!I22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'26-5-26'!I23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'26-5-26'!I24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'26-5-26'!I25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'26-5-26'!I26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'26-5-26'!I27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'26-5-26'!I28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'26-5-26'!I29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'26-5-26'!I30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'26-5-26'!I31</f>
        <v>500000</v>
      </c>
      <c r="E31" s="68"/>
      <c r="F31" s="69"/>
      <c r="G31" s="69"/>
      <c r="H31" s="71">
        <f t="shared" si="0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'26-5-26'!I32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'26-5-26'!I33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'26-5-26'!I34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'26-5-26'!I35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'26-5-26'!I36</f>
        <v>5000000</v>
      </c>
      <c r="E36" s="68"/>
      <c r="F36" s="69"/>
      <c r="G36" s="69"/>
      <c r="H36" s="71">
        <f t="shared" ref="H36:H67" si="3">SUM(F36:G36)</f>
        <v>0</v>
      </c>
      <c r="I36" s="71">
        <f t="shared" si="1"/>
        <v>5000000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'26-5-26'!I37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'26-5-26'!I38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'26-5-26'!I39</f>
        <v>13690000</v>
      </c>
      <c r="E39" s="68"/>
      <c r="F39" s="69"/>
      <c r="G39" s="69"/>
      <c r="H39" s="71">
        <f t="shared" si="3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'26-5-26'!I40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'26-5-26'!I41</f>
        <v>1500000</v>
      </c>
      <c r="E41" s="68"/>
      <c r="F41" s="69"/>
      <c r="G41" s="69"/>
      <c r="H41" s="71">
        <f t="shared" si="3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'26-5-26'!I42</f>
        <v>1050000</v>
      </c>
      <c r="E42" s="68"/>
      <c r="F42" s="69"/>
      <c r="G42" s="69"/>
      <c r="H42" s="71">
        <f t="shared" si="3"/>
        <v>0</v>
      </c>
      <c r="I42" s="71">
        <f t="shared" si="1"/>
        <v>1050000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'26-5-26'!I43</f>
        <v>4500000</v>
      </c>
      <c r="E43" s="68"/>
      <c r="F43" s="69"/>
      <c r="G43" s="69"/>
      <c r="H43" s="71">
        <f t="shared" si="3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'26-5-26'!I44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'26-5-26'!I45</f>
        <v>10875000</v>
      </c>
      <c r="E45" s="68"/>
      <c r="F45" s="69"/>
      <c r="G45" s="69"/>
      <c r="H45" s="71">
        <f t="shared" si="3"/>
        <v>0</v>
      </c>
      <c r="I45" s="71">
        <f t="shared" si="1"/>
        <v>10875000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'26-5-26'!I46</f>
        <v>0</v>
      </c>
      <c r="E46" s="68"/>
      <c r="F46" s="69"/>
      <c r="G46" s="69"/>
      <c r="H46" s="71">
        <f t="shared" si="3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'26-5-26'!I47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'26-5-26'!I48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'26-5-26'!I49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'26-5-26'!I50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'26-5-26'!I51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'26-5-26'!I52</f>
        <v>24600000</v>
      </c>
      <c r="E52" s="68"/>
      <c r="F52" s="69"/>
      <c r="G52" s="69"/>
      <c r="H52" s="71">
        <f t="shared" si="3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'26-5-26'!I53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'26-5-26'!I54</f>
        <v>4200000</v>
      </c>
      <c r="E54" s="68"/>
      <c r="F54" s="69"/>
      <c r="G54" s="69"/>
      <c r="H54" s="71">
        <f t="shared" si="3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'26-5-26'!I55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'26-5-26'!I56</f>
        <v>0</v>
      </c>
      <c r="E56" s="68"/>
      <c r="F56" s="69"/>
      <c r="G56" s="69"/>
      <c r="H56" s="71">
        <f t="shared" si="3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'26-5-26'!I57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'26-5-26'!I58</f>
        <v>0</v>
      </c>
      <c r="E58" s="68"/>
      <c r="F58" s="69"/>
      <c r="G58" s="69"/>
      <c r="H58" s="71">
        <f t="shared" si="3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'26-5-26'!I59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'26-5-26'!I60</f>
        <v>2750000</v>
      </c>
      <c r="E60" s="68"/>
      <c r="F60" s="69"/>
      <c r="G60" s="69"/>
      <c r="H60" s="71">
        <f t="shared" si="3"/>
        <v>0</v>
      </c>
      <c r="I60" s="71">
        <f t="shared" si="1"/>
        <v>2750000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'26-5-26'!I61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'26-5-26'!I62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'26-5-26'!I63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'26-5-26'!I64</f>
        <v>0</v>
      </c>
      <c r="E64" s="68"/>
      <c r="F64" s="69"/>
      <c r="G64" s="69"/>
      <c r="H64" s="71">
        <f t="shared" si="3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'26-5-26'!I65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'26-5-26'!I66</f>
        <v>50000</v>
      </c>
      <c r="E66" s="68">
        <v>10</v>
      </c>
      <c r="F66" s="69">
        <v>50000</v>
      </c>
      <c r="G66" s="69">
        <v>10000</v>
      </c>
      <c r="H66" s="71">
        <f t="shared" si="3"/>
        <v>60000</v>
      </c>
      <c r="I66" s="71">
        <f t="shared" si="1"/>
        <v>0</v>
      </c>
      <c r="J66" s="69">
        <f t="shared" si="2"/>
        <v>1000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'26-5-26'!I67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'26-5-26'!I68</f>
        <v>3400000</v>
      </c>
      <c r="E68" s="68"/>
      <c r="F68" s="69"/>
      <c r="G68" s="69"/>
      <c r="H68" s="71">
        <f t="shared" ref="H68:H85" si="4">SUM(F68:G68)</f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'26-5-26'!I69</f>
        <v>50000000</v>
      </c>
      <c r="E69" s="68"/>
      <c r="F69" s="69"/>
      <c r="G69" s="69"/>
      <c r="H69" s="71">
        <f t="shared" si="4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'26-5-26'!I70</f>
        <v>1000000</v>
      </c>
      <c r="E70" s="68"/>
      <c r="F70" s="69"/>
      <c r="G70" s="69"/>
      <c r="H70" s="71">
        <f t="shared" si="4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'26-5-26'!I71</f>
        <v>1500000</v>
      </c>
      <c r="E71" s="68"/>
      <c r="F71" s="69"/>
      <c r="G71" s="69"/>
      <c r="H71" s="71">
        <f t="shared" si="4"/>
        <v>0</v>
      </c>
      <c r="I71" s="71">
        <f t="shared" si="1"/>
        <v>1500000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'26-5-26'!I72</f>
        <v>1600000</v>
      </c>
      <c r="E72" s="68"/>
      <c r="F72" s="69"/>
      <c r="G72" s="69"/>
      <c r="H72" s="71">
        <f t="shared" si="4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f>'26-5-26'!I73</f>
        <v>5000000</v>
      </c>
      <c r="E73" s="69">
        <v>1</v>
      </c>
      <c r="F73" s="69">
        <v>5000000</v>
      </c>
      <c r="G73" s="69">
        <v>450000</v>
      </c>
      <c r="H73" s="71">
        <f t="shared" si="4"/>
        <v>5450000</v>
      </c>
      <c r="I73" s="71">
        <f t="shared" ref="I73:I85" si="5">D73-F73</f>
        <v>0</v>
      </c>
      <c r="J73" s="69">
        <f t="shared" ref="J73:J85" si="6">1/10*G73</f>
        <v>45000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'26-5-26'!I74</f>
        <v>0</v>
      </c>
      <c r="E74" s="68"/>
      <c r="F74" s="69"/>
      <c r="G74" s="69"/>
      <c r="H74" s="71">
        <f t="shared" si="4"/>
        <v>0</v>
      </c>
      <c r="I74" s="71">
        <f t="shared" si="5"/>
        <v>0</v>
      </c>
      <c r="J74" s="69">
        <f t="shared" si="6"/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'26-5-26'!I75</f>
        <v>2400000</v>
      </c>
      <c r="E75" s="68"/>
      <c r="F75" s="69"/>
      <c r="G75" s="69"/>
      <c r="H75" s="71">
        <f t="shared" si="4"/>
        <v>0</v>
      </c>
      <c r="I75" s="71">
        <f t="shared" si="5"/>
        <v>2400000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'26-5-26'!I76</f>
        <v>880000</v>
      </c>
      <c r="E76" s="68"/>
      <c r="F76" s="69"/>
      <c r="G76" s="69"/>
      <c r="H76" s="71">
        <f t="shared" si="4"/>
        <v>0</v>
      </c>
      <c r="I76" s="71">
        <f t="shared" si="5"/>
        <v>880000</v>
      </c>
      <c r="J76" s="69">
        <f t="shared" si="6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'26-5-26'!I77</f>
        <v>4500000</v>
      </c>
      <c r="E77" s="68"/>
      <c r="F77" s="69"/>
      <c r="G77" s="69"/>
      <c r="H77" s="71">
        <f t="shared" si="4"/>
        <v>0</v>
      </c>
      <c r="I77" s="71">
        <f t="shared" si="5"/>
        <v>4500000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'26-5-26'!I78</f>
        <v>9000000</v>
      </c>
      <c r="E78" s="68">
        <v>3</v>
      </c>
      <c r="F78" s="69">
        <v>500000</v>
      </c>
      <c r="G78" s="69">
        <v>200000</v>
      </c>
      <c r="H78" s="71">
        <f t="shared" si="4"/>
        <v>700000</v>
      </c>
      <c r="I78" s="71">
        <f t="shared" si="5"/>
        <v>8500000</v>
      </c>
      <c r="J78" s="69">
        <f t="shared" si="6"/>
        <v>20000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'26-5-26'!I79</f>
        <v>2100000</v>
      </c>
      <c r="E79" s="68"/>
      <c r="F79" s="69"/>
      <c r="G79" s="69"/>
      <c r="H79" s="71">
        <f t="shared" si="4"/>
        <v>0</v>
      </c>
      <c r="I79" s="71">
        <f t="shared" si="5"/>
        <v>2100000</v>
      </c>
      <c r="J79" s="69">
        <f t="shared" si="6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'26-5-26'!I80</f>
        <v>700000</v>
      </c>
      <c r="E80" s="68"/>
      <c r="F80" s="69"/>
      <c r="G80" s="69"/>
      <c r="H80" s="71">
        <f t="shared" si="4"/>
        <v>0</v>
      </c>
      <c r="I80" s="71">
        <f t="shared" si="5"/>
        <v>700000</v>
      </c>
      <c r="J80" s="69">
        <f t="shared" si="6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'26-5-26'!I81</f>
        <v>6300000</v>
      </c>
      <c r="E81" s="68"/>
      <c r="F81" s="69"/>
      <c r="G81" s="69"/>
      <c r="H81" s="71">
        <f t="shared" si="4"/>
        <v>0</v>
      </c>
      <c r="I81" s="71">
        <f t="shared" si="5"/>
        <v>6300000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'26-5-26'!I82</f>
        <v>800000</v>
      </c>
      <c r="E82" s="69"/>
      <c r="F82" s="69"/>
      <c r="G82" s="69"/>
      <c r="H82" s="71">
        <f t="shared" si="4"/>
        <v>0</v>
      </c>
      <c r="I82" s="71">
        <f t="shared" si="5"/>
        <v>800000</v>
      </c>
      <c r="J82" s="69">
        <f t="shared" si="6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'26-5-26'!I83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'26-5-26'!I84</f>
        <v>350000</v>
      </c>
      <c r="E84" s="68">
        <v>4</v>
      </c>
      <c r="F84" s="69">
        <v>350000</v>
      </c>
      <c r="G84" s="69">
        <v>10000</v>
      </c>
      <c r="H84" s="71">
        <f t="shared" si="4"/>
        <v>360000</v>
      </c>
      <c r="I84" s="71">
        <f t="shared" si="5"/>
        <v>0</v>
      </c>
      <c r="J84" s="69">
        <f t="shared" si="6"/>
        <v>1000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'26-5-26'!I85</f>
        <v>5000000</v>
      </c>
      <c r="E85" s="68"/>
      <c r="F85" s="69"/>
      <c r="G85" s="69"/>
      <c r="H85" s="71">
        <f t="shared" si="4"/>
        <v>0</v>
      </c>
      <c r="I85" s="71">
        <f t="shared" si="5"/>
        <v>5000000</v>
      </c>
      <c r="J85" s="69">
        <f t="shared" si="6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'26-5-26'!I86</f>
        <v>1000000</v>
      </c>
      <c r="E86" s="68"/>
      <c r="F86" s="69"/>
      <c r="G86" s="69"/>
      <c r="H86" s="71">
        <f t="shared" ref="H86:H91" si="7">SUM(F86:G86)</f>
        <v>0</v>
      </c>
      <c r="I86" s="71">
        <f t="shared" ref="I86:I91" si="8">D86-F86</f>
        <v>1000000</v>
      </c>
      <c r="J86" s="69">
        <f t="shared" ref="J86:J91" si="9">1/10*G86</f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'26-5-26'!I87</f>
        <v>500000</v>
      </c>
      <c r="E87" s="68"/>
      <c r="F87" s="69"/>
      <c r="G87" s="69"/>
      <c r="H87" s="71">
        <f t="shared" si="7"/>
        <v>0</v>
      </c>
      <c r="I87" s="71">
        <f t="shared" si="8"/>
        <v>500000</v>
      </c>
      <c r="J87" s="69">
        <f t="shared" si="9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'26-5-26'!I88</f>
        <v>3000000</v>
      </c>
      <c r="E88" s="68"/>
      <c r="F88" s="69"/>
      <c r="G88" s="69"/>
      <c r="H88" s="71">
        <f t="shared" si="7"/>
        <v>0</v>
      </c>
      <c r="I88" s="71">
        <f t="shared" si="8"/>
        <v>3000000</v>
      </c>
      <c r="J88" s="69">
        <f t="shared" si="9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'26-5-26'!I89</f>
        <v>10000000</v>
      </c>
      <c r="E89" s="68"/>
      <c r="F89" s="69"/>
      <c r="G89" s="69"/>
      <c r="H89" s="71">
        <f t="shared" si="7"/>
        <v>0</v>
      </c>
      <c r="I89" s="71">
        <f t="shared" si="8"/>
        <v>10000000</v>
      </c>
      <c r="J89" s="69">
        <f t="shared" si="9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v>2000000</v>
      </c>
      <c r="E90" s="68"/>
      <c r="F90" s="69"/>
      <c r="G90" s="69"/>
      <c r="H90" s="71">
        <f t="shared" si="7"/>
        <v>0</v>
      </c>
      <c r="I90" s="71">
        <f t="shared" si="8"/>
        <v>2000000</v>
      </c>
      <c r="J90" s="69">
        <f t="shared" si="9"/>
        <v>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v>5000000</v>
      </c>
      <c r="E91" s="68"/>
      <c r="F91" s="69"/>
      <c r="G91" s="69"/>
      <c r="H91" s="71">
        <f t="shared" si="7"/>
        <v>0</v>
      </c>
      <c r="I91" s="71">
        <f t="shared" si="8"/>
        <v>5000000</v>
      </c>
      <c r="J91" s="69">
        <f t="shared" si="9"/>
        <v>0</v>
      </c>
    </row>
    <row r="92" s="45" customFormat="1" ht="12.75" customHeight="1" spans="1:10">
      <c r="A92" s="68">
        <v>84</v>
      </c>
      <c r="B92" s="69" t="s">
        <v>121</v>
      </c>
      <c r="C92" s="127" t="s">
        <v>215</v>
      </c>
      <c r="D92" s="71">
        <v>500000</v>
      </c>
      <c r="E92" s="68"/>
      <c r="F92" s="69"/>
      <c r="G92" s="69"/>
      <c r="H92" s="71">
        <f t="shared" ref="H92:H137" si="10">SUM(F92:G92)</f>
        <v>0</v>
      </c>
      <c r="I92" s="71">
        <f t="shared" ref="I92:I137" si="11">D92-F92</f>
        <v>500000</v>
      </c>
      <c r="J92" s="69">
        <f t="shared" ref="J92:J137" si="12">1/10*G92</f>
        <v>0</v>
      </c>
    </row>
    <row r="93" s="45" customFormat="1" ht="12.75" customHeight="1" spans="1:10">
      <c r="A93" s="68">
        <v>85</v>
      </c>
      <c r="B93" s="69" t="s">
        <v>117</v>
      </c>
      <c r="C93" s="127" t="s">
        <v>215</v>
      </c>
      <c r="D93" s="71">
        <v>1500000</v>
      </c>
      <c r="E93" s="68"/>
      <c r="F93" s="69"/>
      <c r="G93" s="69"/>
      <c r="H93" s="71">
        <f t="shared" si="10"/>
        <v>0</v>
      </c>
      <c r="I93" s="71">
        <f t="shared" si="11"/>
        <v>1500000</v>
      </c>
      <c r="J93" s="69">
        <f t="shared" si="12"/>
        <v>0</v>
      </c>
    </row>
    <row r="94" s="45" customFormat="1" ht="12.75" customHeight="1" spans="1:10">
      <c r="A94" s="68">
        <v>86</v>
      </c>
      <c r="B94" s="69" t="s">
        <v>163</v>
      </c>
      <c r="C94" s="127" t="s">
        <v>215</v>
      </c>
      <c r="D94" s="71">
        <v>15000000</v>
      </c>
      <c r="E94" s="68"/>
      <c r="F94" s="69"/>
      <c r="G94" s="69"/>
      <c r="H94" s="71">
        <f t="shared" si="10"/>
        <v>0</v>
      </c>
      <c r="I94" s="71">
        <f t="shared" si="11"/>
        <v>15000000</v>
      </c>
      <c r="J94" s="69">
        <f t="shared" si="12"/>
        <v>0</v>
      </c>
    </row>
    <row r="95" s="45" customFormat="1" ht="12.75" customHeight="1" spans="1:10">
      <c r="A95" s="68"/>
      <c r="B95" s="69"/>
      <c r="C95" s="70"/>
      <c r="D95" s="71"/>
      <c r="E95" s="68"/>
      <c r="F95" s="69"/>
      <c r="G95" s="69"/>
      <c r="H95" s="71">
        <f t="shared" si="10"/>
        <v>0</v>
      </c>
      <c r="I95" s="71">
        <f t="shared" si="11"/>
        <v>0</v>
      </c>
      <c r="J95" s="69">
        <f t="shared" si="12"/>
        <v>0</v>
      </c>
    </row>
    <row r="96" s="45" customFormat="1" ht="12.75" customHeight="1" spans="1:10">
      <c r="A96" s="68"/>
      <c r="B96" s="69"/>
      <c r="C96" s="70"/>
      <c r="D96" s="71"/>
      <c r="E96" s="68"/>
      <c r="F96" s="69"/>
      <c r="G96" s="69"/>
      <c r="H96" s="71">
        <f t="shared" si="10"/>
        <v>0</v>
      </c>
      <c r="I96" s="71">
        <f t="shared" si="11"/>
        <v>0</v>
      </c>
      <c r="J96" s="69">
        <f t="shared" si="12"/>
        <v>0</v>
      </c>
    </row>
    <row r="97" s="45" customFormat="1" ht="12.75" customHeight="1" spans="1:10">
      <c r="A97" s="68"/>
      <c r="B97" s="69"/>
      <c r="C97" s="70"/>
      <c r="D97" s="71">
        <f>'19-5-26'!I96</f>
        <v>0</v>
      </c>
      <c r="E97" s="68"/>
      <c r="F97" s="69"/>
      <c r="G97" s="69"/>
      <c r="H97" s="71">
        <f t="shared" si="10"/>
        <v>0</v>
      </c>
      <c r="I97" s="71">
        <f t="shared" si="11"/>
        <v>0</v>
      </c>
      <c r="J97" s="69">
        <f t="shared" si="12"/>
        <v>0</v>
      </c>
    </row>
    <row r="98" s="45" customFormat="1" ht="12.75" customHeight="1" spans="1:10">
      <c r="A98" s="68"/>
      <c r="B98" s="69"/>
      <c r="C98" s="70"/>
      <c r="D98" s="71">
        <f>'19-5-26'!I97</f>
        <v>0</v>
      </c>
      <c r="E98" s="68"/>
      <c r="F98" s="69"/>
      <c r="G98" s="69"/>
      <c r="H98" s="71">
        <f t="shared" si="10"/>
        <v>0</v>
      </c>
      <c r="I98" s="71">
        <f t="shared" si="11"/>
        <v>0</v>
      </c>
      <c r="J98" s="69">
        <f t="shared" si="12"/>
        <v>0</v>
      </c>
    </row>
    <row r="99" s="45" customFormat="1" ht="12.75" customHeight="1" spans="1:10">
      <c r="A99" s="68"/>
      <c r="B99" s="69"/>
      <c r="C99" s="70"/>
      <c r="D99" s="71">
        <f>'19-5-26'!I98</f>
        <v>0</v>
      </c>
      <c r="E99" s="68"/>
      <c r="F99" s="69"/>
      <c r="G99" s="69"/>
      <c r="H99" s="71">
        <f t="shared" si="10"/>
        <v>0</v>
      </c>
      <c r="I99" s="71">
        <f t="shared" si="11"/>
        <v>0</v>
      </c>
      <c r="J99" s="69">
        <f t="shared" si="12"/>
        <v>0</v>
      </c>
    </row>
    <row r="100" s="45" customFormat="1" ht="12.75" customHeight="1" spans="1:10">
      <c r="A100" s="68"/>
      <c r="B100" s="69"/>
      <c r="C100" s="70"/>
      <c r="D100" s="71">
        <f>'19-5-26'!I99</f>
        <v>0</v>
      </c>
      <c r="E100" s="68"/>
      <c r="F100" s="69"/>
      <c r="G100" s="69"/>
      <c r="H100" s="71">
        <f t="shared" si="10"/>
        <v>0</v>
      </c>
      <c r="I100" s="71">
        <f t="shared" si="11"/>
        <v>0</v>
      </c>
      <c r="J100" s="69">
        <f t="shared" si="12"/>
        <v>0</v>
      </c>
    </row>
    <row r="101" s="45" customFormat="1" ht="12.75" customHeight="1" spans="1:10">
      <c r="A101" s="68"/>
      <c r="B101" s="69"/>
      <c r="C101" s="70"/>
      <c r="D101" s="71">
        <f>'19-5-26'!I100</f>
        <v>0</v>
      </c>
      <c r="E101" s="68"/>
      <c r="F101" s="69"/>
      <c r="G101" s="69"/>
      <c r="H101" s="71">
        <f t="shared" si="10"/>
        <v>0</v>
      </c>
      <c r="I101" s="71">
        <f t="shared" si="11"/>
        <v>0</v>
      </c>
      <c r="J101" s="69">
        <f t="shared" si="12"/>
        <v>0</v>
      </c>
    </row>
    <row r="102" s="45" customFormat="1" ht="12.75" customHeight="1" spans="1:10">
      <c r="A102" s="68"/>
      <c r="B102" s="69"/>
      <c r="C102" s="70"/>
      <c r="D102" s="71">
        <f>'19-5-26'!I101</f>
        <v>0</v>
      </c>
      <c r="E102" s="68"/>
      <c r="F102" s="69"/>
      <c r="G102" s="69"/>
      <c r="H102" s="71">
        <f t="shared" si="10"/>
        <v>0</v>
      </c>
      <c r="I102" s="71">
        <f t="shared" si="11"/>
        <v>0</v>
      </c>
      <c r="J102" s="69">
        <f t="shared" si="12"/>
        <v>0</v>
      </c>
    </row>
    <row r="103" s="45" customFormat="1" ht="12.75" customHeight="1" spans="1:10">
      <c r="A103" s="68"/>
      <c r="B103" s="69"/>
      <c r="C103" s="70"/>
      <c r="D103" s="71">
        <f>'19-5-26'!I102</f>
        <v>0</v>
      </c>
      <c r="E103" s="68"/>
      <c r="F103" s="69"/>
      <c r="G103" s="69"/>
      <c r="H103" s="71">
        <f t="shared" si="10"/>
        <v>0</v>
      </c>
      <c r="I103" s="71">
        <f t="shared" si="11"/>
        <v>0</v>
      </c>
      <c r="J103" s="69">
        <f t="shared" si="12"/>
        <v>0</v>
      </c>
    </row>
    <row r="104" s="45" customFormat="1" ht="12.75" customHeight="1" spans="1:10">
      <c r="A104" s="68"/>
      <c r="B104" s="69"/>
      <c r="C104" s="70"/>
      <c r="D104" s="71">
        <f>'19-5-26'!I103</f>
        <v>0</v>
      </c>
      <c r="E104" s="68"/>
      <c r="F104" s="69"/>
      <c r="G104" s="69"/>
      <c r="H104" s="71">
        <f t="shared" si="10"/>
        <v>0</v>
      </c>
      <c r="I104" s="71">
        <f t="shared" si="11"/>
        <v>0</v>
      </c>
      <c r="J104" s="69">
        <f t="shared" si="12"/>
        <v>0</v>
      </c>
    </row>
    <row r="105" s="45" customFormat="1" ht="12.75" customHeight="1" spans="1:10">
      <c r="A105" s="68"/>
      <c r="B105" s="69"/>
      <c r="C105" s="70"/>
      <c r="D105" s="71">
        <f>'19-5-26'!I104</f>
        <v>0</v>
      </c>
      <c r="E105" s="68"/>
      <c r="F105" s="69"/>
      <c r="G105" s="69"/>
      <c r="H105" s="71">
        <f t="shared" si="10"/>
        <v>0</v>
      </c>
      <c r="I105" s="71">
        <f t="shared" si="11"/>
        <v>0</v>
      </c>
      <c r="J105" s="69">
        <f t="shared" si="12"/>
        <v>0</v>
      </c>
    </row>
    <row r="106" s="45" customFormat="1" ht="12.75" customHeight="1" spans="1:10">
      <c r="A106" s="68"/>
      <c r="B106" s="69"/>
      <c r="C106" s="70"/>
      <c r="D106" s="71">
        <f>'19-5-26'!I105</f>
        <v>0</v>
      </c>
      <c r="E106" s="68"/>
      <c r="F106" s="69"/>
      <c r="G106" s="69"/>
      <c r="H106" s="71">
        <f t="shared" si="10"/>
        <v>0</v>
      </c>
      <c r="I106" s="71">
        <f t="shared" si="11"/>
        <v>0</v>
      </c>
      <c r="J106" s="69">
        <f t="shared" si="12"/>
        <v>0</v>
      </c>
    </row>
    <row r="107" s="45" customFormat="1" ht="12.75" customHeight="1" spans="1:10">
      <c r="A107" s="68"/>
      <c r="B107" s="69"/>
      <c r="C107" s="70"/>
      <c r="D107" s="71">
        <f>'19-5-26'!I106</f>
        <v>0</v>
      </c>
      <c r="E107" s="68"/>
      <c r="F107" s="69"/>
      <c r="G107" s="69"/>
      <c r="H107" s="71">
        <f t="shared" si="10"/>
        <v>0</v>
      </c>
      <c r="I107" s="71">
        <f t="shared" si="11"/>
        <v>0</v>
      </c>
      <c r="J107" s="69">
        <f t="shared" si="12"/>
        <v>0</v>
      </c>
    </row>
    <row r="108" s="45" customFormat="1" ht="12.75" customHeight="1" spans="1:10">
      <c r="A108" s="68"/>
      <c r="B108" s="69"/>
      <c r="C108" s="70"/>
      <c r="D108" s="71">
        <f>'19-5-26'!I107</f>
        <v>0</v>
      </c>
      <c r="E108" s="68"/>
      <c r="F108" s="69"/>
      <c r="G108" s="69"/>
      <c r="H108" s="71">
        <f t="shared" si="10"/>
        <v>0</v>
      </c>
      <c r="I108" s="71">
        <f t="shared" si="11"/>
        <v>0</v>
      </c>
      <c r="J108" s="69">
        <f t="shared" si="12"/>
        <v>0</v>
      </c>
    </row>
    <row r="109" s="45" customFormat="1" ht="12.75" customHeight="1" spans="1:10">
      <c r="A109" s="68"/>
      <c r="B109" s="69"/>
      <c r="C109" s="70"/>
      <c r="D109" s="71">
        <f>'19-5-26'!I108</f>
        <v>0</v>
      </c>
      <c r="E109" s="68"/>
      <c r="F109" s="69"/>
      <c r="G109" s="69"/>
      <c r="H109" s="71">
        <f t="shared" si="10"/>
        <v>0</v>
      </c>
      <c r="I109" s="71">
        <f t="shared" si="11"/>
        <v>0</v>
      </c>
      <c r="J109" s="69">
        <f t="shared" si="12"/>
        <v>0</v>
      </c>
    </row>
    <row r="110" s="45" customFormat="1" ht="12.75" customHeight="1" spans="1:10">
      <c r="A110" s="68"/>
      <c r="B110" s="69"/>
      <c r="C110" s="70"/>
      <c r="D110" s="71">
        <f>'19-5-26'!I109</f>
        <v>0</v>
      </c>
      <c r="E110" s="68"/>
      <c r="F110" s="69"/>
      <c r="G110" s="69"/>
      <c r="H110" s="71">
        <f t="shared" si="10"/>
        <v>0</v>
      </c>
      <c r="I110" s="71">
        <f t="shared" si="11"/>
        <v>0</v>
      </c>
      <c r="J110" s="69">
        <f t="shared" si="12"/>
        <v>0</v>
      </c>
    </row>
    <row r="111" s="45" customFormat="1" ht="12.75" customHeight="1" spans="1:10">
      <c r="A111" s="68"/>
      <c r="B111" s="69"/>
      <c r="C111" s="70"/>
      <c r="D111" s="71">
        <f>'19-5-26'!I110</f>
        <v>0</v>
      </c>
      <c r="E111" s="68"/>
      <c r="F111" s="69"/>
      <c r="G111" s="69"/>
      <c r="H111" s="71">
        <f t="shared" si="10"/>
        <v>0</v>
      </c>
      <c r="I111" s="71">
        <f t="shared" si="11"/>
        <v>0</v>
      </c>
      <c r="J111" s="69">
        <f t="shared" si="12"/>
        <v>0</v>
      </c>
    </row>
    <row r="112" s="45" customFormat="1" ht="12.75" customHeight="1" spans="1:10">
      <c r="A112" s="68"/>
      <c r="B112" s="69"/>
      <c r="C112" s="70"/>
      <c r="D112" s="71">
        <f>'19-5-26'!I111</f>
        <v>0</v>
      </c>
      <c r="E112" s="68"/>
      <c r="F112" s="69"/>
      <c r="G112" s="69"/>
      <c r="H112" s="71">
        <f t="shared" si="10"/>
        <v>0</v>
      </c>
      <c r="I112" s="71">
        <f t="shared" si="11"/>
        <v>0</v>
      </c>
      <c r="J112" s="69">
        <f t="shared" si="12"/>
        <v>0</v>
      </c>
    </row>
    <row r="113" s="45" customFormat="1" ht="12.75" customHeight="1" spans="1:10">
      <c r="A113" s="68"/>
      <c r="B113" s="69"/>
      <c r="C113" s="70"/>
      <c r="D113" s="71">
        <f>'19-5-26'!I112</f>
        <v>0</v>
      </c>
      <c r="E113" s="68"/>
      <c r="F113" s="69"/>
      <c r="G113" s="69"/>
      <c r="H113" s="71">
        <f t="shared" si="10"/>
        <v>0</v>
      </c>
      <c r="I113" s="71">
        <f t="shared" si="11"/>
        <v>0</v>
      </c>
      <c r="J113" s="69">
        <f t="shared" si="12"/>
        <v>0</v>
      </c>
    </row>
    <row r="114" s="45" customFormat="1" ht="12.75" customHeight="1" spans="1:10">
      <c r="A114" s="68"/>
      <c r="B114" s="69"/>
      <c r="C114" s="70"/>
      <c r="D114" s="71">
        <f>'19-5-26'!I113</f>
        <v>0</v>
      </c>
      <c r="E114" s="68"/>
      <c r="F114" s="69"/>
      <c r="G114" s="69"/>
      <c r="H114" s="71">
        <f t="shared" si="10"/>
        <v>0</v>
      </c>
      <c r="I114" s="71">
        <f t="shared" si="11"/>
        <v>0</v>
      </c>
      <c r="J114" s="69">
        <f t="shared" si="12"/>
        <v>0</v>
      </c>
    </row>
    <row r="115" s="45" customFormat="1" ht="12.75" customHeight="1" spans="1:10">
      <c r="A115" s="68"/>
      <c r="B115" s="69"/>
      <c r="C115" s="70"/>
      <c r="D115" s="71">
        <f>'19-5-26'!I114</f>
        <v>0</v>
      </c>
      <c r="E115" s="68"/>
      <c r="F115" s="69"/>
      <c r="G115" s="69"/>
      <c r="H115" s="71">
        <f t="shared" si="10"/>
        <v>0</v>
      </c>
      <c r="I115" s="71">
        <f t="shared" si="11"/>
        <v>0</v>
      </c>
      <c r="J115" s="69">
        <f t="shared" si="12"/>
        <v>0</v>
      </c>
    </row>
    <row r="116" s="45" customFormat="1" ht="12.75" customHeight="1" spans="1:10">
      <c r="A116" s="68"/>
      <c r="B116" s="69"/>
      <c r="C116" s="70"/>
      <c r="D116" s="71">
        <f>'19-5-26'!I115</f>
        <v>0</v>
      </c>
      <c r="E116" s="68"/>
      <c r="F116" s="69"/>
      <c r="G116" s="69"/>
      <c r="H116" s="71">
        <f t="shared" si="10"/>
        <v>0</v>
      </c>
      <c r="I116" s="71">
        <f t="shared" si="11"/>
        <v>0</v>
      </c>
      <c r="J116" s="69">
        <f t="shared" si="12"/>
        <v>0</v>
      </c>
    </row>
    <row r="117" s="45" customFormat="1" ht="12.75" customHeight="1" spans="1:10">
      <c r="A117" s="68"/>
      <c r="B117" s="69"/>
      <c r="C117" s="70"/>
      <c r="D117" s="71">
        <f>'19-5-26'!I116</f>
        <v>0</v>
      </c>
      <c r="E117" s="68"/>
      <c r="F117" s="69"/>
      <c r="G117" s="69"/>
      <c r="H117" s="71">
        <f t="shared" si="10"/>
        <v>0</v>
      </c>
      <c r="I117" s="71">
        <f t="shared" si="11"/>
        <v>0</v>
      </c>
      <c r="J117" s="69">
        <f t="shared" si="12"/>
        <v>0</v>
      </c>
    </row>
    <row r="118" s="45" customFormat="1" ht="12.75" customHeight="1" spans="1:10">
      <c r="A118" s="68"/>
      <c r="B118" s="69"/>
      <c r="C118" s="70"/>
      <c r="D118" s="71">
        <f>'19-5-26'!I117</f>
        <v>0</v>
      </c>
      <c r="E118" s="68"/>
      <c r="F118" s="69"/>
      <c r="G118" s="69"/>
      <c r="H118" s="71">
        <f t="shared" si="10"/>
        <v>0</v>
      </c>
      <c r="I118" s="71">
        <f t="shared" si="11"/>
        <v>0</v>
      </c>
      <c r="J118" s="69">
        <f t="shared" si="12"/>
        <v>0</v>
      </c>
    </row>
    <row r="119" s="45" customFormat="1" ht="12.75" customHeight="1" spans="1:10">
      <c r="A119" s="68"/>
      <c r="B119" s="69"/>
      <c r="C119" s="70"/>
      <c r="D119" s="71">
        <f>'19-5-26'!I118</f>
        <v>0</v>
      </c>
      <c r="E119" s="68"/>
      <c r="F119" s="69"/>
      <c r="G119" s="69"/>
      <c r="H119" s="71">
        <f t="shared" si="10"/>
        <v>0</v>
      </c>
      <c r="I119" s="71">
        <f t="shared" si="11"/>
        <v>0</v>
      </c>
      <c r="J119" s="69">
        <f t="shared" si="12"/>
        <v>0</v>
      </c>
    </row>
    <row r="120" s="45" customFormat="1" ht="12.75" customHeight="1" spans="1:10">
      <c r="A120" s="68"/>
      <c r="B120" s="69"/>
      <c r="C120" s="70"/>
      <c r="D120" s="71">
        <f>'19-5-26'!I119</f>
        <v>0</v>
      </c>
      <c r="E120" s="68"/>
      <c r="F120" s="69"/>
      <c r="G120" s="69"/>
      <c r="H120" s="71">
        <f t="shared" si="10"/>
        <v>0</v>
      </c>
      <c r="I120" s="71">
        <f t="shared" si="11"/>
        <v>0</v>
      </c>
      <c r="J120" s="69">
        <f t="shared" si="12"/>
        <v>0</v>
      </c>
    </row>
    <row r="121" s="45" customFormat="1" ht="12.75" customHeight="1" spans="1:10">
      <c r="A121" s="68"/>
      <c r="B121" s="69"/>
      <c r="C121" s="70"/>
      <c r="D121" s="71">
        <f>'19-5-26'!I120</f>
        <v>0</v>
      </c>
      <c r="E121" s="68"/>
      <c r="F121" s="69"/>
      <c r="G121" s="69"/>
      <c r="H121" s="71">
        <f t="shared" si="10"/>
        <v>0</v>
      </c>
      <c r="I121" s="71">
        <f t="shared" si="11"/>
        <v>0</v>
      </c>
      <c r="J121" s="69">
        <f t="shared" si="12"/>
        <v>0</v>
      </c>
    </row>
    <row r="122" s="45" customFormat="1" ht="12.75" customHeight="1" spans="1:10">
      <c r="A122" s="68"/>
      <c r="B122" s="69"/>
      <c r="C122" s="70"/>
      <c r="D122" s="71">
        <f>'19-5-26'!I121</f>
        <v>0</v>
      </c>
      <c r="E122" s="68"/>
      <c r="F122" s="69"/>
      <c r="G122" s="69"/>
      <c r="H122" s="71">
        <f t="shared" si="10"/>
        <v>0</v>
      </c>
      <c r="I122" s="71">
        <f t="shared" si="11"/>
        <v>0</v>
      </c>
      <c r="J122" s="69">
        <f t="shared" si="12"/>
        <v>0</v>
      </c>
    </row>
    <row r="123" s="45" customFormat="1" ht="12.75" customHeight="1" spans="1:10">
      <c r="A123" s="68"/>
      <c r="B123" s="69"/>
      <c r="C123" s="70"/>
      <c r="D123" s="71">
        <f>'19-5-26'!I122</f>
        <v>0</v>
      </c>
      <c r="E123" s="68"/>
      <c r="F123" s="69"/>
      <c r="G123" s="69"/>
      <c r="H123" s="71">
        <f t="shared" si="10"/>
        <v>0</v>
      </c>
      <c r="I123" s="71">
        <f t="shared" si="11"/>
        <v>0</v>
      </c>
      <c r="J123" s="69">
        <f t="shared" si="12"/>
        <v>0</v>
      </c>
    </row>
    <row r="124" s="45" customFormat="1" ht="12.75" customHeight="1" spans="1:10">
      <c r="A124" s="68"/>
      <c r="B124" s="69"/>
      <c r="C124" s="70"/>
      <c r="D124" s="71">
        <f>'19-5-26'!I123</f>
        <v>0</v>
      </c>
      <c r="E124" s="68"/>
      <c r="F124" s="69"/>
      <c r="G124" s="69"/>
      <c r="H124" s="71">
        <f t="shared" si="10"/>
        <v>0</v>
      </c>
      <c r="I124" s="71">
        <f t="shared" si="11"/>
        <v>0</v>
      </c>
      <c r="J124" s="69">
        <f t="shared" si="12"/>
        <v>0</v>
      </c>
    </row>
    <row r="125" s="45" customFormat="1" ht="12.75" customHeight="1" spans="1:10">
      <c r="A125" s="68"/>
      <c r="B125" s="69"/>
      <c r="C125" s="70"/>
      <c r="D125" s="71">
        <f>'19-5-26'!I124</f>
        <v>0</v>
      </c>
      <c r="E125" s="68"/>
      <c r="F125" s="69"/>
      <c r="G125" s="69"/>
      <c r="H125" s="71">
        <f t="shared" si="10"/>
        <v>0</v>
      </c>
      <c r="I125" s="71">
        <f t="shared" si="11"/>
        <v>0</v>
      </c>
      <c r="J125" s="69">
        <f t="shared" si="12"/>
        <v>0</v>
      </c>
    </row>
    <row r="126" s="45" customFormat="1" ht="12.75" customHeight="1" spans="1:10">
      <c r="A126" s="68"/>
      <c r="B126" s="69"/>
      <c r="C126" s="70"/>
      <c r="D126" s="71">
        <f>'19-5-26'!I125</f>
        <v>0</v>
      </c>
      <c r="E126" s="68"/>
      <c r="F126" s="69"/>
      <c r="G126" s="69"/>
      <c r="H126" s="71">
        <f t="shared" si="10"/>
        <v>0</v>
      </c>
      <c r="I126" s="71">
        <f t="shared" si="11"/>
        <v>0</v>
      </c>
      <c r="J126" s="69">
        <f t="shared" si="12"/>
        <v>0</v>
      </c>
    </row>
    <row r="127" s="45" customFormat="1" ht="12.75" customHeight="1" spans="1:10">
      <c r="A127" s="68"/>
      <c r="B127" s="69"/>
      <c r="C127" s="70"/>
      <c r="D127" s="71">
        <f>'19-5-26'!I126</f>
        <v>0</v>
      </c>
      <c r="E127" s="68"/>
      <c r="F127" s="69"/>
      <c r="G127" s="69"/>
      <c r="H127" s="71">
        <f t="shared" si="10"/>
        <v>0</v>
      </c>
      <c r="I127" s="71">
        <f t="shared" si="11"/>
        <v>0</v>
      </c>
      <c r="J127" s="69">
        <f t="shared" si="12"/>
        <v>0</v>
      </c>
    </row>
    <row r="128" s="45" customFormat="1" ht="12.75" customHeight="1" spans="1:10">
      <c r="A128" s="68"/>
      <c r="B128" s="69"/>
      <c r="C128" s="70"/>
      <c r="D128" s="71">
        <f>'19-5-26'!I127</f>
        <v>0</v>
      </c>
      <c r="E128" s="68"/>
      <c r="F128" s="69"/>
      <c r="G128" s="69"/>
      <c r="H128" s="71">
        <f t="shared" si="10"/>
        <v>0</v>
      </c>
      <c r="I128" s="71">
        <f t="shared" si="11"/>
        <v>0</v>
      </c>
      <c r="J128" s="69">
        <f t="shared" si="12"/>
        <v>0</v>
      </c>
    </row>
    <row r="129" s="45" customFormat="1" ht="12.75" customHeight="1" spans="1:10">
      <c r="A129" s="68"/>
      <c r="B129" s="69"/>
      <c r="C129" s="70"/>
      <c r="D129" s="71">
        <f>'19-5-26'!I128</f>
        <v>0</v>
      </c>
      <c r="E129" s="68"/>
      <c r="F129" s="69"/>
      <c r="G129" s="69"/>
      <c r="H129" s="71">
        <f t="shared" si="10"/>
        <v>0</v>
      </c>
      <c r="I129" s="71">
        <f t="shared" si="11"/>
        <v>0</v>
      </c>
      <c r="J129" s="69">
        <f t="shared" si="12"/>
        <v>0</v>
      </c>
    </row>
    <row r="130" s="45" customFormat="1" ht="12.75" customHeight="1" spans="1:10">
      <c r="A130" s="68"/>
      <c r="B130" s="69"/>
      <c r="C130" s="70"/>
      <c r="D130" s="71">
        <f>'19-5-26'!I129</f>
        <v>0</v>
      </c>
      <c r="E130" s="68"/>
      <c r="F130" s="69"/>
      <c r="G130" s="69"/>
      <c r="H130" s="71">
        <f t="shared" si="10"/>
        <v>0</v>
      </c>
      <c r="I130" s="71">
        <f t="shared" si="11"/>
        <v>0</v>
      </c>
      <c r="J130" s="69">
        <f t="shared" si="12"/>
        <v>0</v>
      </c>
    </row>
    <row r="131" s="45" customFormat="1" ht="12.75" customHeight="1" spans="1:10">
      <c r="A131" s="68"/>
      <c r="B131" s="69"/>
      <c r="C131" s="70"/>
      <c r="D131" s="71">
        <f>'19-5-26'!I130</f>
        <v>0</v>
      </c>
      <c r="E131" s="68"/>
      <c r="F131" s="69"/>
      <c r="G131" s="69"/>
      <c r="H131" s="71">
        <f t="shared" si="10"/>
        <v>0</v>
      </c>
      <c r="I131" s="71">
        <f t="shared" si="11"/>
        <v>0</v>
      </c>
      <c r="J131" s="69">
        <f t="shared" si="12"/>
        <v>0</v>
      </c>
    </row>
    <row r="132" s="45" customFormat="1" ht="12.75" customHeight="1" spans="1:10">
      <c r="A132" s="68"/>
      <c r="B132" s="69"/>
      <c r="C132" s="70"/>
      <c r="D132" s="71">
        <f>'19-5-26'!I131</f>
        <v>0</v>
      </c>
      <c r="E132" s="68"/>
      <c r="F132" s="69"/>
      <c r="G132" s="69"/>
      <c r="H132" s="71">
        <f t="shared" si="10"/>
        <v>0</v>
      </c>
      <c r="I132" s="71">
        <f t="shared" si="11"/>
        <v>0</v>
      </c>
      <c r="J132" s="69">
        <f t="shared" si="12"/>
        <v>0</v>
      </c>
    </row>
    <row r="133" s="45" customFormat="1" ht="12.75" customHeight="1" spans="1:10">
      <c r="A133" s="68"/>
      <c r="B133" s="69"/>
      <c r="C133" s="70"/>
      <c r="D133" s="71">
        <f>'19-5-26'!I132</f>
        <v>0</v>
      </c>
      <c r="E133" s="68"/>
      <c r="F133" s="69"/>
      <c r="G133" s="69"/>
      <c r="H133" s="71">
        <f t="shared" si="10"/>
        <v>0</v>
      </c>
      <c r="I133" s="71">
        <f t="shared" si="11"/>
        <v>0</v>
      </c>
      <c r="J133" s="69">
        <f t="shared" si="12"/>
        <v>0</v>
      </c>
    </row>
    <row r="134" s="45" customFormat="1" ht="12.75" customHeight="1" spans="1:10">
      <c r="A134" s="68"/>
      <c r="B134" s="69"/>
      <c r="C134" s="70"/>
      <c r="D134" s="71">
        <f>'19-5-26'!I133</f>
        <v>0</v>
      </c>
      <c r="E134" s="68"/>
      <c r="F134" s="69"/>
      <c r="G134" s="69"/>
      <c r="H134" s="71">
        <f t="shared" si="10"/>
        <v>0</v>
      </c>
      <c r="I134" s="71">
        <f t="shared" si="11"/>
        <v>0</v>
      </c>
      <c r="J134" s="69">
        <f t="shared" si="12"/>
        <v>0</v>
      </c>
    </row>
    <row r="135" s="45" customFormat="1" ht="12.75" customHeight="1" spans="1:10">
      <c r="A135" s="68"/>
      <c r="B135" s="69"/>
      <c r="C135" s="70"/>
      <c r="D135" s="71">
        <f>'19-5-26'!I134</f>
        <v>0</v>
      </c>
      <c r="E135" s="68"/>
      <c r="F135" s="69"/>
      <c r="G135" s="69"/>
      <c r="H135" s="71">
        <f t="shared" si="10"/>
        <v>0</v>
      </c>
      <c r="I135" s="71">
        <f t="shared" si="11"/>
        <v>0</v>
      </c>
      <c r="J135" s="69">
        <f t="shared" si="12"/>
        <v>0</v>
      </c>
    </row>
    <row r="136" s="45" customFormat="1" ht="12.75" customHeight="1" spans="1:10">
      <c r="A136" s="68"/>
      <c r="B136" s="69"/>
      <c r="C136" s="70"/>
      <c r="D136" s="71">
        <f>'19-5-26'!I135</f>
        <v>0</v>
      </c>
      <c r="E136" s="68"/>
      <c r="F136" s="69"/>
      <c r="G136" s="69"/>
      <c r="H136" s="71">
        <f t="shared" si="10"/>
        <v>0</v>
      </c>
      <c r="I136" s="71">
        <f t="shared" si="11"/>
        <v>0</v>
      </c>
      <c r="J136" s="69">
        <f t="shared" si="12"/>
        <v>0</v>
      </c>
    </row>
    <row r="137" s="45" customFormat="1" ht="12.75" customHeight="1" spans="1:10">
      <c r="A137" s="68"/>
      <c r="B137" s="69"/>
      <c r="C137" s="70"/>
      <c r="D137" s="71">
        <f>'19-5-26'!I136</f>
        <v>0</v>
      </c>
      <c r="E137" s="68"/>
      <c r="F137" s="69"/>
      <c r="G137" s="69"/>
      <c r="H137" s="71">
        <f t="shared" si="10"/>
        <v>0</v>
      </c>
      <c r="I137" s="71">
        <f t="shared" si="11"/>
        <v>0</v>
      </c>
      <c r="J137" s="69">
        <f t="shared" si="12"/>
        <v>0</v>
      </c>
    </row>
    <row r="138" s="45" customFormat="1" ht="12.75" customHeight="1" spans="1:10">
      <c r="A138" s="68"/>
      <c r="B138" s="69"/>
      <c r="C138" s="70"/>
      <c r="D138" s="71">
        <f>'19-5-26'!I137</f>
        <v>0</v>
      </c>
      <c r="E138" s="68"/>
      <c r="F138" s="69"/>
      <c r="G138" s="69"/>
      <c r="H138" s="71">
        <f t="shared" ref="H138:H188" si="13">SUM(F138:G138)</f>
        <v>0</v>
      </c>
      <c r="I138" s="71">
        <f t="shared" ref="I138:I188" si="14">D138-F138</f>
        <v>0</v>
      </c>
      <c r="J138" s="69">
        <f t="shared" ref="J138:J188" si="15">1/10*G138</f>
        <v>0</v>
      </c>
    </row>
    <row r="139" s="45" customFormat="1" ht="12.75" customHeight="1" spans="1:10">
      <c r="A139" s="68"/>
      <c r="B139" s="69"/>
      <c r="C139" s="70"/>
      <c r="D139" s="71">
        <f>'19-5-26'!I138</f>
        <v>0</v>
      </c>
      <c r="E139" s="68"/>
      <c r="F139" s="69"/>
      <c r="G139" s="69"/>
      <c r="H139" s="71">
        <f t="shared" si="13"/>
        <v>0</v>
      </c>
      <c r="I139" s="71">
        <f t="shared" si="14"/>
        <v>0</v>
      </c>
      <c r="J139" s="69">
        <f t="shared" si="15"/>
        <v>0</v>
      </c>
    </row>
    <row r="140" s="45" customFormat="1" ht="12.75" customHeight="1" spans="1:10">
      <c r="A140" s="68"/>
      <c r="B140" s="69"/>
      <c r="C140" s="70"/>
      <c r="D140" s="71">
        <f>'19-5-26'!I139</f>
        <v>0</v>
      </c>
      <c r="E140" s="68"/>
      <c r="F140" s="69"/>
      <c r="G140" s="69"/>
      <c r="H140" s="71">
        <f t="shared" si="13"/>
        <v>0</v>
      </c>
      <c r="I140" s="71">
        <f t="shared" si="14"/>
        <v>0</v>
      </c>
      <c r="J140" s="69">
        <f t="shared" si="15"/>
        <v>0</v>
      </c>
    </row>
    <row r="141" s="45" customFormat="1" ht="12.75" customHeight="1" spans="1:10">
      <c r="A141" s="68"/>
      <c r="B141" s="69"/>
      <c r="C141" s="70"/>
      <c r="D141" s="71">
        <f>'19-5-26'!I140</f>
        <v>0</v>
      </c>
      <c r="E141" s="68"/>
      <c r="F141" s="69"/>
      <c r="G141" s="69"/>
      <c r="H141" s="71">
        <f t="shared" si="13"/>
        <v>0</v>
      </c>
      <c r="I141" s="71">
        <f t="shared" si="14"/>
        <v>0</v>
      </c>
      <c r="J141" s="69">
        <f t="shared" si="15"/>
        <v>0</v>
      </c>
    </row>
    <row r="142" s="45" customFormat="1" ht="12.75" customHeight="1" spans="1:10">
      <c r="A142" s="68"/>
      <c r="B142" s="69"/>
      <c r="C142" s="70"/>
      <c r="D142" s="71">
        <f>'19-5-26'!I141</f>
        <v>0</v>
      </c>
      <c r="E142" s="68"/>
      <c r="F142" s="69"/>
      <c r="G142" s="69"/>
      <c r="H142" s="71">
        <f t="shared" si="13"/>
        <v>0</v>
      </c>
      <c r="I142" s="71">
        <f t="shared" si="14"/>
        <v>0</v>
      </c>
      <c r="J142" s="69">
        <f t="shared" si="15"/>
        <v>0</v>
      </c>
    </row>
    <row r="143" s="45" customFormat="1" ht="12.75" customHeight="1" spans="1:10">
      <c r="A143" s="68"/>
      <c r="B143" s="69"/>
      <c r="C143" s="70"/>
      <c r="D143" s="71">
        <f>'19-5-26'!I142</f>
        <v>0</v>
      </c>
      <c r="E143" s="68"/>
      <c r="F143" s="69"/>
      <c r="G143" s="69"/>
      <c r="H143" s="71">
        <f t="shared" si="13"/>
        <v>0</v>
      </c>
      <c r="I143" s="71">
        <f t="shared" si="14"/>
        <v>0</v>
      </c>
      <c r="J143" s="69">
        <f t="shared" si="15"/>
        <v>0</v>
      </c>
    </row>
    <row r="144" s="45" customFormat="1" ht="12.75" customHeight="1" spans="1:10">
      <c r="A144" s="68"/>
      <c r="B144" s="69"/>
      <c r="C144" s="70"/>
      <c r="D144" s="71">
        <f>'19-5-26'!I143</f>
        <v>0</v>
      </c>
      <c r="E144" s="68"/>
      <c r="F144" s="69"/>
      <c r="G144" s="69"/>
      <c r="H144" s="71">
        <f t="shared" si="13"/>
        <v>0</v>
      </c>
      <c r="I144" s="71">
        <f t="shared" si="14"/>
        <v>0</v>
      </c>
      <c r="J144" s="69">
        <f t="shared" si="15"/>
        <v>0</v>
      </c>
    </row>
    <row r="145" s="45" customFormat="1" ht="12.75" customHeight="1" spans="1:10">
      <c r="A145" s="68"/>
      <c r="B145" s="69"/>
      <c r="C145" s="70"/>
      <c r="D145" s="71">
        <f>'19-5-26'!I144</f>
        <v>0</v>
      </c>
      <c r="E145" s="68"/>
      <c r="F145" s="69"/>
      <c r="G145" s="69"/>
      <c r="H145" s="71">
        <f t="shared" si="13"/>
        <v>0</v>
      </c>
      <c r="I145" s="71">
        <f t="shared" si="14"/>
        <v>0</v>
      </c>
      <c r="J145" s="69">
        <f t="shared" si="15"/>
        <v>0</v>
      </c>
    </row>
    <row r="146" s="45" customFormat="1" ht="12.75" customHeight="1" spans="1:10">
      <c r="A146" s="68"/>
      <c r="B146" s="69"/>
      <c r="C146" s="70"/>
      <c r="D146" s="71">
        <f>'19-5-26'!I145</f>
        <v>0</v>
      </c>
      <c r="E146" s="68"/>
      <c r="F146" s="69"/>
      <c r="G146" s="69"/>
      <c r="H146" s="71">
        <f t="shared" si="13"/>
        <v>0</v>
      </c>
      <c r="I146" s="71">
        <f t="shared" si="14"/>
        <v>0</v>
      </c>
      <c r="J146" s="69">
        <f t="shared" si="15"/>
        <v>0</v>
      </c>
    </row>
    <row r="147" s="45" customFormat="1" ht="12.75" customHeight="1" spans="1:10">
      <c r="A147" s="68"/>
      <c r="B147" s="69"/>
      <c r="C147" s="70"/>
      <c r="D147" s="71">
        <f>'19-5-26'!I146</f>
        <v>0</v>
      </c>
      <c r="E147" s="68"/>
      <c r="F147" s="69"/>
      <c r="G147" s="69"/>
      <c r="H147" s="71">
        <f t="shared" si="13"/>
        <v>0</v>
      </c>
      <c r="I147" s="71">
        <f t="shared" si="14"/>
        <v>0</v>
      </c>
      <c r="J147" s="69">
        <f t="shared" si="15"/>
        <v>0</v>
      </c>
    </row>
    <row r="148" s="45" customFormat="1" ht="12.75" customHeight="1" spans="1:10">
      <c r="A148" s="68"/>
      <c r="B148" s="69"/>
      <c r="C148" s="70"/>
      <c r="D148" s="71">
        <f>'19-5-26'!I147</f>
        <v>0</v>
      </c>
      <c r="E148" s="68"/>
      <c r="F148" s="69"/>
      <c r="G148" s="69"/>
      <c r="H148" s="71">
        <f t="shared" si="13"/>
        <v>0</v>
      </c>
      <c r="I148" s="71">
        <f t="shared" si="14"/>
        <v>0</v>
      </c>
      <c r="J148" s="69">
        <f t="shared" si="15"/>
        <v>0</v>
      </c>
    </row>
    <row r="149" s="45" customFormat="1" ht="12.75" customHeight="1" spans="1:10">
      <c r="A149" s="68"/>
      <c r="B149" s="69"/>
      <c r="C149" s="70"/>
      <c r="D149" s="71">
        <f>'19-5-26'!I148</f>
        <v>0</v>
      </c>
      <c r="E149" s="68"/>
      <c r="F149" s="69"/>
      <c r="G149" s="69"/>
      <c r="H149" s="71">
        <f t="shared" si="13"/>
        <v>0</v>
      </c>
      <c r="I149" s="71">
        <f t="shared" si="14"/>
        <v>0</v>
      </c>
      <c r="J149" s="69">
        <f t="shared" si="15"/>
        <v>0</v>
      </c>
    </row>
    <row r="150" s="45" customFormat="1" ht="12.75" customHeight="1" spans="1:10">
      <c r="A150" s="68"/>
      <c r="B150" s="69"/>
      <c r="C150" s="70"/>
      <c r="D150" s="71">
        <f>'19-5-26'!I149</f>
        <v>0</v>
      </c>
      <c r="E150" s="68"/>
      <c r="F150" s="69"/>
      <c r="G150" s="69"/>
      <c r="H150" s="71">
        <f t="shared" si="13"/>
        <v>0</v>
      </c>
      <c r="I150" s="71">
        <f t="shared" si="14"/>
        <v>0</v>
      </c>
      <c r="J150" s="69">
        <f t="shared" si="15"/>
        <v>0</v>
      </c>
    </row>
    <row r="151" s="45" customFormat="1" ht="12.75" customHeight="1" spans="1:10">
      <c r="A151" s="68"/>
      <c r="B151" s="69"/>
      <c r="C151" s="70"/>
      <c r="D151" s="71">
        <f>'19-5-26'!I150</f>
        <v>0</v>
      </c>
      <c r="E151" s="68"/>
      <c r="F151" s="69"/>
      <c r="G151" s="69"/>
      <c r="H151" s="71">
        <f t="shared" si="13"/>
        <v>0</v>
      </c>
      <c r="I151" s="71">
        <f t="shared" si="14"/>
        <v>0</v>
      </c>
      <c r="J151" s="69">
        <f t="shared" si="15"/>
        <v>0</v>
      </c>
    </row>
    <row r="152" s="45" customFormat="1" ht="12.75" customHeight="1" spans="1:10">
      <c r="A152" s="68"/>
      <c r="B152" s="69"/>
      <c r="C152" s="70"/>
      <c r="D152" s="71">
        <f>'19-5-26'!I151</f>
        <v>0</v>
      </c>
      <c r="E152" s="68"/>
      <c r="F152" s="69"/>
      <c r="G152" s="69"/>
      <c r="H152" s="71">
        <f t="shared" si="13"/>
        <v>0</v>
      </c>
      <c r="I152" s="71">
        <f t="shared" si="14"/>
        <v>0</v>
      </c>
      <c r="J152" s="69">
        <f t="shared" si="15"/>
        <v>0</v>
      </c>
    </row>
    <row r="153" s="45" customFormat="1" ht="12.75" customHeight="1" spans="1:10">
      <c r="A153" s="68"/>
      <c r="B153" s="69"/>
      <c r="C153" s="70"/>
      <c r="D153" s="71">
        <f>'19-5-26'!I152</f>
        <v>0</v>
      </c>
      <c r="E153" s="68"/>
      <c r="F153" s="69"/>
      <c r="G153" s="69"/>
      <c r="H153" s="71">
        <f t="shared" si="13"/>
        <v>0</v>
      </c>
      <c r="I153" s="71">
        <f t="shared" si="14"/>
        <v>0</v>
      </c>
      <c r="J153" s="69">
        <f t="shared" si="15"/>
        <v>0</v>
      </c>
    </row>
    <row r="154" s="45" customFormat="1" ht="12.75" customHeight="1" spans="1:10">
      <c r="A154" s="68"/>
      <c r="B154" s="69"/>
      <c r="C154" s="70"/>
      <c r="D154" s="71">
        <f>'19-5-26'!I153</f>
        <v>0</v>
      </c>
      <c r="E154" s="68"/>
      <c r="F154" s="69"/>
      <c r="G154" s="69"/>
      <c r="H154" s="71">
        <f t="shared" si="13"/>
        <v>0</v>
      </c>
      <c r="I154" s="71">
        <f t="shared" si="14"/>
        <v>0</v>
      </c>
      <c r="J154" s="69">
        <f t="shared" si="15"/>
        <v>0</v>
      </c>
    </row>
    <row r="155" s="45" customFormat="1" ht="12.75" customHeight="1" spans="1:10">
      <c r="A155" s="68"/>
      <c r="B155" s="69"/>
      <c r="C155" s="70"/>
      <c r="D155" s="71">
        <f>'19-5-26'!I154</f>
        <v>0</v>
      </c>
      <c r="E155" s="68"/>
      <c r="F155" s="69"/>
      <c r="G155" s="69"/>
      <c r="H155" s="71">
        <f t="shared" si="13"/>
        <v>0</v>
      </c>
      <c r="I155" s="71">
        <f t="shared" si="14"/>
        <v>0</v>
      </c>
      <c r="J155" s="69">
        <f t="shared" si="15"/>
        <v>0</v>
      </c>
    </row>
    <row r="156" s="45" customFormat="1" ht="12.75" customHeight="1" spans="1:10">
      <c r="A156" s="68"/>
      <c r="B156" s="69"/>
      <c r="C156" s="70"/>
      <c r="D156" s="71">
        <f>'19-5-26'!I155</f>
        <v>0</v>
      </c>
      <c r="E156" s="68"/>
      <c r="F156" s="69"/>
      <c r="G156" s="69"/>
      <c r="H156" s="71">
        <f t="shared" si="13"/>
        <v>0</v>
      </c>
      <c r="I156" s="71">
        <f t="shared" si="14"/>
        <v>0</v>
      </c>
      <c r="J156" s="69">
        <f t="shared" si="15"/>
        <v>0</v>
      </c>
    </row>
    <row r="157" s="45" customFormat="1" ht="12.75" customHeight="1" spans="1:10">
      <c r="A157" s="68"/>
      <c r="B157" s="69"/>
      <c r="C157" s="70"/>
      <c r="D157" s="71">
        <f>'19-5-26'!I156</f>
        <v>0</v>
      </c>
      <c r="E157" s="68"/>
      <c r="F157" s="69"/>
      <c r="G157" s="69"/>
      <c r="H157" s="71">
        <f t="shared" si="13"/>
        <v>0</v>
      </c>
      <c r="I157" s="71">
        <f t="shared" si="14"/>
        <v>0</v>
      </c>
      <c r="J157" s="69">
        <f t="shared" si="15"/>
        <v>0</v>
      </c>
    </row>
    <row r="158" s="45" customFormat="1" ht="12.75" customHeight="1" spans="1:10">
      <c r="A158" s="68"/>
      <c r="B158" s="69"/>
      <c r="C158" s="70"/>
      <c r="D158" s="71">
        <f>'19-5-26'!I157</f>
        <v>0</v>
      </c>
      <c r="E158" s="68"/>
      <c r="F158" s="69"/>
      <c r="G158" s="69"/>
      <c r="H158" s="71">
        <f t="shared" si="13"/>
        <v>0</v>
      </c>
      <c r="I158" s="71">
        <f t="shared" si="14"/>
        <v>0</v>
      </c>
      <c r="J158" s="69">
        <f t="shared" si="15"/>
        <v>0</v>
      </c>
    </row>
    <row r="159" s="45" customFormat="1" ht="12.75" customHeight="1" spans="1:10">
      <c r="A159" s="68"/>
      <c r="B159" s="69"/>
      <c r="C159" s="70"/>
      <c r="D159" s="71">
        <f>'19-5-26'!I158</f>
        <v>0</v>
      </c>
      <c r="E159" s="68"/>
      <c r="F159" s="69"/>
      <c r="G159" s="69"/>
      <c r="H159" s="71">
        <f t="shared" si="13"/>
        <v>0</v>
      </c>
      <c r="I159" s="71">
        <f t="shared" si="14"/>
        <v>0</v>
      </c>
      <c r="J159" s="69">
        <f t="shared" si="15"/>
        <v>0</v>
      </c>
    </row>
    <row r="160" s="45" customFormat="1" ht="12.75" customHeight="1" spans="1:10">
      <c r="A160" s="68"/>
      <c r="B160" s="69"/>
      <c r="C160" s="70"/>
      <c r="D160" s="71">
        <f>'19-5-26'!I159</f>
        <v>0</v>
      </c>
      <c r="E160" s="68"/>
      <c r="F160" s="69"/>
      <c r="G160" s="69"/>
      <c r="H160" s="71">
        <f t="shared" si="13"/>
        <v>0</v>
      </c>
      <c r="I160" s="71">
        <f t="shared" si="14"/>
        <v>0</v>
      </c>
      <c r="J160" s="69">
        <f t="shared" si="15"/>
        <v>0</v>
      </c>
    </row>
    <row r="161" s="45" customFormat="1" ht="12.75" customHeight="1" spans="1:10">
      <c r="A161" s="68"/>
      <c r="B161" s="69"/>
      <c r="C161" s="70"/>
      <c r="D161" s="71">
        <f>'19-5-26'!I160</f>
        <v>0</v>
      </c>
      <c r="E161" s="68"/>
      <c r="F161" s="69"/>
      <c r="G161" s="69"/>
      <c r="H161" s="71">
        <f t="shared" si="13"/>
        <v>0</v>
      </c>
      <c r="I161" s="71">
        <f t="shared" si="14"/>
        <v>0</v>
      </c>
      <c r="J161" s="69">
        <f t="shared" si="15"/>
        <v>0</v>
      </c>
    </row>
    <row r="162" s="45" customFormat="1" ht="12.75" customHeight="1" spans="1:10">
      <c r="A162" s="68"/>
      <c r="B162" s="69"/>
      <c r="C162" s="70"/>
      <c r="D162" s="71">
        <f>'19-5-26'!I161</f>
        <v>0</v>
      </c>
      <c r="E162" s="68"/>
      <c r="F162" s="69"/>
      <c r="G162" s="69"/>
      <c r="H162" s="71">
        <f t="shared" si="13"/>
        <v>0</v>
      </c>
      <c r="I162" s="71">
        <f t="shared" si="14"/>
        <v>0</v>
      </c>
      <c r="J162" s="69">
        <f t="shared" si="15"/>
        <v>0</v>
      </c>
    </row>
    <row r="163" s="45" customFormat="1" ht="12.75" customHeight="1" spans="1:10">
      <c r="A163" s="68"/>
      <c r="B163" s="69"/>
      <c r="C163" s="70"/>
      <c r="D163" s="71">
        <f>'19-5-26'!I162</f>
        <v>0</v>
      </c>
      <c r="E163" s="68"/>
      <c r="F163" s="69"/>
      <c r="G163" s="69"/>
      <c r="H163" s="71">
        <f t="shared" si="13"/>
        <v>0</v>
      </c>
      <c r="I163" s="71">
        <f t="shared" si="14"/>
        <v>0</v>
      </c>
      <c r="J163" s="69">
        <f t="shared" si="15"/>
        <v>0</v>
      </c>
    </row>
    <row r="164" s="45" customFormat="1" ht="12.75" customHeight="1" spans="1:10">
      <c r="A164" s="68"/>
      <c r="B164" s="69"/>
      <c r="C164" s="70"/>
      <c r="D164" s="71">
        <f>'19-5-26'!I163</f>
        <v>0</v>
      </c>
      <c r="E164" s="68"/>
      <c r="F164" s="69"/>
      <c r="G164" s="69"/>
      <c r="H164" s="71">
        <f t="shared" si="13"/>
        <v>0</v>
      </c>
      <c r="I164" s="71">
        <f t="shared" si="14"/>
        <v>0</v>
      </c>
      <c r="J164" s="69">
        <f t="shared" si="15"/>
        <v>0</v>
      </c>
    </row>
    <row r="165" s="45" customFormat="1" ht="12.75" customHeight="1" spans="1:10">
      <c r="A165" s="68"/>
      <c r="B165" s="69"/>
      <c r="C165" s="70"/>
      <c r="D165" s="71">
        <f>'19-5-26'!I164</f>
        <v>0</v>
      </c>
      <c r="E165" s="68"/>
      <c r="F165" s="69"/>
      <c r="G165" s="69"/>
      <c r="H165" s="71">
        <f t="shared" si="13"/>
        <v>0</v>
      </c>
      <c r="I165" s="71">
        <f t="shared" si="14"/>
        <v>0</v>
      </c>
      <c r="J165" s="69">
        <f t="shared" si="15"/>
        <v>0</v>
      </c>
    </row>
    <row r="166" s="45" customFormat="1" ht="12.75" customHeight="1" spans="1:10">
      <c r="A166" s="68"/>
      <c r="B166" s="69"/>
      <c r="C166" s="70"/>
      <c r="D166" s="71">
        <f>'19-5-26'!I165</f>
        <v>0</v>
      </c>
      <c r="E166" s="68"/>
      <c r="F166" s="69"/>
      <c r="G166" s="69"/>
      <c r="H166" s="71">
        <f t="shared" si="13"/>
        <v>0</v>
      </c>
      <c r="I166" s="71">
        <f t="shared" si="14"/>
        <v>0</v>
      </c>
      <c r="J166" s="69">
        <f t="shared" si="15"/>
        <v>0</v>
      </c>
    </row>
    <row r="167" s="45" customFormat="1" ht="12.75" customHeight="1" spans="1:10">
      <c r="A167" s="68"/>
      <c r="B167" s="69"/>
      <c r="C167" s="70"/>
      <c r="D167" s="71">
        <f>'19-5-26'!I166</f>
        <v>0</v>
      </c>
      <c r="E167" s="68"/>
      <c r="F167" s="69"/>
      <c r="G167" s="69"/>
      <c r="H167" s="71">
        <f t="shared" si="13"/>
        <v>0</v>
      </c>
      <c r="I167" s="71">
        <f t="shared" si="14"/>
        <v>0</v>
      </c>
      <c r="J167" s="69">
        <f t="shared" si="15"/>
        <v>0</v>
      </c>
    </row>
    <row r="168" s="45" customFormat="1" ht="12.75" customHeight="1" spans="1:10">
      <c r="A168" s="68"/>
      <c r="B168" s="69"/>
      <c r="C168" s="70"/>
      <c r="D168" s="71">
        <f>'19-5-26'!I167</f>
        <v>0</v>
      </c>
      <c r="E168" s="68"/>
      <c r="F168" s="69"/>
      <c r="G168" s="69"/>
      <c r="H168" s="71">
        <f t="shared" si="13"/>
        <v>0</v>
      </c>
      <c r="I168" s="71">
        <f t="shared" si="14"/>
        <v>0</v>
      </c>
      <c r="J168" s="69">
        <f t="shared" si="15"/>
        <v>0</v>
      </c>
    </row>
    <row r="169" s="45" customFormat="1" ht="12.75" customHeight="1" spans="1:10">
      <c r="A169" s="68"/>
      <c r="B169" s="69"/>
      <c r="C169" s="70"/>
      <c r="D169" s="71">
        <f>'19-5-26'!I168</f>
        <v>0</v>
      </c>
      <c r="E169" s="68"/>
      <c r="F169" s="69"/>
      <c r="G169" s="69"/>
      <c r="H169" s="71">
        <f t="shared" si="13"/>
        <v>0</v>
      </c>
      <c r="I169" s="71">
        <f t="shared" si="14"/>
        <v>0</v>
      </c>
      <c r="J169" s="69">
        <f t="shared" si="15"/>
        <v>0</v>
      </c>
    </row>
    <row r="170" s="45" customFormat="1" ht="12.75" customHeight="1" spans="1:10">
      <c r="A170" s="68"/>
      <c r="B170" s="69"/>
      <c r="C170" s="70"/>
      <c r="D170" s="71">
        <f>'19-5-26'!I169</f>
        <v>0</v>
      </c>
      <c r="E170" s="68"/>
      <c r="F170" s="69"/>
      <c r="G170" s="69"/>
      <c r="H170" s="71">
        <f t="shared" si="13"/>
        <v>0</v>
      </c>
      <c r="I170" s="71">
        <f t="shared" si="14"/>
        <v>0</v>
      </c>
      <c r="J170" s="69">
        <f t="shared" si="15"/>
        <v>0</v>
      </c>
    </row>
    <row r="171" s="45" customFormat="1" ht="12.75" customHeight="1" spans="1:10">
      <c r="A171" s="68"/>
      <c r="B171" s="69"/>
      <c r="C171" s="70"/>
      <c r="D171" s="71">
        <f>'19-5-26'!I170</f>
        <v>0</v>
      </c>
      <c r="E171" s="68"/>
      <c r="F171" s="69"/>
      <c r="G171" s="69"/>
      <c r="H171" s="71">
        <f t="shared" si="13"/>
        <v>0</v>
      </c>
      <c r="I171" s="71">
        <f t="shared" si="14"/>
        <v>0</v>
      </c>
      <c r="J171" s="69">
        <f t="shared" si="15"/>
        <v>0</v>
      </c>
    </row>
    <row r="172" s="45" customFormat="1" ht="12.75" customHeight="1" spans="1:10">
      <c r="A172" s="68"/>
      <c r="B172" s="69"/>
      <c r="C172" s="70"/>
      <c r="D172" s="71">
        <f>'19-5-26'!I171</f>
        <v>0</v>
      </c>
      <c r="E172" s="68"/>
      <c r="F172" s="69"/>
      <c r="G172" s="69"/>
      <c r="H172" s="71">
        <f t="shared" si="13"/>
        <v>0</v>
      </c>
      <c r="I172" s="71">
        <f t="shared" si="14"/>
        <v>0</v>
      </c>
      <c r="J172" s="69">
        <f t="shared" si="15"/>
        <v>0</v>
      </c>
    </row>
    <row r="173" s="45" customFormat="1" ht="12.75" customHeight="1" spans="1:10">
      <c r="A173" s="68"/>
      <c r="B173" s="69"/>
      <c r="C173" s="70"/>
      <c r="D173" s="71">
        <f>'19-5-26'!I172</f>
        <v>0</v>
      </c>
      <c r="E173" s="68"/>
      <c r="F173" s="69"/>
      <c r="G173" s="69"/>
      <c r="H173" s="71">
        <f t="shared" si="13"/>
        <v>0</v>
      </c>
      <c r="I173" s="71">
        <f t="shared" si="14"/>
        <v>0</v>
      </c>
      <c r="J173" s="69">
        <f t="shared" si="15"/>
        <v>0</v>
      </c>
    </row>
    <row r="174" s="45" customFormat="1" ht="12.75" customHeight="1" spans="1:10">
      <c r="A174" s="68"/>
      <c r="B174" s="69"/>
      <c r="C174" s="70"/>
      <c r="D174" s="71">
        <f>'19-5-26'!I173</f>
        <v>0</v>
      </c>
      <c r="E174" s="68"/>
      <c r="F174" s="69"/>
      <c r="G174" s="69"/>
      <c r="H174" s="71">
        <f t="shared" si="13"/>
        <v>0</v>
      </c>
      <c r="I174" s="71">
        <f t="shared" si="14"/>
        <v>0</v>
      </c>
      <c r="J174" s="69">
        <f t="shared" si="15"/>
        <v>0</v>
      </c>
    </row>
    <row r="175" s="45" customFormat="1" ht="12.75" customHeight="1" spans="1:10">
      <c r="A175" s="68"/>
      <c r="B175" s="69"/>
      <c r="C175" s="70"/>
      <c r="D175" s="71">
        <f>'19-5-26'!I174</f>
        <v>0</v>
      </c>
      <c r="E175" s="68"/>
      <c r="F175" s="69"/>
      <c r="G175" s="69"/>
      <c r="H175" s="71">
        <f t="shared" si="13"/>
        <v>0</v>
      </c>
      <c r="I175" s="71">
        <f t="shared" si="14"/>
        <v>0</v>
      </c>
      <c r="J175" s="69">
        <f t="shared" si="15"/>
        <v>0</v>
      </c>
    </row>
    <row r="176" s="45" customFormat="1" ht="12.75" customHeight="1" spans="1:10">
      <c r="A176" s="68"/>
      <c r="B176" s="69"/>
      <c r="C176" s="70"/>
      <c r="D176" s="71">
        <f>'19-5-26'!I175</f>
        <v>0</v>
      </c>
      <c r="E176" s="68"/>
      <c r="F176" s="69"/>
      <c r="G176" s="69"/>
      <c r="H176" s="71">
        <f t="shared" si="13"/>
        <v>0</v>
      </c>
      <c r="I176" s="71">
        <f t="shared" si="14"/>
        <v>0</v>
      </c>
      <c r="J176" s="69">
        <f t="shared" si="15"/>
        <v>0</v>
      </c>
    </row>
    <row r="177" s="45" customFormat="1" ht="12.75" customHeight="1" spans="1:11">
      <c r="A177" s="68"/>
      <c r="B177" s="69"/>
      <c r="C177" s="70"/>
      <c r="D177" s="71">
        <f>'19-5-26'!I176</f>
        <v>0</v>
      </c>
      <c r="E177" s="68"/>
      <c r="F177" s="69"/>
      <c r="G177" s="69"/>
      <c r="H177" s="71">
        <f t="shared" si="13"/>
        <v>0</v>
      </c>
      <c r="I177" s="71">
        <f t="shared" si="14"/>
        <v>0</v>
      </c>
      <c r="J177" s="69">
        <f t="shared" si="15"/>
        <v>0</v>
      </c>
    </row>
    <row r="178" s="45" customFormat="1" ht="12.75" customHeight="1" spans="1:11">
      <c r="A178" s="68"/>
      <c r="B178" s="69"/>
      <c r="C178" s="70"/>
      <c r="D178" s="71">
        <f>'19-5-26'!I177</f>
        <v>0</v>
      </c>
      <c r="E178" s="68"/>
      <c r="F178" s="69"/>
      <c r="G178" s="69"/>
      <c r="H178" s="71">
        <f t="shared" si="13"/>
        <v>0</v>
      </c>
      <c r="I178" s="71">
        <f t="shared" si="14"/>
        <v>0</v>
      </c>
      <c r="J178" s="69">
        <f t="shared" si="15"/>
        <v>0</v>
      </c>
    </row>
    <row r="179" s="45" customFormat="1" ht="12.75" customHeight="1" spans="1:11">
      <c r="A179" s="68"/>
      <c r="B179" s="69"/>
      <c r="C179" s="70"/>
      <c r="D179" s="71">
        <f>'19-5-26'!I178</f>
        <v>0</v>
      </c>
      <c r="E179" s="68"/>
      <c r="F179" s="69"/>
      <c r="G179" s="69"/>
      <c r="H179" s="71">
        <f t="shared" si="13"/>
        <v>0</v>
      </c>
      <c r="I179" s="71">
        <f t="shared" si="14"/>
        <v>0</v>
      </c>
      <c r="J179" s="69">
        <f t="shared" si="15"/>
        <v>0</v>
      </c>
    </row>
    <row r="180" s="45" customFormat="1" ht="12.75" customHeight="1" spans="1:11">
      <c r="A180" s="68"/>
      <c r="B180" s="69"/>
      <c r="C180" s="70"/>
      <c r="D180" s="71">
        <f>'19-5-26'!I179</f>
        <v>0</v>
      </c>
      <c r="E180" s="68"/>
      <c r="F180" s="69"/>
      <c r="G180" s="69"/>
      <c r="H180" s="71">
        <f t="shared" si="13"/>
        <v>0</v>
      </c>
      <c r="I180" s="71">
        <f t="shared" si="14"/>
        <v>0</v>
      </c>
      <c r="J180" s="69">
        <f t="shared" si="15"/>
        <v>0</v>
      </c>
    </row>
    <row r="181" s="45" customFormat="1" ht="12.75" customHeight="1" spans="1:11">
      <c r="A181" s="68"/>
      <c r="B181" s="69"/>
      <c r="C181" s="70"/>
      <c r="D181" s="71">
        <f>'19-5-26'!I180</f>
        <v>0</v>
      </c>
      <c r="E181" s="68"/>
      <c r="F181" s="69"/>
      <c r="G181" s="69"/>
      <c r="H181" s="71">
        <f t="shared" si="13"/>
        <v>0</v>
      </c>
      <c r="I181" s="71">
        <f t="shared" si="14"/>
        <v>0</v>
      </c>
      <c r="J181" s="69">
        <f t="shared" si="15"/>
        <v>0</v>
      </c>
    </row>
    <row r="182" s="45" customFormat="1" ht="12.75" customHeight="1" spans="1:11">
      <c r="A182" s="68"/>
      <c r="B182" s="69"/>
      <c r="C182" s="70"/>
      <c r="D182" s="71">
        <f>'19-5-26'!I181</f>
        <v>0</v>
      </c>
      <c r="E182" s="68"/>
      <c r="F182" s="69"/>
      <c r="G182" s="69"/>
      <c r="H182" s="71">
        <f t="shared" si="13"/>
        <v>0</v>
      </c>
      <c r="I182" s="71">
        <f t="shared" si="14"/>
        <v>0</v>
      </c>
      <c r="J182" s="69">
        <f t="shared" si="15"/>
        <v>0</v>
      </c>
    </row>
    <row r="183" s="45" customFormat="1" ht="12.75" customHeight="1" spans="1:11">
      <c r="A183" s="68"/>
      <c r="B183" s="69"/>
      <c r="C183" s="70"/>
      <c r="D183" s="71">
        <f>'19-5-26'!I182</f>
        <v>0</v>
      </c>
      <c r="E183" s="68"/>
      <c r="F183" s="69"/>
      <c r="G183" s="69"/>
      <c r="H183" s="71">
        <f t="shared" si="13"/>
        <v>0</v>
      </c>
      <c r="I183" s="71">
        <f t="shared" si="14"/>
        <v>0</v>
      </c>
      <c r="J183" s="69">
        <f t="shared" si="15"/>
        <v>0</v>
      </c>
    </row>
    <row r="184" s="45" customFormat="1" ht="12.75" customHeight="1" spans="1:11">
      <c r="A184" s="68"/>
      <c r="B184" s="69"/>
      <c r="C184" s="70"/>
      <c r="D184" s="71">
        <f>'19-5-26'!I183</f>
        <v>0</v>
      </c>
      <c r="E184" s="68"/>
      <c r="F184" s="69"/>
      <c r="G184" s="69"/>
      <c r="H184" s="71">
        <f t="shared" si="13"/>
        <v>0</v>
      </c>
      <c r="I184" s="71">
        <f t="shared" si="14"/>
        <v>0</v>
      </c>
      <c r="J184" s="69">
        <f t="shared" si="15"/>
        <v>0</v>
      </c>
    </row>
    <row r="185" s="45" customFormat="1" ht="12.75" customHeight="1" spans="1:11">
      <c r="A185" s="68"/>
      <c r="B185" s="69"/>
      <c r="C185" s="70"/>
      <c r="D185" s="71">
        <f>'19-5-26'!I184</f>
        <v>0</v>
      </c>
      <c r="E185" s="68"/>
      <c r="F185" s="69"/>
      <c r="G185" s="69"/>
      <c r="H185" s="71">
        <f t="shared" si="13"/>
        <v>0</v>
      </c>
      <c r="I185" s="71">
        <f t="shared" si="14"/>
        <v>0</v>
      </c>
      <c r="J185" s="69">
        <f t="shared" si="15"/>
        <v>0</v>
      </c>
    </row>
    <row r="186" s="45" customFormat="1" ht="12.75" customHeight="1" spans="1:11">
      <c r="A186" s="68"/>
      <c r="B186" s="69"/>
      <c r="C186" s="70"/>
      <c r="D186" s="71">
        <f>'19-5-26'!I185</f>
        <v>0</v>
      </c>
      <c r="E186" s="68"/>
      <c r="F186" s="69"/>
      <c r="G186" s="69"/>
      <c r="H186" s="71">
        <f t="shared" si="13"/>
        <v>0</v>
      </c>
      <c r="I186" s="71">
        <f t="shared" si="14"/>
        <v>0</v>
      </c>
      <c r="J186" s="69">
        <f t="shared" si="15"/>
        <v>0</v>
      </c>
    </row>
    <row r="187" s="45" customFormat="1" ht="12.75" customHeight="1" spans="1:11">
      <c r="A187" s="68"/>
      <c r="B187" s="69"/>
      <c r="C187" s="70"/>
      <c r="D187" s="71">
        <f>'19-5-26'!I186</f>
        <v>0</v>
      </c>
      <c r="E187" s="68"/>
      <c r="F187" s="69"/>
      <c r="G187" s="69"/>
      <c r="H187" s="71">
        <f t="shared" si="13"/>
        <v>0</v>
      </c>
      <c r="I187" s="71">
        <f t="shared" si="14"/>
        <v>0</v>
      </c>
      <c r="J187" s="69">
        <f t="shared" si="15"/>
        <v>0</v>
      </c>
    </row>
    <row r="188" s="45" customFormat="1" ht="12.75" spans="1:11">
      <c r="A188" s="68"/>
      <c r="B188" s="69"/>
      <c r="C188" s="74"/>
      <c r="D188" s="71">
        <f>'19-5-26'!I187</f>
        <v>0</v>
      </c>
      <c r="E188" s="68"/>
      <c r="F188" s="69"/>
      <c r="G188" s="69"/>
      <c r="H188" s="71">
        <f t="shared" si="13"/>
        <v>0</v>
      </c>
      <c r="I188" s="71">
        <f t="shared" si="14"/>
        <v>0</v>
      </c>
      <c r="J188" s="69">
        <f t="shared" si="15"/>
        <v>0</v>
      </c>
    </row>
    <row r="189" s="45" customFormat="1" ht="12.75" spans="1:11">
      <c r="A189" s="75"/>
      <c r="B189" s="76" t="s">
        <v>124</v>
      </c>
      <c r="C189" s="77"/>
      <c r="D189" s="78">
        <f t="shared" ref="D189:J189" si="16">SUM(D9:D188)</f>
        <v>479912000</v>
      </c>
      <c r="E189" s="79">
        <f t="shared" si="16"/>
        <v>18</v>
      </c>
      <c r="F189" s="78">
        <f t="shared" si="16"/>
        <v>5900000</v>
      </c>
      <c r="G189" s="78">
        <f t="shared" si="16"/>
        <v>670000</v>
      </c>
      <c r="H189" s="78">
        <f t="shared" si="16"/>
        <v>6570000</v>
      </c>
      <c r="I189" s="78">
        <f t="shared" si="16"/>
        <v>474012000</v>
      </c>
      <c r="J189" s="78">
        <f t="shared" si="16"/>
        <v>67000</v>
      </c>
    </row>
    <row r="190" s="45" customFormat="1" ht="12.75" spans="1:11">
      <c r="A190" s="80"/>
      <c r="B190" s="80"/>
      <c r="C190" s="81"/>
      <c r="E190" s="47"/>
    </row>
    <row r="191" s="45" customFormat="1" customHeight="1" spans="1:11">
      <c r="A191" s="82"/>
      <c r="B191" s="80" t="s">
        <v>125</v>
      </c>
      <c r="C191" s="83" t="s">
        <v>126</v>
      </c>
      <c r="D191" s="84"/>
      <c r="E191" s="47"/>
      <c r="K191" s="82"/>
    </row>
    <row r="192" s="45" customFormat="1" customHeight="1" spans="1:11">
      <c r="A192" s="82"/>
      <c r="B192" s="80" t="s">
        <v>127</v>
      </c>
      <c r="C192" s="83" t="s">
        <v>128</v>
      </c>
      <c r="D192" s="80">
        <f>G189</f>
        <v>670000</v>
      </c>
      <c r="E192" s="47"/>
      <c r="F192" s="129" t="s">
        <v>216</v>
      </c>
      <c r="G192" s="80"/>
      <c r="H192" s="80"/>
      <c r="I192" s="80"/>
      <c r="K192" s="82"/>
    </row>
    <row r="193" s="45" customFormat="1" customHeight="1" spans="1:11">
      <c r="A193" s="82"/>
      <c r="B193" s="80" t="s">
        <v>130</v>
      </c>
      <c r="C193" s="83" t="s">
        <v>128</v>
      </c>
      <c r="D193" s="80">
        <f>D192/20</f>
        <v>33500</v>
      </c>
      <c r="E193" s="47"/>
      <c r="F193" s="80" t="s">
        <v>131</v>
      </c>
      <c r="G193" s="80"/>
      <c r="H193" s="80"/>
      <c r="I193" s="80"/>
      <c r="K193" s="82" t="s">
        <v>197</v>
      </c>
    </row>
    <row r="194" s="45" customFormat="1" customHeight="1" spans="1:11">
      <c r="A194" s="82"/>
      <c r="B194" s="80" t="s">
        <v>132</v>
      </c>
      <c r="C194" s="83" t="s">
        <v>133</v>
      </c>
      <c r="D194" s="80"/>
      <c r="E194" s="47"/>
      <c r="F194" s="80" t="s">
        <v>134</v>
      </c>
      <c r="G194" s="86"/>
      <c r="H194" s="80" t="s">
        <v>135</v>
      </c>
      <c r="K194" s="82"/>
    </row>
    <row r="195" s="45" customFormat="1" customHeight="1" spans="1:11">
      <c r="A195" s="82"/>
      <c r="B195" s="80" t="s">
        <v>136</v>
      </c>
      <c r="C195" s="83" t="s">
        <v>128</v>
      </c>
      <c r="D195" s="80">
        <f>11*D193</f>
        <v>368500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137</v>
      </c>
      <c r="C196" s="83" t="s">
        <v>128</v>
      </c>
      <c r="D196" s="80">
        <f>1/2*D193</f>
        <v>16750</v>
      </c>
      <c r="E196" s="47"/>
      <c r="F196" s="80"/>
      <c r="G196" s="86"/>
      <c r="H196" s="80"/>
      <c r="K196" s="82"/>
    </row>
    <row r="197" s="45" customFormat="1" customHeight="1" spans="1:11">
      <c r="A197" s="82"/>
      <c r="B197" s="80" t="s">
        <v>138</v>
      </c>
      <c r="C197" s="83" t="s">
        <v>128</v>
      </c>
      <c r="D197" s="80">
        <f>1/2*D193</f>
        <v>16750</v>
      </c>
      <c r="E197" s="47"/>
      <c r="F197" s="80"/>
      <c r="G197" s="86"/>
      <c r="H197" s="80"/>
      <c r="K197" s="82"/>
    </row>
    <row r="198" s="45" customFormat="1" customHeight="1" spans="1:11">
      <c r="B198" s="80" t="s">
        <v>139</v>
      </c>
      <c r="C198" s="83" t="s">
        <v>128</v>
      </c>
      <c r="D198" s="80">
        <f>1/2*D193</f>
        <v>16750</v>
      </c>
      <c r="E198" s="47"/>
      <c r="F198" s="80"/>
      <c r="G198" s="86"/>
      <c r="H198" s="80"/>
    </row>
    <row r="199" s="45" customFormat="1" customHeight="1" spans="1:11">
      <c r="B199" s="80" t="s">
        <v>140</v>
      </c>
      <c r="C199" s="83" t="s">
        <v>128</v>
      </c>
      <c r="D199" s="80">
        <f>1/2*D193</f>
        <v>16750</v>
      </c>
      <c r="E199" s="47"/>
      <c r="F199" s="80" t="s">
        <v>141</v>
      </c>
      <c r="G199" s="86"/>
      <c r="H199" s="80" t="s">
        <v>142</v>
      </c>
    </row>
    <row r="200" s="45" customFormat="1" customHeight="1" spans="1:11">
      <c r="B200" s="80" t="s">
        <v>10</v>
      </c>
      <c r="C200" s="83" t="s">
        <v>128</v>
      </c>
      <c r="D200" s="80">
        <f>2*D193</f>
        <v>67000</v>
      </c>
      <c r="E200" s="47"/>
      <c r="G200" s="80"/>
      <c r="H200" s="80"/>
      <c r="I200" s="80"/>
    </row>
    <row r="201" s="45" customFormat="1" customHeight="1" spans="1:11">
      <c r="B201" s="80" t="s">
        <v>143</v>
      </c>
      <c r="C201" s="83" t="s">
        <v>128</v>
      </c>
      <c r="D201" s="80">
        <f>5*D193</f>
        <v>167500</v>
      </c>
      <c r="E201" s="47"/>
    </row>
    <row r="202" s="45" customFormat="1" customHeight="1" spans="1:11">
      <c r="B202" s="87" t="s">
        <v>124</v>
      </c>
      <c r="C202" s="88" t="s">
        <v>128</v>
      </c>
      <c r="D202" s="87">
        <f>SUM(D195:D201)</f>
        <v>670000</v>
      </c>
      <c r="E202" s="47"/>
    </row>
    <row r="207" s="45" customFormat="1" ht="12.75" spans="1:11">
      <c r="C207" s="46"/>
      <c r="D207" s="89"/>
      <c r="E207" s="47"/>
      <c r="F207" s="89"/>
    </row>
  </sheetData>
  <mergeCells count="13">
    <mergeCell ref="A1:J1"/>
    <mergeCell ref="A2:J2"/>
    <mergeCell ref="A3:J3"/>
    <mergeCell ref="A5:J5"/>
    <mergeCell ref="A6:J6"/>
    <mergeCell ref="E7:H7"/>
    <mergeCell ref="B189:C189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81" workbookViewId="0">
      <selection activeCell="J92" sqref="J92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217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'2-6-26'!I9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'2-6-26'!I10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'2-6-26'!I11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'2-6-26'!I12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'2-6-26'!I13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'2-6-26'!I14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'2-6-26'!I15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'2-6-26'!I16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'2-6-26'!I17</f>
        <v>5800000</v>
      </c>
      <c r="E17" s="68"/>
      <c r="F17" s="69"/>
      <c r="G17" s="69"/>
      <c r="H17" s="71">
        <f t="shared" si="0"/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'2-6-26'!I18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'2-6-26'!I19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'2-6-26'!I20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'2-6-26'!I21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'2-6-26'!I22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'2-6-26'!I23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'2-6-26'!I24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'2-6-26'!I25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'2-6-26'!I26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'2-6-26'!I27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'2-6-26'!I28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'2-6-26'!I29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'2-6-26'!I30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'2-6-26'!I31</f>
        <v>500000</v>
      </c>
      <c r="E31" s="68"/>
      <c r="F31" s="69"/>
      <c r="G31" s="69"/>
      <c r="H31" s="71">
        <f t="shared" si="0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'2-6-26'!I32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'2-6-26'!I33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'2-6-26'!I34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'2-6-26'!I35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'2-6-26'!I36</f>
        <v>5000000</v>
      </c>
      <c r="E36" s="68"/>
      <c r="F36" s="69"/>
      <c r="G36" s="69"/>
      <c r="H36" s="71">
        <f t="shared" si="0"/>
        <v>0</v>
      </c>
      <c r="I36" s="71">
        <f t="shared" si="1"/>
        <v>5000000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'2-6-26'!I37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'2-6-26'!I38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'2-6-26'!I39</f>
        <v>13690000</v>
      </c>
      <c r="E39" s="68"/>
      <c r="F39" s="69"/>
      <c r="G39" s="69"/>
      <c r="H39" s="71">
        <f t="shared" si="0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'2-6-26'!I40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'2-6-26'!I41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'2-6-26'!I42</f>
        <v>1050000</v>
      </c>
      <c r="E42" s="68">
        <v>14</v>
      </c>
      <c r="F42" s="69">
        <v>150000</v>
      </c>
      <c r="G42" s="69">
        <v>60000</v>
      </c>
      <c r="H42" s="73">
        <f t="shared" si="0"/>
        <v>210000</v>
      </c>
      <c r="I42" s="71">
        <f t="shared" si="1"/>
        <v>900000</v>
      </c>
      <c r="J42" s="69">
        <f t="shared" si="2"/>
        <v>6000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'2-6-26'!I43</f>
        <v>4500000</v>
      </c>
      <c r="E43" s="68"/>
      <c r="F43" s="69"/>
      <c r="G43" s="69"/>
      <c r="H43" s="71">
        <f t="shared" si="0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'2-6-26'!I44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'2-6-26'!I45</f>
        <v>10875000</v>
      </c>
      <c r="E45" s="68">
        <v>12</v>
      </c>
      <c r="F45" s="69">
        <v>375000</v>
      </c>
      <c r="G45" s="69">
        <v>300000</v>
      </c>
      <c r="H45" s="73">
        <f t="shared" si="0"/>
        <v>675000</v>
      </c>
      <c r="I45" s="71">
        <f t="shared" si="1"/>
        <v>10500000</v>
      </c>
      <c r="J45" s="69">
        <f t="shared" si="2"/>
        <v>30000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'2-6-26'!I46</f>
        <v>0</v>
      </c>
      <c r="E46" s="68"/>
      <c r="F46" s="69"/>
      <c r="G46" s="69"/>
      <c r="H46" s="71">
        <f t="shared" si="0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'2-6-26'!I47</f>
        <v>9300000</v>
      </c>
      <c r="E47" s="68"/>
      <c r="F47" s="69"/>
      <c r="G47" s="69"/>
      <c r="H47" s="71">
        <f t="shared" si="0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'2-6-26'!I48</f>
        <v>600000</v>
      </c>
      <c r="E48" s="68"/>
      <c r="F48" s="69"/>
      <c r="G48" s="69"/>
      <c r="H48" s="71">
        <f t="shared" si="0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'2-6-26'!I49</f>
        <v>9340000</v>
      </c>
      <c r="E49" s="68"/>
      <c r="F49" s="69"/>
      <c r="G49" s="69"/>
      <c r="H49" s="71">
        <f t="shared" si="0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'2-6-26'!I50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'2-6-26'!I51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'2-6-26'!I52</f>
        <v>24600000</v>
      </c>
      <c r="E52" s="68"/>
      <c r="F52" s="69"/>
      <c r="G52" s="69"/>
      <c r="H52" s="71">
        <f t="shared" si="0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'2-6-26'!I53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'2-6-26'!I54</f>
        <v>4200000</v>
      </c>
      <c r="E54" s="68"/>
      <c r="F54" s="69"/>
      <c r="G54" s="69"/>
      <c r="H54" s="71">
        <f t="shared" si="0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'2-6-26'!I55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'2-6-26'!I56</f>
        <v>0</v>
      </c>
      <c r="E56" s="68"/>
      <c r="F56" s="69"/>
      <c r="G56" s="69"/>
      <c r="H56" s="71">
        <f t="shared" si="0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'2-6-26'!I57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'2-6-26'!I58</f>
        <v>0</v>
      </c>
      <c r="E58" s="68"/>
      <c r="F58" s="69"/>
      <c r="G58" s="69"/>
      <c r="H58" s="71">
        <f t="shared" si="0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'2-6-26'!I59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'2-6-26'!I60</f>
        <v>2750000</v>
      </c>
      <c r="E60" s="68">
        <v>10</v>
      </c>
      <c r="F60" s="69">
        <v>2750000</v>
      </c>
      <c r="G60" s="69">
        <v>200000</v>
      </c>
      <c r="H60" s="73">
        <f t="shared" si="0"/>
        <v>2950000</v>
      </c>
      <c r="I60" s="71">
        <f t="shared" si="1"/>
        <v>0</v>
      </c>
      <c r="J60" s="69">
        <f t="shared" si="2"/>
        <v>20000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'2-6-26'!I61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'2-6-26'!I62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'2-6-26'!I63</f>
        <v>0</v>
      </c>
      <c r="E63" s="68"/>
      <c r="F63" s="69"/>
      <c r="G63" s="69"/>
      <c r="H63" s="71">
        <f t="shared" si="0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'2-6-26'!I64</f>
        <v>0</v>
      </c>
      <c r="E64" s="68"/>
      <c r="F64" s="69"/>
      <c r="G64" s="69"/>
      <c r="H64" s="71">
        <f t="shared" si="0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'2-6-26'!I65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'2-6-26'!I66</f>
        <v>0</v>
      </c>
      <c r="E66" s="68"/>
      <c r="F66" s="69"/>
      <c r="G66" s="69"/>
      <c r="H66" s="71">
        <f t="shared" ref="H66:H87" si="3">SUM(F66:G66)</f>
        <v>0</v>
      </c>
      <c r="I66" s="71">
        <f t="shared" si="1"/>
        <v>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'2-6-26'!I67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'2-6-26'!I68</f>
        <v>3400000</v>
      </c>
      <c r="E68" s="68"/>
      <c r="F68" s="69"/>
      <c r="G68" s="69"/>
      <c r="H68" s="71">
        <f t="shared" si="3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'2-6-26'!I69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'2-6-26'!I70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'2-6-26'!I71</f>
        <v>1500000</v>
      </c>
      <c r="E71" s="68"/>
      <c r="F71" s="69"/>
      <c r="G71" s="69"/>
      <c r="H71" s="71">
        <f t="shared" si="3"/>
        <v>0</v>
      </c>
      <c r="I71" s="71">
        <f t="shared" si="1"/>
        <v>1500000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'2-6-26'!I72</f>
        <v>1600000</v>
      </c>
      <c r="E72" s="68"/>
      <c r="F72" s="69"/>
      <c r="G72" s="69"/>
      <c r="H72" s="71">
        <f t="shared" si="3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f>'2-6-26'!I73</f>
        <v>0</v>
      </c>
      <c r="E73" s="69"/>
      <c r="F73" s="69"/>
      <c r="G73" s="69"/>
      <c r="H73" s="71">
        <f t="shared" si="3"/>
        <v>0</v>
      </c>
      <c r="I73" s="71">
        <f t="shared" ref="I73:I136" si="4">D73-F73</f>
        <v>0</v>
      </c>
      <c r="J73" s="69">
        <f t="shared" ref="J73:J136" si="5"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'2-6-26'!I74</f>
        <v>0</v>
      </c>
      <c r="E74" s="68"/>
      <c r="F74" s="69"/>
      <c r="G74" s="69"/>
      <c r="H74" s="71">
        <f t="shared" si="3"/>
        <v>0</v>
      </c>
      <c r="I74" s="71">
        <f t="shared" si="4"/>
        <v>0</v>
      </c>
      <c r="J74" s="69">
        <f t="shared" si="5"/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'2-6-26'!I75</f>
        <v>2400000</v>
      </c>
      <c r="E75" s="68">
        <v>3</v>
      </c>
      <c r="F75" s="69">
        <v>300000</v>
      </c>
      <c r="G75" s="69">
        <v>60000</v>
      </c>
      <c r="H75" s="73">
        <f t="shared" si="3"/>
        <v>360000</v>
      </c>
      <c r="I75" s="71">
        <f t="shared" si="4"/>
        <v>2100000</v>
      </c>
      <c r="J75" s="69">
        <f t="shared" si="5"/>
        <v>6000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'2-6-26'!I76</f>
        <v>880000</v>
      </c>
      <c r="E76" s="68">
        <v>3</v>
      </c>
      <c r="F76" s="69">
        <v>110000</v>
      </c>
      <c r="G76" s="69">
        <v>22000</v>
      </c>
      <c r="H76" s="73">
        <f t="shared" si="3"/>
        <v>132000</v>
      </c>
      <c r="I76" s="71">
        <f t="shared" si="4"/>
        <v>770000</v>
      </c>
      <c r="J76" s="69">
        <f t="shared" si="5"/>
        <v>2200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'2-6-26'!I77</f>
        <v>4500000</v>
      </c>
      <c r="E77" s="68">
        <v>3</v>
      </c>
      <c r="F77" s="69">
        <v>250000</v>
      </c>
      <c r="G77" s="69">
        <v>100000</v>
      </c>
      <c r="H77" s="73">
        <f t="shared" si="3"/>
        <v>350000</v>
      </c>
      <c r="I77" s="71">
        <f t="shared" si="4"/>
        <v>4250000</v>
      </c>
      <c r="J77" s="69">
        <f t="shared" si="5"/>
        <v>10000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'2-6-26'!I78</f>
        <v>8500000</v>
      </c>
      <c r="E78" s="68"/>
      <c r="F78" s="69"/>
      <c r="G78" s="69"/>
      <c r="H78" s="71">
        <f t="shared" si="3"/>
        <v>0</v>
      </c>
      <c r="I78" s="71">
        <f t="shared" si="4"/>
        <v>8500000</v>
      </c>
      <c r="J78" s="69">
        <f t="shared" si="5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'2-6-26'!I79</f>
        <v>2100000</v>
      </c>
      <c r="E79" s="68">
        <v>4</v>
      </c>
      <c r="F79" s="69">
        <v>300000</v>
      </c>
      <c r="G79" s="69">
        <v>60000</v>
      </c>
      <c r="H79" s="73">
        <f t="shared" si="3"/>
        <v>360000</v>
      </c>
      <c r="I79" s="71">
        <f t="shared" si="4"/>
        <v>1800000</v>
      </c>
      <c r="J79" s="69">
        <f t="shared" si="5"/>
        <v>6000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'2-6-26'!I80</f>
        <v>700000</v>
      </c>
      <c r="E80" s="68"/>
      <c r="F80" s="69"/>
      <c r="G80" s="69"/>
      <c r="H80" s="71">
        <f t="shared" si="3"/>
        <v>0</v>
      </c>
      <c r="I80" s="71">
        <f t="shared" si="4"/>
        <v>700000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'2-6-26'!I81</f>
        <v>6300000</v>
      </c>
      <c r="E81" s="68">
        <v>2</v>
      </c>
      <c r="F81" s="69">
        <v>700000</v>
      </c>
      <c r="G81" s="69">
        <v>140000</v>
      </c>
      <c r="H81" s="73">
        <f t="shared" si="3"/>
        <v>840000</v>
      </c>
      <c r="I81" s="71">
        <f t="shared" si="4"/>
        <v>5600000</v>
      </c>
      <c r="J81" s="69">
        <f t="shared" si="5"/>
        <v>14000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'2-6-26'!I82</f>
        <v>800000</v>
      </c>
      <c r="E82" s="69">
        <v>2</v>
      </c>
      <c r="F82" s="69">
        <v>200000</v>
      </c>
      <c r="G82" s="69">
        <v>20000</v>
      </c>
      <c r="H82" s="73">
        <f t="shared" si="3"/>
        <v>220000</v>
      </c>
      <c r="I82" s="71">
        <f t="shared" si="4"/>
        <v>600000</v>
      </c>
      <c r="J82" s="69">
        <f t="shared" si="5"/>
        <v>2000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'2-6-26'!I83</f>
        <v>500000</v>
      </c>
      <c r="E83" s="68"/>
      <c r="F83" s="69"/>
      <c r="G83" s="69"/>
      <c r="H83" s="71">
        <f t="shared" si="3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'2-6-26'!I84</f>
        <v>0</v>
      </c>
      <c r="E84" s="68"/>
      <c r="F84" s="69"/>
      <c r="G84" s="69"/>
      <c r="H84" s="71">
        <f t="shared" si="3"/>
        <v>0</v>
      </c>
      <c r="I84" s="71">
        <f t="shared" si="4"/>
        <v>0</v>
      </c>
      <c r="J84" s="69">
        <f t="shared" si="5"/>
        <v>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'2-6-26'!I85</f>
        <v>5000000</v>
      </c>
      <c r="E85" s="68"/>
      <c r="F85" s="69"/>
      <c r="G85" s="69"/>
      <c r="H85" s="71">
        <f t="shared" si="3"/>
        <v>0</v>
      </c>
      <c r="I85" s="71">
        <f t="shared" si="4"/>
        <v>5000000</v>
      </c>
      <c r="J85" s="69">
        <f t="shared" si="5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'2-6-26'!I86</f>
        <v>1000000</v>
      </c>
      <c r="E86" s="68">
        <v>1</v>
      </c>
      <c r="F86" s="69">
        <v>100000</v>
      </c>
      <c r="G86" s="69">
        <v>20000</v>
      </c>
      <c r="H86" s="73">
        <f t="shared" si="3"/>
        <v>120000</v>
      </c>
      <c r="I86" s="71">
        <f t="shared" si="4"/>
        <v>900000</v>
      </c>
      <c r="J86" s="69">
        <f t="shared" si="5"/>
        <v>2000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'2-6-26'!I87</f>
        <v>500000</v>
      </c>
      <c r="E87" s="68"/>
      <c r="F87" s="69"/>
      <c r="G87" s="69"/>
      <c r="H87" s="71">
        <f t="shared" si="3"/>
        <v>0</v>
      </c>
      <c r="I87" s="71">
        <f t="shared" si="4"/>
        <v>500000</v>
      </c>
      <c r="J87" s="69">
        <f t="shared" si="5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'2-6-26'!I88</f>
        <v>3000000</v>
      </c>
      <c r="E88" s="68">
        <v>1</v>
      </c>
      <c r="F88" s="69">
        <v>300000</v>
      </c>
      <c r="G88" s="69">
        <v>60000</v>
      </c>
      <c r="H88" s="73">
        <f t="shared" ref="H73:H136" si="6">SUM(F88:G88)</f>
        <v>360000</v>
      </c>
      <c r="I88" s="71">
        <f t="shared" si="4"/>
        <v>2700000</v>
      </c>
      <c r="J88" s="69">
        <f t="shared" si="5"/>
        <v>6000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'26-5-26'!I89</f>
        <v>10000000</v>
      </c>
      <c r="E89" s="68">
        <v>1</v>
      </c>
      <c r="F89" s="69">
        <v>2000000</v>
      </c>
      <c r="G89" s="69">
        <v>200000</v>
      </c>
      <c r="H89" s="73">
        <f t="shared" si="6"/>
        <v>2200000</v>
      </c>
      <c r="I89" s="71">
        <f t="shared" si="4"/>
        <v>8000000</v>
      </c>
      <c r="J89" s="69">
        <f t="shared" si="5"/>
        <v>20000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v>2000000</v>
      </c>
      <c r="E90" s="68">
        <v>1</v>
      </c>
      <c r="F90" s="69">
        <v>200000</v>
      </c>
      <c r="G90" s="69">
        <v>40000</v>
      </c>
      <c r="H90" s="73">
        <f t="shared" si="6"/>
        <v>240000</v>
      </c>
      <c r="I90" s="71">
        <f t="shared" si="4"/>
        <v>1800000</v>
      </c>
      <c r="J90" s="69">
        <f t="shared" si="5"/>
        <v>4000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v>5000000</v>
      </c>
      <c r="E91" s="68"/>
      <c r="F91" s="69"/>
      <c r="G91" s="69"/>
      <c r="H91" s="71">
        <f t="shared" si="6"/>
        <v>0</v>
      </c>
      <c r="I91" s="71">
        <f t="shared" si="4"/>
        <v>5000000</v>
      </c>
      <c r="J91" s="69">
        <f t="shared" si="5"/>
        <v>0</v>
      </c>
    </row>
    <row r="92" s="45" customFormat="1" ht="12.75" customHeight="1" spans="1:10">
      <c r="A92" s="68">
        <v>84</v>
      </c>
      <c r="B92" s="69" t="s">
        <v>121</v>
      </c>
      <c r="C92" s="127" t="s">
        <v>215</v>
      </c>
      <c r="D92" s="71">
        <v>500000</v>
      </c>
      <c r="E92" s="68">
        <v>1</v>
      </c>
      <c r="F92" s="69">
        <v>50000</v>
      </c>
      <c r="G92" s="69">
        <v>10000</v>
      </c>
      <c r="H92" s="71">
        <f t="shared" si="6"/>
        <v>60000</v>
      </c>
      <c r="I92" s="71">
        <f t="shared" si="4"/>
        <v>450000</v>
      </c>
      <c r="J92" s="69">
        <f t="shared" si="5"/>
        <v>1000</v>
      </c>
    </row>
    <row r="93" s="45" customFormat="1" ht="12.75" customHeight="1" spans="1:10">
      <c r="A93" s="68">
        <v>85</v>
      </c>
      <c r="B93" s="69" t="s">
        <v>117</v>
      </c>
      <c r="C93" s="127" t="s">
        <v>215</v>
      </c>
      <c r="D93" s="71">
        <v>1500000</v>
      </c>
      <c r="E93" s="68"/>
      <c r="F93" s="69"/>
      <c r="G93" s="69"/>
      <c r="H93" s="71">
        <f t="shared" si="6"/>
        <v>0</v>
      </c>
      <c r="I93" s="71">
        <f t="shared" si="4"/>
        <v>1500000</v>
      </c>
      <c r="J93" s="69">
        <f t="shared" si="5"/>
        <v>0</v>
      </c>
    </row>
    <row r="94" s="45" customFormat="1" ht="12.75" customHeight="1" spans="1:10">
      <c r="A94" s="68">
        <v>86</v>
      </c>
      <c r="B94" s="69" t="s">
        <v>163</v>
      </c>
      <c r="C94" s="127" t="s">
        <v>215</v>
      </c>
      <c r="D94" s="71">
        <v>15000000</v>
      </c>
      <c r="E94" s="68"/>
      <c r="F94" s="69"/>
      <c r="G94" s="69"/>
      <c r="H94" s="71">
        <f t="shared" si="6"/>
        <v>0</v>
      </c>
      <c r="I94" s="71">
        <f t="shared" si="4"/>
        <v>15000000</v>
      </c>
      <c r="J94" s="69">
        <f t="shared" si="5"/>
        <v>0</v>
      </c>
    </row>
    <row r="95" s="45" customFormat="1" ht="12.75" customHeight="1" spans="1:10">
      <c r="A95" s="68"/>
      <c r="B95" s="69"/>
      <c r="C95" s="70"/>
      <c r="D95" s="71">
        <f>'19-5-26'!I95</f>
        <v>0</v>
      </c>
      <c r="E95" s="68"/>
      <c r="F95" s="69"/>
      <c r="G95" s="69"/>
      <c r="H95" s="71">
        <f t="shared" si="6"/>
        <v>0</v>
      </c>
      <c r="I95" s="71">
        <f t="shared" si="4"/>
        <v>0</v>
      </c>
      <c r="J95" s="69">
        <f t="shared" si="5"/>
        <v>0</v>
      </c>
    </row>
    <row r="96" s="45" customFormat="1" ht="12.75" customHeight="1" spans="1:10">
      <c r="A96" s="68"/>
      <c r="B96" s="69"/>
      <c r="C96" s="70"/>
      <c r="D96" s="71">
        <f>'19-5-26'!I96</f>
        <v>0</v>
      </c>
      <c r="E96" s="68"/>
      <c r="F96" s="69"/>
      <c r="G96" s="69"/>
      <c r="H96" s="71">
        <f t="shared" si="6"/>
        <v>0</v>
      </c>
      <c r="I96" s="71">
        <f t="shared" si="4"/>
        <v>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'19-5-26'!I97</f>
        <v>0</v>
      </c>
      <c r="E97" s="68"/>
      <c r="F97" s="69"/>
      <c r="G97" s="69"/>
      <c r="H97" s="71">
        <f t="shared" si="6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'19-5-26'!I98</f>
        <v>0</v>
      </c>
      <c r="E98" s="68"/>
      <c r="F98" s="69"/>
      <c r="G98" s="69"/>
      <c r="H98" s="71">
        <f t="shared" si="6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'19-5-26'!I99</f>
        <v>0</v>
      </c>
      <c r="E99" s="68"/>
      <c r="F99" s="69"/>
      <c r="G99" s="69"/>
      <c r="H99" s="71">
        <f t="shared" si="6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'19-5-26'!I100</f>
        <v>0</v>
      </c>
      <c r="E100" s="68"/>
      <c r="F100" s="69"/>
      <c r="G100" s="69"/>
      <c r="H100" s="71">
        <f t="shared" si="6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'19-5-26'!I101</f>
        <v>0</v>
      </c>
      <c r="E101" s="68"/>
      <c r="F101" s="69"/>
      <c r="G101" s="69"/>
      <c r="H101" s="71">
        <f t="shared" si="6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'19-5-26'!I102</f>
        <v>0</v>
      </c>
      <c r="E102" s="68"/>
      <c r="F102" s="69"/>
      <c r="G102" s="69"/>
      <c r="H102" s="71">
        <f t="shared" si="6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'19-5-26'!I103</f>
        <v>0</v>
      </c>
      <c r="E103" s="68"/>
      <c r="F103" s="69"/>
      <c r="G103" s="69"/>
      <c r="H103" s="71">
        <f t="shared" si="6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'19-5-26'!I104</f>
        <v>0</v>
      </c>
      <c r="E104" s="68"/>
      <c r="F104" s="69"/>
      <c r="G104" s="69"/>
      <c r="H104" s="71">
        <f t="shared" si="6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'19-5-26'!I105</f>
        <v>0</v>
      </c>
      <c r="E105" s="68"/>
      <c r="F105" s="69"/>
      <c r="G105" s="69"/>
      <c r="H105" s="71">
        <f t="shared" si="6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'19-5-26'!I106</f>
        <v>0</v>
      </c>
      <c r="E106" s="68"/>
      <c r="F106" s="69"/>
      <c r="G106" s="69"/>
      <c r="H106" s="71">
        <f t="shared" si="6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'19-5-26'!I107</f>
        <v>0</v>
      </c>
      <c r="E107" s="68"/>
      <c r="F107" s="69"/>
      <c r="G107" s="69"/>
      <c r="H107" s="71">
        <f t="shared" si="6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'19-5-26'!I108</f>
        <v>0</v>
      </c>
      <c r="E108" s="68"/>
      <c r="F108" s="69"/>
      <c r="G108" s="69"/>
      <c r="H108" s="71">
        <f t="shared" si="6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'19-5-26'!I109</f>
        <v>0</v>
      </c>
      <c r="E109" s="68"/>
      <c r="F109" s="69"/>
      <c r="G109" s="69"/>
      <c r="H109" s="71">
        <f t="shared" si="6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'19-5-26'!I110</f>
        <v>0</v>
      </c>
      <c r="E110" s="68"/>
      <c r="F110" s="69"/>
      <c r="G110" s="69"/>
      <c r="H110" s="71">
        <f t="shared" si="6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'19-5-26'!I111</f>
        <v>0</v>
      </c>
      <c r="E111" s="68"/>
      <c r="F111" s="69"/>
      <c r="G111" s="69"/>
      <c r="H111" s="71">
        <f t="shared" si="6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'19-5-26'!I112</f>
        <v>0</v>
      </c>
      <c r="E112" s="68"/>
      <c r="F112" s="69"/>
      <c r="G112" s="69"/>
      <c r="H112" s="71">
        <f t="shared" si="6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'19-5-26'!I113</f>
        <v>0</v>
      </c>
      <c r="E113" s="68"/>
      <c r="F113" s="69"/>
      <c r="G113" s="69"/>
      <c r="H113" s="71">
        <f t="shared" si="6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'19-5-26'!I114</f>
        <v>0</v>
      </c>
      <c r="E114" s="68"/>
      <c r="F114" s="69"/>
      <c r="G114" s="69"/>
      <c r="H114" s="71">
        <f t="shared" si="6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'19-5-26'!I115</f>
        <v>0</v>
      </c>
      <c r="E115" s="68"/>
      <c r="F115" s="69"/>
      <c r="G115" s="69"/>
      <c r="H115" s="71">
        <f t="shared" si="6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'19-5-26'!I116</f>
        <v>0</v>
      </c>
      <c r="E116" s="68"/>
      <c r="F116" s="69"/>
      <c r="G116" s="69"/>
      <c r="H116" s="71">
        <f t="shared" si="6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'19-5-26'!I117</f>
        <v>0</v>
      </c>
      <c r="E117" s="68"/>
      <c r="F117" s="69"/>
      <c r="G117" s="69"/>
      <c r="H117" s="71">
        <f t="shared" si="6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'19-5-26'!I118</f>
        <v>0</v>
      </c>
      <c r="E118" s="68"/>
      <c r="F118" s="69"/>
      <c r="G118" s="69"/>
      <c r="H118" s="71">
        <f t="shared" si="6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'19-5-26'!I119</f>
        <v>0</v>
      </c>
      <c r="E119" s="68"/>
      <c r="F119" s="69"/>
      <c r="G119" s="69"/>
      <c r="H119" s="71">
        <f t="shared" si="6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'19-5-26'!I120</f>
        <v>0</v>
      </c>
      <c r="E120" s="68"/>
      <c r="F120" s="69"/>
      <c r="G120" s="69"/>
      <c r="H120" s="71">
        <f t="shared" si="6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'19-5-26'!I121</f>
        <v>0</v>
      </c>
      <c r="E121" s="68"/>
      <c r="F121" s="69"/>
      <c r="G121" s="69"/>
      <c r="H121" s="71">
        <f t="shared" si="6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'19-5-26'!I122</f>
        <v>0</v>
      </c>
      <c r="E122" s="68"/>
      <c r="F122" s="69"/>
      <c r="G122" s="69"/>
      <c r="H122" s="71">
        <f t="shared" si="6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'19-5-26'!I123</f>
        <v>0</v>
      </c>
      <c r="E123" s="68"/>
      <c r="F123" s="69"/>
      <c r="G123" s="69"/>
      <c r="H123" s="71">
        <f t="shared" si="6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'19-5-26'!I124</f>
        <v>0</v>
      </c>
      <c r="E124" s="68"/>
      <c r="F124" s="69"/>
      <c r="G124" s="69"/>
      <c r="H124" s="71">
        <f t="shared" si="6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'19-5-26'!I125</f>
        <v>0</v>
      </c>
      <c r="E125" s="68"/>
      <c r="F125" s="69"/>
      <c r="G125" s="69"/>
      <c r="H125" s="71">
        <f t="shared" si="6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'19-5-26'!I126</f>
        <v>0</v>
      </c>
      <c r="E126" s="68"/>
      <c r="F126" s="69"/>
      <c r="G126" s="69"/>
      <c r="H126" s="71">
        <f t="shared" si="6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'19-5-26'!I127</f>
        <v>0</v>
      </c>
      <c r="E127" s="68"/>
      <c r="F127" s="69"/>
      <c r="G127" s="69"/>
      <c r="H127" s="71">
        <f t="shared" si="6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'19-5-26'!I128</f>
        <v>0</v>
      </c>
      <c r="E128" s="68"/>
      <c r="F128" s="69"/>
      <c r="G128" s="69"/>
      <c r="H128" s="71">
        <f t="shared" si="6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'19-5-26'!I129</f>
        <v>0</v>
      </c>
      <c r="E129" s="68"/>
      <c r="F129" s="69"/>
      <c r="G129" s="69"/>
      <c r="H129" s="71">
        <f t="shared" si="6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'19-5-26'!I130</f>
        <v>0</v>
      </c>
      <c r="E130" s="68"/>
      <c r="F130" s="69"/>
      <c r="G130" s="69"/>
      <c r="H130" s="71">
        <f t="shared" si="6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'19-5-26'!I131</f>
        <v>0</v>
      </c>
      <c r="E131" s="68"/>
      <c r="F131" s="69"/>
      <c r="G131" s="69"/>
      <c r="H131" s="71">
        <f t="shared" si="6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'19-5-26'!I132</f>
        <v>0</v>
      </c>
      <c r="E132" s="68"/>
      <c r="F132" s="69"/>
      <c r="G132" s="69"/>
      <c r="H132" s="71">
        <f t="shared" si="6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'19-5-26'!I133</f>
        <v>0</v>
      </c>
      <c r="E133" s="68"/>
      <c r="F133" s="69"/>
      <c r="G133" s="69"/>
      <c r="H133" s="71">
        <f t="shared" si="6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'19-5-26'!I134</f>
        <v>0</v>
      </c>
      <c r="E134" s="68"/>
      <c r="F134" s="69"/>
      <c r="G134" s="69"/>
      <c r="H134" s="71">
        <f t="shared" si="6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'19-5-26'!I135</f>
        <v>0</v>
      </c>
      <c r="E135" s="68"/>
      <c r="F135" s="69"/>
      <c r="G135" s="69"/>
      <c r="H135" s="71">
        <f t="shared" si="6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'19-5-26'!I136</f>
        <v>0</v>
      </c>
      <c r="E136" s="68"/>
      <c r="F136" s="69"/>
      <c r="G136" s="69"/>
      <c r="H136" s="71">
        <f t="shared" si="6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'19-5-26'!I137</f>
        <v>0</v>
      </c>
      <c r="E137" s="68"/>
      <c r="F137" s="69"/>
      <c r="G137" s="69"/>
      <c r="H137" s="71">
        <f t="shared" ref="H137:H187" si="7">SUM(F137:G137)</f>
        <v>0</v>
      </c>
      <c r="I137" s="71">
        <f t="shared" ref="I137:I187" si="8">D137-F137</f>
        <v>0</v>
      </c>
      <c r="J137" s="69">
        <f t="shared" ref="J137:J187" si="9">1/10*G137</f>
        <v>0</v>
      </c>
    </row>
    <row r="138" s="45" customFormat="1" ht="12.75" customHeight="1" spans="1:10">
      <c r="A138" s="68"/>
      <c r="B138" s="69"/>
      <c r="C138" s="70"/>
      <c r="D138" s="71">
        <f>'19-5-26'!I138</f>
        <v>0</v>
      </c>
      <c r="E138" s="68"/>
      <c r="F138" s="69"/>
      <c r="G138" s="69"/>
      <c r="H138" s="71">
        <f t="shared" si="7"/>
        <v>0</v>
      </c>
      <c r="I138" s="71">
        <f t="shared" si="8"/>
        <v>0</v>
      </c>
      <c r="J138" s="69">
        <f t="shared" si="9"/>
        <v>0</v>
      </c>
    </row>
    <row r="139" s="45" customFormat="1" ht="12.75" customHeight="1" spans="1:10">
      <c r="A139" s="68"/>
      <c r="B139" s="69"/>
      <c r="C139" s="70"/>
      <c r="D139" s="71">
        <f>'19-5-26'!I139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'19-5-26'!I140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'19-5-26'!I141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'19-5-26'!I142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'19-5-26'!I143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'19-5-26'!I144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'19-5-26'!I145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'19-5-26'!I146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'19-5-26'!I147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'19-5-26'!I148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'19-5-26'!I149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'19-5-26'!I150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'19-5-26'!I151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'19-5-26'!I152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'19-5-26'!I153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'19-5-26'!I154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'19-5-26'!I155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'19-5-26'!I156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'19-5-26'!I157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'19-5-26'!I158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'19-5-26'!I159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'19-5-26'!I160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'19-5-26'!I161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'19-5-26'!I162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'19-5-26'!I163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'19-5-26'!I164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'19-5-26'!I165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'19-5-26'!I166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'19-5-26'!I167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'19-5-26'!I168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'19-5-26'!I169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'19-5-26'!I170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'19-5-26'!I171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'19-5-26'!I172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'19-5-26'!I173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'19-5-26'!I174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'19-5-26'!I175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'19-5-26'!I176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'19-5-26'!I177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'19-5-26'!I178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'19-5-26'!I179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'19-5-26'!I180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'19-5-26'!I181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'19-5-26'!I182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'19-5-26'!I183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'19-5-26'!I184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'19-5-26'!I185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'19-5-26'!I186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'19-5-26'!I187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474012000</v>
      </c>
      <c r="E188" s="79">
        <f t="shared" si="10"/>
        <v>58</v>
      </c>
      <c r="F188" s="78">
        <f t="shared" si="10"/>
        <v>7785000</v>
      </c>
      <c r="G188" s="78">
        <f t="shared" si="10"/>
        <v>1292000</v>
      </c>
      <c r="H188" s="78">
        <f t="shared" si="10"/>
        <v>9077000</v>
      </c>
      <c r="I188" s="78">
        <f t="shared" si="10"/>
        <v>466227000</v>
      </c>
      <c r="J188" s="78">
        <f t="shared" si="10"/>
        <v>129200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1292000</v>
      </c>
      <c r="E191" s="47"/>
      <c r="F191" s="129" t="s">
        <v>218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64600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710600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32300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32300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32300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32300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129200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323000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1292000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40" zoomScaleNormal="140" topLeftCell="A82" workbookViewId="0">
      <selection activeCell="I91" sqref="I91:I93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219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'9-6-26'!I9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'9-6-26'!I10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'9-6-26'!I11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'9-6-26'!I12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'9-6-26'!I13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'9-6-26'!I14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'9-6-26'!I15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'9-6-26'!I16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'9-6-26'!I17</f>
        <v>5800000</v>
      </c>
      <c r="E17" s="68"/>
      <c r="F17" s="69"/>
      <c r="G17" s="69"/>
      <c r="H17" s="71">
        <f t="shared" si="0"/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'9-6-26'!I18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'9-6-26'!I19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'9-6-26'!I20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'9-6-26'!I21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'9-6-26'!I22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'9-6-26'!I23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'9-6-26'!I24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'9-6-26'!I25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'9-6-26'!I26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'9-6-26'!I27</f>
        <v>760000</v>
      </c>
      <c r="E27" s="68"/>
      <c r="F27" s="69"/>
      <c r="G27" s="69"/>
      <c r="H27" s="71">
        <f t="shared" si="0"/>
        <v>0</v>
      </c>
      <c r="I27" s="71">
        <f t="shared" si="1"/>
        <v>760000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'9-6-26'!I28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'9-6-26'!I29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'9-6-26'!I30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'9-6-26'!I31</f>
        <v>500000</v>
      </c>
      <c r="E31" s="68"/>
      <c r="F31" s="69"/>
      <c r="G31" s="69"/>
      <c r="H31" s="71">
        <f t="shared" si="0"/>
        <v>0</v>
      </c>
      <c r="I31" s="71">
        <f t="shared" si="1"/>
        <v>500000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'9-6-26'!I32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'9-6-26'!I33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'9-6-26'!I34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'9-6-26'!I35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'9-6-26'!I36</f>
        <v>5000000</v>
      </c>
      <c r="E36" s="68"/>
      <c r="F36" s="69"/>
      <c r="G36" s="69"/>
      <c r="H36" s="71">
        <f t="shared" si="0"/>
        <v>0</v>
      </c>
      <c r="I36" s="71">
        <f t="shared" si="1"/>
        <v>5000000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'9-6-26'!I37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'9-6-26'!I38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'9-6-26'!I39</f>
        <v>13690000</v>
      </c>
      <c r="E39" s="68"/>
      <c r="F39" s="69"/>
      <c r="G39" s="69"/>
      <c r="H39" s="71">
        <f t="shared" si="0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'9-6-26'!I40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'9-6-26'!I41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'9-6-26'!I42</f>
        <v>900000</v>
      </c>
      <c r="E42" s="68"/>
      <c r="F42" s="69"/>
      <c r="G42" s="69"/>
      <c r="H42" s="71">
        <f t="shared" ref="H42:H73" si="3">SUM(F42:G42)</f>
        <v>0</v>
      </c>
      <c r="I42" s="71">
        <f t="shared" si="1"/>
        <v>900000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'9-6-26'!I43</f>
        <v>4500000</v>
      </c>
      <c r="E43" s="68"/>
      <c r="F43" s="69"/>
      <c r="G43" s="69"/>
      <c r="H43" s="71">
        <f t="shared" si="3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'9-6-26'!I44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'9-6-26'!I45</f>
        <v>10500000</v>
      </c>
      <c r="E45" s="68"/>
      <c r="F45" s="69"/>
      <c r="G45" s="69"/>
      <c r="H45" s="71">
        <f t="shared" si="3"/>
        <v>0</v>
      </c>
      <c r="I45" s="71">
        <f t="shared" si="1"/>
        <v>10500000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'9-6-26'!I46</f>
        <v>0</v>
      </c>
      <c r="E46" s="68"/>
      <c r="F46" s="69"/>
      <c r="G46" s="69"/>
      <c r="H46" s="71">
        <f t="shared" si="3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'9-6-26'!I47</f>
        <v>9300000</v>
      </c>
      <c r="E47" s="68"/>
      <c r="F47" s="69"/>
      <c r="G47" s="69"/>
      <c r="H47" s="71">
        <f t="shared" si="3"/>
        <v>0</v>
      </c>
      <c r="I47" s="71">
        <f t="shared" si="1"/>
        <v>9300000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'9-6-26'!I48</f>
        <v>600000</v>
      </c>
      <c r="E48" s="68"/>
      <c r="F48" s="69"/>
      <c r="G48" s="69"/>
      <c r="H48" s="71">
        <f t="shared" si="3"/>
        <v>0</v>
      </c>
      <c r="I48" s="71">
        <f t="shared" si="1"/>
        <v>600000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'9-6-26'!I49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'9-6-26'!I50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'9-6-26'!I51</f>
        <v>15700000</v>
      </c>
      <c r="E51" s="68"/>
      <c r="F51" s="69"/>
      <c r="G51" s="69"/>
      <c r="H51" s="71">
        <f t="shared" si="3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'9-6-26'!I52</f>
        <v>24600000</v>
      </c>
      <c r="E52" s="68"/>
      <c r="F52" s="69"/>
      <c r="G52" s="69"/>
      <c r="H52" s="71">
        <f t="shared" si="3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'9-6-26'!I53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'9-6-26'!I54</f>
        <v>4200000</v>
      </c>
      <c r="E54" s="68"/>
      <c r="F54" s="69"/>
      <c r="G54" s="69"/>
      <c r="H54" s="71">
        <f t="shared" si="3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'9-6-26'!I55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'9-6-26'!I56</f>
        <v>0</v>
      </c>
      <c r="E56" s="68"/>
      <c r="F56" s="69"/>
      <c r="G56" s="69"/>
      <c r="H56" s="71">
        <f t="shared" si="3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'9-6-26'!I57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'9-6-26'!I58</f>
        <v>0</v>
      </c>
      <c r="E58" s="68"/>
      <c r="F58" s="69"/>
      <c r="G58" s="69"/>
      <c r="H58" s="71">
        <f t="shared" si="3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'9-6-26'!I59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'9-6-26'!I60</f>
        <v>0</v>
      </c>
      <c r="E60" s="68"/>
      <c r="F60" s="69"/>
      <c r="G60" s="69"/>
      <c r="H60" s="71">
        <f t="shared" si="3"/>
        <v>0</v>
      </c>
      <c r="I60" s="71">
        <f t="shared" si="1"/>
        <v>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'9-6-26'!I61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'9-6-26'!I62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'9-6-26'!I63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'9-6-26'!I64</f>
        <v>0</v>
      </c>
      <c r="E64" s="68"/>
      <c r="F64" s="69"/>
      <c r="G64" s="69"/>
      <c r="H64" s="71">
        <f t="shared" si="3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'9-6-26'!I65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'9-6-26'!I66</f>
        <v>0</v>
      </c>
      <c r="E66" s="68"/>
      <c r="F66" s="69"/>
      <c r="G66" s="69"/>
      <c r="H66" s="71">
        <f t="shared" si="3"/>
        <v>0</v>
      </c>
      <c r="I66" s="71">
        <f t="shared" si="1"/>
        <v>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'9-6-26'!I67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'9-6-26'!I68</f>
        <v>3400000</v>
      </c>
      <c r="E68" s="68"/>
      <c r="F68" s="69"/>
      <c r="G68" s="69"/>
      <c r="H68" s="71">
        <f t="shared" si="3"/>
        <v>0</v>
      </c>
      <c r="I68" s="71">
        <f t="shared" si="1"/>
        <v>3400000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'9-6-26'!I69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'9-6-26'!I70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'9-6-26'!I71</f>
        <v>1500000</v>
      </c>
      <c r="E71" s="68"/>
      <c r="F71" s="69"/>
      <c r="G71" s="69"/>
      <c r="H71" s="71">
        <f t="shared" si="3"/>
        <v>0</v>
      </c>
      <c r="I71" s="71">
        <f t="shared" si="1"/>
        <v>1500000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'9-6-26'!I72</f>
        <v>1600000</v>
      </c>
      <c r="E72" s="68"/>
      <c r="F72" s="69"/>
      <c r="G72" s="69"/>
      <c r="H72" s="71">
        <f t="shared" si="3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f>'9-6-26'!I73</f>
        <v>0</v>
      </c>
      <c r="E73" s="69"/>
      <c r="F73" s="69"/>
      <c r="G73" s="69"/>
      <c r="H73" s="71">
        <f t="shared" si="3"/>
        <v>0</v>
      </c>
      <c r="I73" s="71">
        <f t="shared" ref="I73:I136" si="4">D73-F73</f>
        <v>0</v>
      </c>
      <c r="J73" s="69">
        <f t="shared" ref="J73:J136" si="5"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'9-6-26'!I74</f>
        <v>0</v>
      </c>
      <c r="E74" s="68"/>
      <c r="F74" s="69"/>
      <c r="G74" s="69"/>
      <c r="H74" s="71">
        <f t="shared" ref="H74:H94" si="6">SUM(F74:G74)</f>
        <v>0</v>
      </c>
      <c r="I74" s="71">
        <f t="shared" si="4"/>
        <v>0</v>
      </c>
      <c r="J74" s="69">
        <f t="shared" si="5"/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'9-6-26'!I75</f>
        <v>2100000</v>
      </c>
      <c r="E75" s="68"/>
      <c r="F75" s="69"/>
      <c r="G75" s="69"/>
      <c r="H75" s="71">
        <f t="shared" si="6"/>
        <v>0</v>
      </c>
      <c r="I75" s="71">
        <f t="shared" si="4"/>
        <v>2100000</v>
      </c>
      <c r="J75" s="69">
        <f t="shared" si="5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'9-6-26'!I76</f>
        <v>770000</v>
      </c>
      <c r="E76" s="68"/>
      <c r="F76" s="69"/>
      <c r="G76" s="69"/>
      <c r="H76" s="71">
        <f t="shared" si="6"/>
        <v>0</v>
      </c>
      <c r="I76" s="71">
        <f t="shared" si="4"/>
        <v>770000</v>
      </c>
      <c r="J76" s="69">
        <f t="shared" si="5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'9-6-26'!I77</f>
        <v>4250000</v>
      </c>
      <c r="E77" s="68"/>
      <c r="F77" s="69"/>
      <c r="G77" s="69"/>
      <c r="H77" s="71">
        <f t="shared" si="6"/>
        <v>0</v>
      </c>
      <c r="I77" s="71">
        <f t="shared" si="4"/>
        <v>4250000</v>
      </c>
      <c r="J77" s="69">
        <f t="shared" si="5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'9-6-26'!I78</f>
        <v>8500000</v>
      </c>
      <c r="E78" s="68">
        <v>4</v>
      </c>
      <c r="F78" s="69">
        <v>500000</v>
      </c>
      <c r="G78" s="69">
        <v>200000</v>
      </c>
      <c r="H78" s="71">
        <f t="shared" si="6"/>
        <v>700000</v>
      </c>
      <c r="I78" s="71">
        <f t="shared" si="4"/>
        <v>8000000</v>
      </c>
      <c r="J78" s="69">
        <f t="shared" si="5"/>
        <v>20000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'9-6-26'!I79</f>
        <v>1800000</v>
      </c>
      <c r="E79" s="68"/>
      <c r="F79" s="69"/>
      <c r="G79" s="69"/>
      <c r="H79" s="71">
        <f t="shared" si="6"/>
        <v>0</v>
      </c>
      <c r="I79" s="71">
        <f t="shared" si="4"/>
        <v>1800000</v>
      </c>
      <c r="J79" s="69">
        <f t="shared" si="5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'9-6-26'!I80</f>
        <v>700000</v>
      </c>
      <c r="E80" s="68"/>
      <c r="F80" s="69"/>
      <c r="G80" s="69"/>
      <c r="H80" s="71">
        <f t="shared" si="6"/>
        <v>0</v>
      </c>
      <c r="I80" s="71">
        <f t="shared" si="4"/>
        <v>700000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'9-6-26'!I81</f>
        <v>5600000</v>
      </c>
      <c r="E81" s="68"/>
      <c r="F81" s="69"/>
      <c r="G81" s="69"/>
      <c r="H81" s="71">
        <f t="shared" si="6"/>
        <v>0</v>
      </c>
      <c r="I81" s="71">
        <f t="shared" si="4"/>
        <v>5600000</v>
      </c>
      <c r="J81" s="69">
        <f t="shared" si="5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'9-6-26'!I82</f>
        <v>600000</v>
      </c>
      <c r="E82" s="69"/>
      <c r="F82" s="69"/>
      <c r="G82" s="69"/>
      <c r="H82" s="71">
        <f t="shared" si="6"/>
        <v>0</v>
      </c>
      <c r="I82" s="71">
        <f t="shared" si="4"/>
        <v>600000</v>
      </c>
      <c r="J82" s="69">
        <f t="shared" si="5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'9-6-26'!I83</f>
        <v>500000</v>
      </c>
      <c r="E83" s="68"/>
      <c r="F83" s="69"/>
      <c r="G83" s="69"/>
      <c r="H83" s="71">
        <f t="shared" si="6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'9-6-26'!I84</f>
        <v>0</v>
      </c>
      <c r="E84" s="68"/>
      <c r="F84" s="69"/>
      <c r="G84" s="69"/>
      <c r="H84" s="71">
        <f t="shared" si="6"/>
        <v>0</v>
      </c>
      <c r="I84" s="71">
        <f t="shared" si="4"/>
        <v>0</v>
      </c>
      <c r="J84" s="69">
        <f t="shared" si="5"/>
        <v>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'9-6-26'!I85</f>
        <v>5000000</v>
      </c>
      <c r="E85" s="68"/>
      <c r="F85" s="69"/>
      <c r="G85" s="69"/>
      <c r="H85" s="71">
        <f t="shared" si="6"/>
        <v>0</v>
      </c>
      <c r="I85" s="71">
        <f t="shared" si="4"/>
        <v>5000000</v>
      </c>
      <c r="J85" s="69">
        <f t="shared" si="5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'9-6-26'!I86</f>
        <v>900000</v>
      </c>
      <c r="E86" s="68"/>
      <c r="F86" s="69"/>
      <c r="G86" s="69"/>
      <c r="H86" s="71">
        <f t="shared" si="6"/>
        <v>0</v>
      </c>
      <c r="I86" s="71">
        <f t="shared" si="4"/>
        <v>900000</v>
      </c>
      <c r="J86" s="69">
        <f t="shared" si="5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'9-6-26'!I87</f>
        <v>500000</v>
      </c>
      <c r="E87" s="68"/>
      <c r="F87" s="69"/>
      <c r="G87" s="69"/>
      <c r="H87" s="71">
        <f t="shared" si="6"/>
        <v>0</v>
      </c>
      <c r="I87" s="71">
        <f t="shared" si="4"/>
        <v>500000</v>
      </c>
      <c r="J87" s="69">
        <f t="shared" si="5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'9-6-26'!I88</f>
        <v>2700000</v>
      </c>
      <c r="E88" s="68"/>
      <c r="F88" s="69"/>
      <c r="G88" s="69"/>
      <c r="H88" s="71">
        <f t="shared" si="6"/>
        <v>0</v>
      </c>
      <c r="I88" s="71">
        <f t="shared" si="4"/>
        <v>2700000</v>
      </c>
      <c r="J88" s="69">
        <f t="shared" si="5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'9-6-26'!I89</f>
        <v>8000000</v>
      </c>
      <c r="E89" s="68"/>
      <c r="F89" s="69"/>
      <c r="G89" s="69"/>
      <c r="H89" s="71">
        <f t="shared" si="6"/>
        <v>0</v>
      </c>
      <c r="I89" s="71">
        <f t="shared" si="4"/>
        <v>8000000</v>
      </c>
      <c r="J89" s="69">
        <f t="shared" si="5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f>'9-6-26'!I90</f>
        <v>1800000</v>
      </c>
      <c r="E90" s="68"/>
      <c r="F90" s="69"/>
      <c r="G90" s="69"/>
      <c r="H90" s="71">
        <f t="shared" si="6"/>
        <v>0</v>
      </c>
      <c r="I90" s="71">
        <f t="shared" si="4"/>
        <v>1800000</v>
      </c>
      <c r="J90" s="69">
        <f t="shared" si="5"/>
        <v>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f>'9-6-26'!I91</f>
        <v>5000000</v>
      </c>
      <c r="E91" s="68"/>
      <c r="F91" s="69"/>
      <c r="G91" s="69"/>
      <c r="H91" s="71">
        <f t="shared" si="6"/>
        <v>0</v>
      </c>
      <c r="I91" s="71">
        <f t="shared" si="4"/>
        <v>5000000</v>
      </c>
      <c r="J91" s="69">
        <f t="shared" si="5"/>
        <v>0</v>
      </c>
    </row>
    <row r="92" s="45" customFormat="1" ht="12.75" customHeight="1" spans="1:10">
      <c r="A92" s="68">
        <v>84</v>
      </c>
      <c r="B92" s="69" t="s">
        <v>121</v>
      </c>
      <c r="C92" s="127" t="s">
        <v>215</v>
      </c>
      <c r="D92" s="71">
        <f>'9-6-26'!I92</f>
        <v>450000</v>
      </c>
      <c r="E92" s="68"/>
      <c r="F92" s="69"/>
      <c r="G92" s="69"/>
      <c r="H92" s="71">
        <f t="shared" si="6"/>
        <v>0</v>
      </c>
      <c r="I92" s="71">
        <f t="shared" si="4"/>
        <v>450000</v>
      </c>
      <c r="J92" s="69">
        <f t="shared" si="5"/>
        <v>0</v>
      </c>
    </row>
    <row r="93" s="45" customFormat="1" ht="12.75" customHeight="1" spans="1:10">
      <c r="A93" s="68">
        <v>85</v>
      </c>
      <c r="B93" s="69" t="s">
        <v>117</v>
      </c>
      <c r="C93" s="127" t="s">
        <v>215</v>
      </c>
      <c r="D93" s="71">
        <f>'9-6-26'!I93</f>
        <v>1500000</v>
      </c>
      <c r="E93" s="68"/>
      <c r="F93" s="69"/>
      <c r="G93" s="69"/>
      <c r="H93" s="71">
        <f t="shared" si="6"/>
        <v>0</v>
      </c>
      <c r="I93" s="71">
        <f t="shared" si="4"/>
        <v>1500000</v>
      </c>
      <c r="J93" s="69">
        <f t="shared" si="5"/>
        <v>0</v>
      </c>
    </row>
    <row r="94" s="45" customFormat="1" ht="12.75" customHeight="1" spans="1:10">
      <c r="A94" s="68">
        <v>86</v>
      </c>
      <c r="B94" s="69" t="s">
        <v>163</v>
      </c>
      <c r="C94" s="127" t="s">
        <v>215</v>
      </c>
      <c r="D94" s="71">
        <f>'9-6-26'!I94</f>
        <v>15000000</v>
      </c>
      <c r="E94" s="68"/>
      <c r="F94" s="69"/>
      <c r="G94" s="69"/>
      <c r="H94" s="71">
        <f t="shared" si="6"/>
        <v>0</v>
      </c>
      <c r="I94" s="71">
        <f t="shared" si="4"/>
        <v>15000000</v>
      </c>
      <c r="J94" s="69">
        <f t="shared" si="5"/>
        <v>0</v>
      </c>
    </row>
    <row r="95" s="45" customFormat="1" ht="12.75" customHeight="1" spans="1:10">
      <c r="A95" s="68">
        <v>87</v>
      </c>
      <c r="B95" s="69" t="s">
        <v>85</v>
      </c>
      <c r="C95" s="127" t="s">
        <v>220</v>
      </c>
      <c r="D95" s="71">
        <v>2000000</v>
      </c>
      <c r="E95" s="68"/>
      <c r="F95" s="69"/>
      <c r="G95" s="69"/>
      <c r="H95" s="71">
        <f t="shared" ref="H73:H136" si="7">SUM(F95:G95)</f>
        <v>0</v>
      </c>
      <c r="I95" s="71">
        <f t="shared" si="4"/>
        <v>2000000</v>
      </c>
      <c r="J95" s="69">
        <f t="shared" si="5"/>
        <v>0</v>
      </c>
    </row>
    <row r="96" s="45" customFormat="1" ht="12.75" customHeight="1" spans="1:10">
      <c r="A96" s="68"/>
      <c r="B96" s="69"/>
      <c r="C96" s="70"/>
      <c r="D96" s="71">
        <f>'9-6-26'!I96</f>
        <v>0</v>
      </c>
      <c r="E96" s="68"/>
      <c r="F96" s="69"/>
      <c r="G96" s="69"/>
      <c r="H96" s="71">
        <f t="shared" si="7"/>
        <v>0</v>
      </c>
      <c r="I96" s="71">
        <f t="shared" si="4"/>
        <v>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'9-6-26'!I97</f>
        <v>0</v>
      </c>
      <c r="E97" s="68"/>
      <c r="F97" s="69"/>
      <c r="G97" s="69"/>
      <c r="H97" s="71">
        <f t="shared" si="7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'9-6-26'!I98</f>
        <v>0</v>
      </c>
      <c r="E98" s="68"/>
      <c r="F98" s="69"/>
      <c r="G98" s="69"/>
      <c r="H98" s="71">
        <f t="shared" si="7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'9-6-26'!I99</f>
        <v>0</v>
      </c>
      <c r="E99" s="68"/>
      <c r="F99" s="69"/>
      <c r="G99" s="69"/>
      <c r="H99" s="71">
        <f t="shared" si="7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'9-6-26'!I100</f>
        <v>0</v>
      </c>
      <c r="E100" s="68"/>
      <c r="F100" s="69"/>
      <c r="G100" s="69"/>
      <c r="H100" s="71">
        <f t="shared" si="7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'19-5-26'!I101</f>
        <v>0</v>
      </c>
      <c r="E101" s="68"/>
      <c r="F101" s="69"/>
      <c r="G101" s="69"/>
      <c r="H101" s="71">
        <f t="shared" si="7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'19-5-26'!I102</f>
        <v>0</v>
      </c>
      <c r="E102" s="68"/>
      <c r="F102" s="69"/>
      <c r="G102" s="69"/>
      <c r="H102" s="71">
        <f t="shared" si="7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'19-5-26'!I103</f>
        <v>0</v>
      </c>
      <c r="E103" s="68"/>
      <c r="F103" s="69"/>
      <c r="G103" s="69"/>
      <c r="H103" s="71">
        <f t="shared" si="7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'19-5-26'!I104</f>
        <v>0</v>
      </c>
      <c r="E104" s="68"/>
      <c r="F104" s="69"/>
      <c r="G104" s="69"/>
      <c r="H104" s="71">
        <f t="shared" si="7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'19-5-26'!I105</f>
        <v>0</v>
      </c>
      <c r="E105" s="68"/>
      <c r="F105" s="69"/>
      <c r="G105" s="69"/>
      <c r="H105" s="71">
        <f t="shared" si="7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'19-5-26'!I106</f>
        <v>0</v>
      </c>
      <c r="E106" s="68"/>
      <c r="F106" s="69"/>
      <c r="G106" s="69"/>
      <c r="H106" s="71">
        <f t="shared" si="7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'19-5-26'!I107</f>
        <v>0</v>
      </c>
      <c r="E107" s="68"/>
      <c r="F107" s="69"/>
      <c r="G107" s="69"/>
      <c r="H107" s="71">
        <f t="shared" si="7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'19-5-26'!I108</f>
        <v>0</v>
      </c>
      <c r="E108" s="68"/>
      <c r="F108" s="69"/>
      <c r="G108" s="69"/>
      <c r="H108" s="71">
        <f t="shared" si="7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'19-5-26'!I109</f>
        <v>0</v>
      </c>
      <c r="E109" s="68"/>
      <c r="F109" s="69"/>
      <c r="G109" s="69"/>
      <c r="H109" s="71">
        <f t="shared" si="7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'19-5-26'!I110</f>
        <v>0</v>
      </c>
      <c r="E110" s="68"/>
      <c r="F110" s="69"/>
      <c r="G110" s="69"/>
      <c r="H110" s="71">
        <f t="shared" si="7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'19-5-26'!I111</f>
        <v>0</v>
      </c>
      <c r="E111" s="68"/>
      <c r="F111" s="69"/>
      <c r="G111" s="69"/>
      <c r="H111" s="71">
        <f t="shared" si="7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'19-5-26'!I112</f>
        <v>0</v>
      </c>
      <c r="E112" s="68"/>
      <c r="F112" s="69"/>
      <c r="G112" s="69"/>
      <c r="H112" s="71">
        <f t="shared" si="7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'19-5-26'!I113</f>
        <v>0</v>
      </c>
      <c r="E113" s="68"/>
      <c r="F113" s="69"/>
      <c r="G113" s="69"/>
      <c r="H113" s="71">
        <f t="shared" si="7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'19-5-26'!I114</f>
        <v>0</v>
      </c>
      <c r="E114" s="68"/>
      <c r="F114" s="69"/>
      <c r="G114" s="69"/>
      <c r="H114" s="71">
        <f t="shared" si="7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'19-5-26'!I115</f>
        <v>0</v>
      </c>
      <c r="E115" s="68"/>
      <c r="F115" s="69"/>
      <c r="G115" s="69"/>
      <c r="H115" s="71">
        <f t="shared" si="7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'19-5-26'!I116</f>
        <v>0</v>
      </c>
      <c r="E116" s="68"/>
      <c r="F116" s="69"/>
      <c r="G116" s="69"/>
      <c r="H116" s="71">
        <f t="shared" si="7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'19-5-26'!I117</f>
        <v>0</v>
      </c>
      <c r="E117" s="68"/>
      <c r="F117" s="69"/>
      <c r="G117" s="69"/>
      <c r="H117" s="71">
        <f t="shared" si="7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'19-5-26'!I118</f>
        <v>0</v>
      </c>
      <c r="E118" s="68"/>
      <c r="F118" s="69"/>
      <c r="G118" s="69"/>
      <c r="H118" s="71">
        <f t="shared" si="7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'19-5-26'!I119</f>
        <v>0</v>
      </c>
      <c r="E119" s="68"/>
      <c r="F119" s="69"/>
      <c r="G119" s="69"/>
      <c r="H119" s="71">
        <f t="shared" si="7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'19-5-26'!I120</f>
        <v>0</v>
      </c>
      <c r="E120" s="68"/>
      <c r="F120" s="69"/>
      <c r="G120" s="69"/>
      <c r="H120" s="71">
        <f t="shared" si="7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'19-5-26'!I121</f>
        <v>0</v>
      </c>
      <c r="E121" s="68"/>
      <c r="F121" s="69"/>
      <c r="G121" s="69"/>
      <c r="H121" s="71">
        <f t="shared" si="7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'19-5-26'!I122</f>
        <v>0</v>
      </c>
      <c r="E122" s="68"/>
      <c r="F122" s="69"/>
      <c r="G122" s="69"/>
      <c r="H122" s="71">
        <f t="shared" si="7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'19-5-26'!I123</f>
        <v>0</v>
      </c>
      <c r="E123" s="68"/>
      <c r="F123" s="69"/>
      <c r="G123" s="69"/>
      <c r="H123" s="71">
        <f t="shared" si="7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'19-5-26'!I124</f>
        <v>0</v>
      </c>
      <c r="E124" s="68"/>
      <c r="F124" s="69"/>
      <c r="G124" s="69"/>
      <c r="H124" s="71">
        <f t="shared" si="7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'19-5-26'!I125</f>
        <v>0</v>
      </c>
      <c r="E125" s="68"/>
      <c r="F125" s="69"/>
      <c r="G125" s="69"/>
      <c r="H125" s="71">
        <f t="shared" si="7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'19-5-26'!I126</f>
        <v>0</v>
      </c>
      <c r="E126" s="68"/>
      <c r="F126" s="69"/>
      <c r="G126" s="69"/>
      <c r="H126" s="71">
        <f t="shared" si="7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'19-5-26'!I127</f>
        <v>0</v>
      </c>
      <c r="E127" s="68"/>
      <c r="F127" s="69"/>
      <c r="G127" s="69"/>
      <c r="H127" s="71">
        <f t="shared" si="7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'19-5-26'!I128</f>
        <v>0</v>
      </c>
      <c r="E128" s="68"/>
      <c r="F128" s="69"/>
      <c r="G128" s="69"/>
      <c r="H128" s="71">
        <f t="shared" si="7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'19-5-26'!I129</f>
        <v>0</v>
      </c>
      <c r="E129" s="68"/>
      <c r="F129" s="69"/>
      <c r="G129" s="69"/>
      <c r="H129" s="71">
        <f t="shared" si="7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'19-5-26'!I130</f>
        <v>0</v>
      </c>
      <c r="E130" s="68"/>
      <c r="F130" s="69"/>
      <c r="G130" s="69"/>
      <c r="H130" s="71">
        <f t="shared" si="7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'19-5-26'!I131</f>
        <v>0</v>
      </c>
      <c r="E131" s="68"/>
      <c r="F131" s="69"/>
      <c r="G131" s="69"/>
      <c r="H131" s="71">
        <f t="shared" si="7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'19-5-26'!I132</f>
        <v>0</v>
      </c>
      <c r="E132" s="68"/>
      <c r="F132" s="69"/>
      <c r="G132" s="69"/>
      <c r="H132" s="71">
        <f t="shared" si="7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'19-5-26'!I133</f>
        <v>0</v>
      </c>
      <c r="E133" s="68"/>
      <c r="F133" s="69"/>
      <c r="G133" s="69"/>
      <c r="H133" s="71">
        <f t="shared" si="7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'19-5-26'!I134</f>
        <v>0</v>
      </c>
      <c r="E134" s="68"/>
      <c r="F134" s="69"/>
      <c r="G134" s="69"/>
      <c r="H134" s="71">
        <f t="shared" si="7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'19-5-26'!I135</f>
        <v>0</v>
      </c>
      <c r="E135" s="68"/>
      <c r="F135" s="69"/>
      <c r="G135" s="69"/>
      <c r="H135" s="71">
        <f t="shared" si="7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'19-5-26'!I136</f>
        <v>0</v>
      </c>
      <c r="E136" s="68"/>
      <c r="F136" s="69"/>
      <c r="G136" s="69"/>
      <c r="H136" s="71">
        <f t="shared" si="7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'19-5-26'!I137</f>
        <v>0</v>
      </c>
      <c r="E137" s="68"/>
      <c r="F137" s="69"/>
      <c r="G137" s="69"/>
      <c r="H137" s="71">
        <f t="shared" ref="H137:H187" si="8">SUM(F137:G137)</f>
        <v>0</v>
      </c>
      <c r="I137" s="71">
        <f t="shared" ref="I137:I187" si="9">D137-F137</f>
        <v>0</v>
      </c>
      <c r="J137" s="69">
        <f t="shared" ref="J137:J187" si="10">1/10*G137</f>
        <v>0</v>
      </c>
    </row>
    <row r="138" s="45" customFormat="1" ht="12.75" customHeight="1" spans="1:10">
      <c r="A138" s="68"/>
      <c r="B138" s="69"/>
      <c r="C138" s="70"/>
      <c r="D138" s="71">
        <f>'19-5-26'!I138</f>
        <v>0</v>
      </c>
      <c r="E138" s="68"/>
      <c r="F138" s="69"/>
      <c r="G138" s="69"/>
      <c r="H138" s="71">
        <f t="shared" si="8"/>
        <v>0</v>
      </c>
      <c r="I138" s="71">
        <f t="shared" si="9"/>
        <v>0</v>
      </c>
      <c r="J138" s="69">
        <f t="shared" si="10"/>
        <v>0</v>
      </c>
    </row>
    <row r="139" s="45" customFormat="1" ht="12.75" customHeight="1" spans="1:10">
      <c r="A139" s="68"/>
      <c r="B139" s="69"/>
      <c r="C139" s="70"/>
      <c r="D139" s="71">
        <f>'19-5-26'!I139</f>
        <v>0</v>
      </c>
      <c r="E139" s="68"/>
      <c r="F139" s="69"/>
      <c r="G139" s="69"/>
      <c r="H139" s="71">
        <f t="shared" si="8"/>
        <v>0</v>
      </c>
      <c r="I139" s="71">
        <f t="shared" si="9"/>
        <v>0</v>
      </c>
      <c r="J139" s="69">
        <f t="shared" si="10"/>
        <v>0</v>
      </c>
    </row>
    <row r="140" s="45" customFormat="1" ht="12.75" customHeight="1" spans="1:10">
      <c r="A140" s="68"/>
      <c r="B140" s="69"/>
      <c r="C140" s="70"/>
      <c r="D140" s="71">
        <f>'19-5-26'!I140</f>
        <v>0</v>
      </c>
      <c r="E140" s="68"/>
      <c r="F140" s="69"/>
      <c r="G140" s="69"/>
      <c r="H140" s="71">
        <f t="shared" si="8"/>
        <v>0</v>
      </c>
      <c r="I140" s="71">
        <f t="shared" si="9"/>
        <v>0</v>
      </c>
      <c r="J140" s="69">
        <f t="shared" si="10"/>
        <v>0</v>
      </c>
    </row>
    <row r="141" s="45" customFormat="1" ht="12.75" customHeight="1" spans="1:10">
      <c r="A141" s="68"/>
      <c r="B141" s="69"/>
      <c r="C141" s="70"/>
      <c r="D141" s="71">
        <f>'19-5-26'!I141</f>
        <v>0</v>
      </c>
      <c r="E141" s="68"/>
      <c r="F141" s="69"/>
      <c r="G141" s="69"/>
      <c r="H141" s="71">
        <f t="shared" si="8"/>
        <v>0</v>
      </c>
      <c r="I141" s="71">
        <f t="shared" si="9"/>
        <v>0</v>
      </c>
      <c r="J141" s="69">
        <f t="shared" si="10"/>
        <v>0</v>
      </c>
    </row>
    <row r="142" s="45" customFormat="1" ht="12.75" customHeight="1" spans="1:10">
      <c r="A142" s="68"/>
      <c r="B142" s="69"/>
      <c r="C142" s="70"/>
      <c r="D142" s="71">
        <f>'19-5-26'!I142</f>
        <v>0</v>
      </c>
      <c r="E142" s="68"/>
      <c r="F142" s="69"/>
      <c r="G142" s="69"/>
      <c r="H142" s="71">
        <f t="shared" si="8"/>
        <v>0</v>
      </c>
      <c r="I142" s="71">
        <f t="shared" si="9"/>
        <v>0</v>
      </c>
      <c r="J142" s="69">
        <f t="shared" si="10"/>
        <v>0</v>
      </c>
    </row>
    <row r="143" s="45" customFormat="1" ht="12.75" customHeight="1" spans="1:10">
      <c r="A143" s="68"/>
      <c r="B143" s="69"/>
      <c r="C143" s="70"/>
      <c r="D143" s="71">
        <f>'19-5-26'!I143</f>
        <v>0</v>
      </c>
      <c r="E143" s="68"/>
      <c r="F143" s="69"/>
      <c r="G143" s="69"/>
      <c r="H143" s="71">
        <f t="shared" si="8"/>
        <v>0</v>
      </c>
      <c r="I143" s="71">
        <f t="shared" si="9"/>
        <v>0</v>
      </c>
      <c r="J143" s="69">
        <f t="shared" si="10"/>
        <v>0</v>
      </c>
    </row>
    <row r="144" s="45" customFormat="1" ht="12.75" customHeight="1" spans="1:10">
      <c r="A144" s="68"/>
      <c r="B144" s="69"/>
      <c r="C144" s="70"/>
      <c r="D144" s="71">
        <f>'19-5-26'!I144</f>
        <v>0</v>
      </c>
      <c r="E144" s="68"/>
      <c r="F144" s="69"/>
      <c r="G144" s="69"/>
      <c r="H144" s="71">
        <f t="shared" si="8"/>
        <v>0</v>
      </c>
      <c r="I144" s="71">
        <f t="shared" si="9"/>
        <v>0</v>
      </c>
      <c r="J144" s="69">
        <f t="shared" si="10"/>
        <v>0</v>
      </c>
    </row>
    <row r="145" s="45" customFormat="1" ht="12.75" customHeight="1" spans="1:10">
      <c r="A145" s="68"/>
      <c r="B145" s="69"/>
      <c r="C145" s="70"/>
      <c r="D145" s="71">
        <f>'19-5-26'!I145</f>
        <v>0</v>
      </c>
      <c r="E145" s="68"/>
      <c r="F145" s="69"/>
      <c r="G145" s="69"/>
      <c r="H145" s="71">
        <f t="shared" si="8"/>
        <v>0</v>
      </c>
      <c r="I145" s="71">
        <f t="shared" si="9"/>
        <v>0</v>
      </c>
      <c r="J145" s="69">
        <f t="shared" si="10"/>
        <v>0</v>
      </c>
    </row>
    <row r="146" s="45" customFormat="1" ht="12.75" customHeight="1" spans="1:10">
      <c r="A146" s="68"/>
      <c r="B146" s="69"/>
      <c r="C146" s="70"/>
      <c r="D146" s="71">
        <f>'19-5-26'!I146</f>
        <v>0</v>
      </c>
      <c r="E146" s="68"/>
      <c r="F146" s="69"/>
      <c r="G146" s="69"/>
      <c r="H146" s="71">
        <f t="shared" si="8"/>
        <v>0</v>
      </c>
      <c r="I146" s="71">
        <f t="shared" si="9"/>
        <v>0</v>
      </c>
      <c r="J146" s="69">
        <f t="shared" si="10"/>
        <v>0</v>
      </c>
    </row>
    <row r="147" s="45" customFormat="1" ht="12.75" customHeight="1" spans="1:10">
      <c r="A147" s="68"/>
      <c r="B147" s="69"/>
      <c r="C147" s="70"/>
      <c r="D147" s="71">
        <f>'19-5-26'!I147</f>
        <v>0</v>
      </c>
      <c r="E147" s="68"/>
      <c r="F147" s="69"/>
      <c r="G147" s="69"/>
      <c r="H147" s="71">
        <f t="shared" si="8"/>
        <v>0</v>
      </c>
      <c r="I147" s="71">
        <f t="shared" si="9"/>
        <v>0</v>
      </c>
      <c r="J147" s="69">
        <f t="shared" si="10"/>
        <v>0</v>
      </c>
    </row>
    <row r="148" s="45" customFormat="1" ht="12.75" customHeight="1" spans="1:10">
      <c r="A148" s="68"/>
      <c r="B148" s="69"/>
      <c r="C148" s="70"/>
      <c r="D148" s="71">
        <f>'19-5-26'!I148</f>
        <v>0</v>
      </c>
      <c r="E148" s="68"/>
      <c r="F148" s="69"/>
      <c r="G148" s="69"/>
      <c r="H148" s="71">
        <f t="shared" si="8"/>
        <v>0</v>
      </c>
      <c r="I148" s="71">
        <f t="shared" si="9"/>
        <v>0</v>
      </c>
      <c r="J148" s="69">
        <f t="shared" si="10"/>
        <v>0</v>
      </c>
    </row>
    <row r="149" s="45" customFormat="1" ht="12.75" customHeight="1" spans="1:10">
      <c r="A149" s="68"/>
      <c r="B149" s="69"/>
      <c r="C149" s="70"/>
      <c r="D149" s="71">
        <f>'19-5-26'!I149</f>
        <v>0</v>
      </c>
      <c r="E149" s="68"/>
      <c r="F149" s="69"/>
      <c r="G149" s="69"/>
      <c r="H149" s="71">
        <f t="shared" si="8"/>
        <v>0</v>
      </c>
      <c r="I149" s="71">
        <f t="shared" si="9"/>
        <v>0</v>
      </c>
      <c r="J149" s="69">
        <f t="shared" si="10"/>
        <v>0</v>
      </c>
    </row>
    <row r="150" s="45" customFormat="1" ht="12.75" customHeight="1" spans="1:10">
      <c r="A150" s="68"/>
      <c r="B150" s="69"/>
      <c r="C150" s="70"/>
      <c r="D150" s="71">
        <f>'19-5-26'!I150</f>
        <v>0</v>
      </c>
      <c r="E150" s="68"/>
      <c r="F150" s="69"/>
      <c r="G150" s="69"/>
      <c r="H150" s="71">
        <f t="shared" si="8"/>
        <v>0</v>
      </c>
      <c r="I150" s="71">
        <f t="shared" si="9"/>
        <v>0</v>
      </c>
      <c r="J150" s="69">
        <f t="shared" si="10"/>
        <v>0</v>
      </c>
    </row>
    <row r="151" s="45" customFormat="1" ht="12.75" customHeight="1" spans="1:10">
      <c r="A151" s="68"/>
      <c r="B151" s="69"/>
      <c r="C151" s="70"/>
      <c r="D151" s="71">
        <f>'19-5-26'!I151</f>
        <v>0</v>
      </c>
      <c r="E151" s="68"/>
      <c r="F151" s="69"/>
      <c r="G151" s="69"/>
      <c r="H151" s="71">
        <f t="shared" si="8"/>
        <v>0</v>
      </c>
      <c r="I151" s="71">
        <f t="shared" si="9"/>
        <v>0</v>
      </c>
      <c r="J151" s="69">
        <f t="shared" si="10"/>
        <v>0</v>
      </c>
    </row>
    <row r="152" s="45" customFormat="1" ht="12.75" customHeight="1" spans="1:10">
      <c r="A152" s="68"/>
      <c r="B152" s="69"/>
      <c r="C152" s="70"/>
      <c r="D152" s="71">
        <f>'19-5-26'!I152</f>
        <v>0</v>
      </c>
      <c r="E152" s="68"/>
      <c r="F152" s="69"/>
      <c r="G152" s="69"/>
      <c r="H152" s="71">
        <f t="shared" si="8"/>
        <v>0</v>
      </c>
      <c r="I152" s="71">
        <f t="shared" si="9"/>
        <v>0</v>
      </c>
      <c r="J152" s="69">
        <f t="shared" si="10"/>
        <v>0</v>
      </c>
    </row>
    <row r="153" s="45" customFormat="1" ht="12.75" customHeight="1" spans="1:10">
      <c r="A153" s="68"/>
      <c r="B153" s="69"/>
      <c r="C153" s="70"/>
      <c r="D153" s="71">
        <f>'19-5-26'!I153</f>
        <v>0</v>
      </c>
      <c r="E153" s="68"/>
      <c r="F153" s="69"/>
      <c r="G153" s="69"/>
      <c r="H153" s="71">
        <f t="shared" si="8"/>
        <v>0</v>
      </c>
      <c r="I153" s="71">
        <f t="shared" si="9"/>
        <v>0</v>
      </c>
      <c r="J153" s="69">
        <f t="shared" si="10"/>
        <v>0</v>
      </c>
    </row>
    <row r="154" s="45" customFormat="1" ht="12.75" customHeight="1" spans="1:10">
      <c r="A154" s="68"/>
      <c r="B154" s="69"/>
      <c r="C154" s="70"/>
      <c r="D154" s="71">
        <f>'19-5-26'!I154</f>
        <v>0</v>
      </c>
      <c r="E154" s="68"/>
      <c r="F154" s="69"/>
      <c r="G154" s="69"/>
      <c r="H154" s="71">
        <f t="shared" si="8"/>
        <v>0</v>
      </c>
      <c r="I154" s="71">
        <f t="shared" si="9"/>
        <v>0</v>
      </c>
      <c r="J154" s="69">
        <f t="shared" si="10"/>
        <v>0</v>
      </c>
    </row>
    <row r="155" s="45" customFormat="1" ht="12.75" customHeight="1" spans="1:10">
      <c r="A155" s="68"/>
      <c r="B155" s="69"/>
      <c r="C155" s="70"/>
      <c r="D155" s="71">
        <f>'19-5-26'!I155</f>
        <v>0</v>
      </c>
      <c r="E155" s="68"/>
      <c r="F155" s="69"/>
      <c r="G155" s="69"/>
      <c r="H155" s="71">
        <f t="shared" si="8"/>
        <v>0</v>
      </c>
      <c r="I155" s="71">
        <f t="shared" si="9"/>
        <v>0</v>
      </c>
      <c r="J155" s="69">
        <f t="shared" si="10"/>
        <v>0</v>
      </c>
    </row>
    <row r="156" s="45" customFormat="1" ht="12.75" customHeight="1" spans="1:10">
      <c r="A156" s="68"/>
      <c r="B156" s="69"/>
      <c r="C156" s="70"/>
      <c r="D156" s="71">
        <f>'19-5-26'!I156</f>
        <v>0</v>
      </c>
      <c r="E156" s="68"/>
      <c r="F156" s="69"/>
      <c r="G156" s="69"/>
      <c r="H156" s="71">
        <f t="shared" si="8"/>
        <v>0</v>
      </c>
      <c r="I156" s="71">
        <f t="shared" si="9"/>
        <v>0</v>
      </c>
      <c r="J156" s="69">
        <f t="shared" si="10"/>
        <v>0</v>
      </c>
    </row>
    <row r="157" s="45" customFormat="1" ht="12.75" customHeight="1" spans="1:10">
      <c r="A157" s="68"/>
      <c r="B157" s="69"/>
      <c r="C157" s="70"/>
      <c r="D157" s="71">
        <f>'19-5-26'!I157</f>
        <v>0</v>
      </c>
      <c r="E157" s="68"/>
      <c r="F157" s="69"/>
      <c r="G157" s="69"/>
      <c r="H157" s="71">
        <f t="shared" si="8"/>
        <v>0</v>
      </c>
      <c r="I157" s="71">
        <f t="shared" si="9"/>
        <v>0</v>
      </c>
      <c r="J157" s="69">
        <f t="shared" si="10"/>
        <v>0</v>
      </c>
    </row>
    <row r="158" s="45" customFormat="1" ht="12.75" customHeight="1" spans="1:10">
      <c r="A158" s="68"/>
      <c r="B158" s="69"/>
      <c r="C158" s="70"/>
      <c r="D158" s="71">
        <f>'19-5-26'!I158</f>
        <v>0</v>
      </c>
      <c r="E158" s="68"/>
      <c r="F158" s="69"/>
      <c r="G158" s="69"/>
      <c r="H158" s="71">
        <f t="shared" si="8"/>
        <v>0</v>
      </c>
      <c r="I158" s="71">
        <f t="shared" si="9"/>
        <v>0</v>
      </c>
      <c r="J158" s="69">
        <f t="shared" si="10"/>
        <v>0</v>
      </c>
    </row>
    <row r="159" s="45" customFormat="1" ht="12.75" customHeight="1" spans="1:10">
      <c r="A159" s="68"/>
      <c r="B159" s="69"/>
      <c r="C159" s="70"/>
      <c r="D159" s="71">
        <f>'19-5-26'!I159</f>
        <v>0</v>
      </c>
      <c r="E159" s="68"/>
      <c r="F159" s="69"/>
      <c r="G159" s="69"/>
      <c r="H159" s="71">
        <f t="shared" si="8"/>
        <v>0</v>
      </c>
      <c r="I159" s="71">
        <f t="shared" si="9"/>
        <v>0</v>
      </c>
      <c r="J159" s="69">
        <f t="shared" si="10"/>
        <v>0</v>
      </c>
    </row>
    <row r="160" s="45" customFormat="1" ht="12.75" customHeight="1" spans="1:10">
      <c r="A160" s="68"/>
      <c r="B160" s="69"/>
      <c r="C160" s="70"/>
      <c r="D160" s="71">
        <f>'19-5-26'!I160</f>
        <v>0</v>
      </c>
      <c r="E160" s="68"/>
      <c r="F160" s="69"/>
      <c r="G160" s="69"/>
      <c r="H160" s="71">
        <f t="shared" si="8"/>
        <v>0</v>
      </c>
      <c r="I160" s="71">
        <f t="shared" si="9"/>
        <v>0</v>
      </c>
      <c r="J160" s="69">
        <f t="shared" si="10"/>
        <v>0</v>
      </c>
    </row>
    <row r="161" s="45" customFormat="1" ht="12.75" customHeight="1" spans="1:10">
      <c r="A161" s="68"/>
      <c r="B161" s="69"/>
      <c r="C161" s="70"/>
      <c r="D161" s="71">
        <f>'19-5-26'!I161</f>
        <v>0</v>
      </c>
      <c r="E161" s="68"/>
      <c r="F161" s="69"/>
      <c r="G161" s="69"/>
      <c r="H161" s="71">
        <f t="shared" si="8"/>
        <v>0</v>
      </c>
      <c r="I161" s="71">
        <f t="shared" si="9"/>
        <v>0</v>
      </c>
      <c r="J161" s="69">
        <f t="shared" si="10"/>
        <v>0</v>
      </c>
    </row>
    <row r="162" s="45" customFormat="1" ht="12.75" customHeight="1" spans="1:10">
      <c r="A162" s="68"/>
      <c r="B162" s="69"/>
      <c r="C162" s="70"/>
      <c r="D162" s="71">
        <f>'19-5-26'!I162</f>
        <v>0</v>
      </c>
      <c r="E162" s="68"/>
      <c r="F162" s="69"/>
      <c r="G162" s="69"/>
      <c r="H162" s="71">
        <f t="shared" si="8"/>
        <v>0</v>
      </c>
      <c r="I162" s="71">
        <f t="shared" si="9"/>
        <v>0</v>
      </c>
      <c r="J162" s="69">
        <f t="shared" si="10"/>
        <v>0</v>
      </c>
    </row>
    <row r="163" s="45" customFormat="1" ht="12.75" customHeight="1" spans="1:10">
      <c r="A163" s="68"/>
      <c r="B163" s="69"/>
      <c r="C163" s="70"/>
      <c r="D163" s="71">
        <f>'19-5-26'!I163</f>
        <v>0</v>
      </c>
      <c r="E163" s="68"/>
      <c r="F163" s="69"/>
      <c r="G163" s="69"/>
      <c r="H163" s="71">
        <f t="shared" si="8"/>
        <v>0</v>
      </c>
      <c r="I163" s="71">
        <f t="shared" si="9"/>
        <v>0</v>
      </c>
      <c r="J163" s="69">
        <f t="shared" si="10"/>
        <v>0</v>
      </c>
    </row>
    <row r="164" s="45" customFormat="1" ht="12.75" customHeight="1" spans="1:10">
      <c r="A164" s="68"/>
      <c r="B164" s="69"/>
      <c r="C164" s="70"/>
      <c r="D164" s="71">
        <f>'19-5-26'!I164</f>
        <v>0</v>
      </c>
      <c r="E164" s="68"/>
      <c r="F164" s="69"/>
      <c r="G164" s="69"/>
      <c r="H164" s="71">
        <f t="shared" si="8"/>
        <v>0</v>
      </c>
      <c r="I164" s="71">
        <f t="shared" si="9"/>
        <v>0</v>
      </c>
      <c r="J164" s="69">
        <f t="shared" si="10"/>
        <v>0</v>
      </c>
    </row>
    <row r="165" s="45" customFormat="1" ht="12.75" customHeight="1" spans="1:10">
      <c r="A165" s="68"/>
      <c r="B165" s="69"/>
      <c r="C165" s="70"/>
      <c r="D165" s="71">
        <f>'19-5-26'!I165</f>
        <v>0</v>
      </c>
      <c r="E165" s="68"/>
      <c r="F165" s="69"/>
      <c r="G165" s="69"/>
      <c r="H165" s="71">
        <f t="shared" si="8"/>
        <v>0</v>
      </c>
      <c r="I165" s="71">
        <f t="shared" si="9"/>
        <v>0</v>
      </c>
      <c r="J165" s="69">
        <f t="shared" si="10"/>
        <v>0</v>
      </c>
    </row>
    <row r="166" s="45" customFormat="1" ht="12.75" customHeight="1" spans="1:10">
      <c r="A166" s="68"/>
      <c r="B166" s="69"/>
      <c r="C166" s="70"/>
      <c r="D166" s="71">
        <f>'19-5-26'!I166</f>
        <v>0</v>
      </c>
      <c r="E166" s="68"/>
      <c r="F166" s="69"/>
      <c r="G166" s="69"/>
      <c r="H166" s="71">
        <f t="shared" si="8"/>
        <v>0</v>
      </c>
      <c r="I166" s="71">
        <f t="shared" si="9"/>
        <v>0</v>
      </c>
      <c r="J166" s="69">
        <f t="shared" si="10"/>
        <v>0</v>
      </c>
    </row>
    <row r="167" s="45" customFormat="1" ht="12.75" customHeight="1" spans="1:10">
      <c r="A167" s="68"/>
      <c r="B167" s="69"/>
      <c r="C167" s="70"/>
      <c r="D167" s="71">
        <f>'19-5-26'!I167</f>
        <v>0</v>
      </c>
      <c r="E167" s="68"/>
      <c r="F167" s="69"/>
      <c r="G167" s="69"/>
      <c r="H167" s="71">
        <f t="shared" si="8"/>
        <v>0</v>
      </c>
      <c r="I167" s="71">
        <f t="shared" si="9"/>
        <v>0</v>
      </c>
      <c r="J167" s="69">
        <f t="shared" si="10"/>
        <v>0</v>
      </c>
    </row>
    <row r="168" s="45" customFormat="1" ht="12.75" customHeight="1" spans="1:10">
      <c r="A168" s="68"/>
      <c r="B168" s="69"/>
      <c r="C168" s="70"/>
      <c r="D168" s="71">
        <f>'19-5-26'!I168</f>
        <v>0</v>
      </c>
      <c r="E168" s="68"/>
      <c r="F168" s="69"/>
      <c r="G168" s="69"/>
      <c r="H168" s="71">
        <f t="shared" si="8"/>
        <v>0</v>
      </c>
      <c r="I168" s="71">
        <f t="shared" si="9"/>
        <v>0</v>
      </c>
      <c r="J168" s="69">
        <f t="shared" si="10"/>
        <v>0</v>
      </c>
    </row>
    <row r="169" s="45" customFormat="1" ht="12.75" customHeight="1" spans="1:10">
      <c r="A169" s="68"/>
      <c r="B169" s="69"/>
      <c r="C169" s="70"/>
      <c r="D169" s="71">
        <f>'19-5-26'!I169</f>
        <v>0</v>
      </c>
      <c r="E169" s="68"/>
      <c r="F169" s="69"/>
      <c r="G169" s="69"/>
      <c r="H169" s="71">
        <f t="shared" si="8"/>
        <v>0</v>
      </c>
      <c r="I169" s="71">
        <f t="shared" si="9"/>
        <v>0</v>
      </c>
      <c r="J169" s="69">
        <f t="shared" si="10"/>
        <v>0</v>
      </c>
    </row>
    <row r="170" s="45" customFormat="1" ht="12.75" customHeight="1" spans="1:10">
      <c r="A170" s="68"/>
      <c r="B170" s="69"/>
      <c r="C170" s="70"/>
      <c r="D170" s="71">
        <f>'19-5-26'!I170</f>
        <v>0</v>
      </c>
      <c r="E170" s="68"/>
      <c r="F170" s="69"/>
      <c r="G170" s="69"/>
      <c r="H170" s="71">
        <f t="shared" si="8"/>
        <v>0</v>
      </c>
      <c r="I170" s="71">
        <f t="shared" si="9"/>
        <v>0</v>
      </c>
      <c r="J170" s="69">
        <f t="shared" si="10"/>
        <v>0</v>
      </c>
    </row>
    <row r="171" s="45" customFormat="1" ht="12.75" customHeight="1" spans="1:10">
      <c r="A171" s="68"/>
      <c r="B171" s="69"/>
      <c r="C171" s="70"/>
      <c r="D171" s="71">
        <f>'19-5-26'!I171</f>
        <v>0</v>
      </c>
      <c r="E171" s="68"/>
      <c r="F171" s="69"/>
      <c r="G171" s="69"/>
      <c r="H171" s="71">
        <f t="shared" si="8"/>
        <v>0</v>
      </c>
      <c r="I171" s="71">
        <f t="shared" si="9"/>
        <v>0</v>
      </c>
      <c r="J171" s="69">
        <f t="shared" si="10"/>
        <v>0</v>
      </c>
    </row>
    <row r="172" s="45" customFormat="1" ht="12.75" customHeight="1" spans="1:10">
      <c r="A172" s="68"/>
      <c r="B172" s="69"/>
      <c r="C172" s="70"/>
      <c r="D172" s="71">
        <f>'19-5-26'!I172</f>
        <v>0</v>
      </c>
      <c r="E172" s="68"/>
      <c r="F172" s="69"/>
      <c r="G172" s="69"/>
      <c r="H172" s="71">
        <f t="shared" si="8"/>
        <v>0</v>
      </c>
      <c r="I172" s="71">
        <f t="shared" si="9"/>
        <v>0</v>
      </c>
      <c r="J172" s="69">
        <f t="shared" si="10"/>
        <v>0</v>
      </c>
    </row>
    <row r="173" s="45" customFormat="1" ht="12.75" customHeight="1" spans="1:10">
      <c r="A173" s="68"/>
      <c r="B173" s="69"/>
      <c r="C173" s="70"/>
      <c r="D173" s="71">
        <f>'19-5-26'!I173</f>
        <v>0</v>
      </c>
      <c r="E173" s="68"/>
      <c r="F173" s="69"/>
      <c r="G173" s="69"/>
      <c r="H173" s="71">
        <f t="shared" si="8"/>
        <v>0</v>
      </c>
      <c r="I173" s="71">
        <f t="shared" si="9"/>
        <v>0</v>
      </c>
      <c r="J173" s="69">
        <f t="shared" si="10"/>
        <v>0</v>
      </c>
    </row>
    <row r="174" s="45" customFormat="1" ht="12.75" customHeight="1" spans="1:10">
      <c r="A174" s="68"/>
      <c r="B174" s="69"/>
      <c r="C174" s="70"/>
      <c r="D174" s="71">
        <f>'19-5-26'!I174</f>
        <v>0</v>
      </c>
      <c r="E174" s="68"/>
      <c r="F174" s="69"/>
      <c r="G174" s="69"/>
      <c r="H174" s="71">
        <f t="shared" si="8"/>
        <v>0</v>
      </c>
      <c r="I174" s="71">
        <f t="shared" si="9"/>
        <v>0</v>
      </c>
      <c r="J174" s="69">
        <f t="shared" si="10"/>
        <v>0</v>
      </c>
    </row>
    <row r="175" s="45" customFormat="1" ht="12.75" customHeight="1" spans="1:10">
      <c r="A175" s="68"/>
      <c r="B175" s="69"/>
      <c r="C175" s="70"/>
      <c r="D175" s="71">
        <f>'19-5-26'!I175</f>
        <v>0</v>
      </c>
      <c r="E175" s="68"/>
      <c r="F175" s="69"/>
      <c r="G175" s="69"/>
      <c r="H175" s="71">
        <f t="shared" si="8"/>
        <v>0</v>
      </c>
      <c r="I175" s="71">
        <f t="shared" si="9"/>
        <v>0</v>
      </c>
      <c r="J175" s="69">
        <f t="shared" si="10"/>
        <v>0</v>
      </c>
    </row>
    <row r="176" s="45" customFormat="1" ht="12.75" customHeight="1" spans="1:10">
      <c r="A176" s="68"/>
      <c r="B176" s="69"/>
      <c r="C176" s="70"/>
      <c r="D176" s="71">
        <f>'19-5-26'!I176</f>
        <v>0</v>
      </c>
      <c r="E176" s="68"/>
      <c r="F176" s="69"/>
      <c r="G176" s="69"/>
      <c r="H176" s="71">
        <f t="shared" si="8"/>
        <v>0</v>
      </c>
      <c r="I176" s="71">
        <f t="shared" si="9"/>
        <v>0</v>
      </c>
      <c r="J176" s="69">
        <f t="shared" si="10"/>
        <v>0</v>
      </c>
    </row>
    <row r="177" s="45" customFormat="1" ht="12.75" customHeight="1" spans="1:11">
      <c r="A177" s="68"/>
      <c r="B177" s="69"/>
      <c r="C177" s="70"/>
      <c r="D177" s="71">
        <f>'19-5-26'!I177</f>
        <v>0</v>
      </c>
      <c r="E177" s="68"/>
      <c r="F177" s="69"/>
      <c r="G177" s="69"/>
      <c r="H177" s="71">
        <f t="shared" si="8"/>
        <v>0</v>
      </c>
      <c r="I177" s="71">
        <f t="shared" si="9"/>
        <v>0</v>
      </c>
      <c r="J177" s="69">
        <f t="shared" si="10"/>
        <v>0</v>
      </c>
    </row>
    <row r="178" s="45" customFormat="1" ht="12.75" customHeight="1" spans="1:11">
      <c r="A178" s="68"/>
      <c r="B178" s="69"/>
      <c r="C178" s="70"/>
      <c r="D178" s="71">
        <f>'19-5-26'!I178</f>
        <v>0</v>
      </c>
      <c r="E178" s="68"/>
      <c r="F178" s="69"/>
      <c r="G178" s="69"/>
      <c r="H178" s="71">
        <f t="shared" si="8"/>
        <v>0</v>
      </c>
      <c r="I178" s="71">
        <f t="shared" si="9"/>
        <v>0</v>
      </c>
      <c r="J178" s="69">
        <f t="shared" si="10"/>
        <v>0</v>
      </c>
    </row>
    <row r="179" s="45" customFormat="1" ht="12.75" customHeight="1" spans="1:11">
      <c r="A179" s="68"/>
      <c r="B179" s="69"/>
      <c r="C179" s="70"/>
      <c r="D179" s="71">
        <f>'19-5-26'!I179</f>
        <v>0</v>
      </c>
      <c r="E179" s="68"/>
      <c r="F179" s="69"/>
      <c r="G179" s="69"/>
      <c r="H179" s="71">
        <f t="shared" si="8"/>
        <v>0</v>
      </c>
      <c r="I179" s="71">
        <f t="shared" si="9"/>
        <v>0</v>
      </c>
      <c r="J179" s="69">
        <f t="shared" si="10"/>
        <v>0</v>
      </c>
    </row>
    <row r="180" s="45" customFormat="1" ht="12.75" customHeight="1" spans="1:11">
      <c r="A180" s="68"/>
      <c r="B180" s="69"/>
      <c r="C180" s="70"/>
      <c r="D180" s="71">
        <f>'19-5-26'!I180</f>
        <v>0</v>
      </c>
      <c r="E180" s="68"/>
      <c r="F180" s="69"/>
      <c r="G180" s="69"/>
      <c r="H180" s="71">
        <f t="shared" si="8"/>
        <v>0</v>
      </c>
      <c r="I180" s="71">
        <f t="shared" si="9"/>
        <v>0</v>
      </c>
      <c r="J180" s="69">
        <f t="shared" si="10"/>
        <v>0</v>
      </c>
    </row>
    <row r="181" s="45" customFormat="1" ht="12.75" customHeight="1" spans="1:11">
      <c r="A181" s="68"/>
      <c r="B181" s="69"/>
      <c r="C181" s="70"/>
      <c r="D181" s="71">
        <f>'19-5-26'!I181</f>
        <v>0</v>
      </c>
      <c r="E181" s="68"/>
      <c r="F181" s="69"/>
      <c r="G181" s="69"/>
      <c r="H181" s="71">
        <f t="shared" si="8"/>
        <v>0</v>
      </c>
      <c r="I181" s="71">
        <f t="shared" si="9"/>
        <v>0</v>
      </c>
      <c r="J181" s="69">
        <f t="shared" si="10"/>
        <v>0</v>
      </c>
    </row>
    <row r="182" s="45" customFormat="1" ht="12.75" customHeight="1" spans="1:11">
      <c r="A182" s="68"/>
      <c r="B182" s="69"/>
      <c r="C182" s="70"/>
      <c r="D182" s="71">
        <f>'19-5-26'!I182</f>
        <v>0</v>
      </c>
      <c r="E182" s="68"/>
      <c r="F182" s="69"/>
      <c r="G182" s="69"/>
      <c r="H182" s="71">
        <f t="shared" si="8"/>
        <v>0</v>
      </c>
      <c r="I182" s="71">
        <f t="shared" si="9"/>
        <v>0</v>
      </c>
      <c r="J182" s="69">
        <f t="shared" si="10"/>
        <v>0</v>
      </c>
    </row>
    <row r="183" s="45" customFormat="1" ht="12.75" customHeight="1" spans="1:11">
      <c r="A183" s="68"/>
      <c r="B183" s="69"/>
      <c r="C183" s="70"/>
      <c r="D183" s="71">
        <f>'19-5-26'!I183</f>
        <v>0</v>
      </c>
      <c r="E183" s="68"/>
      <c r="F183" s="69"/>
      <c r="G183" s="69"/>
      <c r="H183" s="71">
        <f t="shared" si="8"/>
        <v>0</v>
      </c>
      <c r="I183" s="71">
        <f t="shared" si="9"/>
        <v>0</v>
      </c>
      <c r="J183" s="69">
        <f t="shared" si="10"/>
        <v>0</v>
      </c>
    </row>
    <row r="184" s="45" customFormat="1" ht="12.75" customHeight="1" spans="1:11">
      <c r="A184" s="68"/>
      <c r="B184" s="69"/>
      <c r="C184" s="70"/>
      <c r="D184" s="71">
        <f>'19-5-26'!I184</f>
        <v>0</v>
      </c>
      <c r="E184" s="68"/>
      <c r="F184" s="69"/>
      <c r="G184" s="69"/>
      <c r="H184" s="71">
        <f t="shared" si="8"/>
        <v>0</v>
      </c>
      <c r="I184" s="71">
        <f t="shared" si="9"/>
        <v>0</v>
      </c>
      <c r="J184" s="69">
        <f t="shared" si="10"/>
        <v>0</v>
      </c>
    </row>
    <row r="185" s="45" customFormat="1" ht="12.75" customHeight="1" spans="1:11">
      <c r="A185" s="68"/>
      <c r="B185" s="69"/>
      <c r="C185" s="70"/>
      <c r="D185" s="71">
        <f>'19-5-26'!I185</f>
        <v>0</v>
      </c>
      <c r="E185" s="68"/>
      <c r="F185" s="69"/>
      <c r="G185" s="69"/>
      <c r="H185" s="71">
        <f t="shared" si="8"/>
        <v>0</v>
      </c>
      <c r="I185" s="71">
        <f t="shared" si="9"/>
        <v>0</v>
      </c>
      <c r="J185" s="69">
        <f t="shared" si="10"/>
        <v>0</v>
      </c>
    </row>
    <row r="186" s="45" customFormat="1" ht="12.75" customHeight="1" spans="1:11">
      <c r="A186" s="68"/>
      <c r="B186" s="69"/>
      <c r="C186" s="70"/>
      <c r="D186" s="71">
        <f>'19-5-26'!I186</f>
        <v>0</v>
      </c>
      <c r="E186" s="68"/>
      <c r="F186" s="69"/>
      <c r="G186" s="69"/>
      <c r="H186" s="71">
        <f t="shared" si="8"/>
        <v>0</v>
      </c>
      <c r="I186" s="71">
        <f t="shared" si="9"/>
        <v>0</v>
      </c>
      <c r="J186" s="69">
        <f t="shared" si="10"/>
        <v>0</v>
      </c>
    </row>
    <row r="187" s="45" customFormat="1" ht="12.75" spans="1:11">
      <c r="A187" s="68"/>
      <c r="B187" s="69"/>
      <c r="C187" s="74"/>
      <c r="D187" s="71">
        <f>'19-5-26'!I187</f>
        <v>0</v>
      </c>
      <c r="E187" s="68"/>
      <c r="F187" s="69"/>
      <c r="G187" s="69"/>
      <c r="H187" s="71">
        <f t="shared" si="8"/>
        <v>0</v>
      </c>
      <c r="I187" s="71">
        <f t="shared" si="9"/>
        <v>0</v>
      </c>
      <c r="J187" s="69">
        <f t="shared" si="10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1">SUM(D9:D187)</f>
        <v>468227000</v>
      </c>
      <c r="E188" s="79">
        <f t="shared" si="11"/>
        <v>4</v>
      </c>
      <c r="F188" s="78">
        <f t="shared" si="11"/>
        <v>500000</v>
      </c>
      <c r="G188" s="78">
        <f t="shared" si="11"/>
        <v>200000</v>
      </c>
      <c r="H188" s="78">
        <f t="shared" si="11"/>
        <v>700000</v>
      </c>
      <c r="I188" s="78">
        <f t="shared" si="11"/>
        <v>467727000</v>
      </c>
      <c r="J188" s="78">
        <f t="shared" si="11"/>
        <v>20000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200000</v>
      </c>
      <c r="E191" s="47"/>
      <c r="F191" s="129" t="s">
        <v>221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10000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110000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5000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5000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5000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5000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20000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50000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200000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86" workbookViewId="0">
      <selection activeCell="D97" sqref="D97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222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'16-6-26'!I9</f>
        <v>5500000</v>
      </c>
      <c r="E9" s="68"/>
      <c r="F9" s="69"/>
      <c r="G9" s="69"/>
      <c r="H9" s="71">
        <f t="shared" ref="H9:H72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'16-6-26'!I10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'16-6-26'!I11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'16-6-26'!I12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'16-6-26'!I13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'16-6-26'!I14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'16-6-26'!I15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'16-6-26'!I16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'16-6-26'!I17</f>
        <v>5800000</v>
      </c>
      <c r="E17" s="68"/>
      <c r="F17" s="69"/>
      <c r="G17" s="69"/>
      <c r="H17" s="71">
        <f t="shared" si="0"/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'16-6-26'!I18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'16-6-26'!I19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'16-6-26'!I20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'16-6-26'!I21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'16-6-26'!I22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'16-6-26'!I23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'16-6-26'!I24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'16-6-26'!I25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'16-6-26'!I26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'16-6-26'!I27</f>
        <v>760000</v>
      </c>
      <c r="E27" s="68">
        <v>13</v>
      </c>
      <c r="F27" s="69">
        <v>270000</v>
      </c>
      <c r="G27" s="69">
        <v>80000</v>
      </c>
      <c r="H27" s="71">
        <f t="shared" si="0"/>
        <v>350000</v>
      </c>
      <c r="I27" s="71">
        <f t="shared" si="1"/>
        <v>490000</v>
      </c>
      <c r="J27" s="69">
        <f t="shared" si="2"/>
        <v>8000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'16-6-26'!I28</f>
        <v>0</v>
      </c>
      <c r="E28" s="68"/>
      <c r="F28" s="69"/>
      <c r="G28" s="69"/>
      <c r="H28" s="71">
        <f t="shared" si="0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'16-6-26'!I29</f>
        <v>0</v>
      </c>
      <c r="E29" s="68"/>
      <c r="F29" s="69"/>
      <c r="G29" s="69"/>
      <c r="H29" s="71">
        <f t="shared" si="0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'16-6-26'!I30</f>
        <v>2500000</v>
      </c>
      <c r="E30" s="68"/>
      <c r="F30" s="69"/>
      <c r="G30" s="69"/>
      <c r="H30" s="71">
        <f t="shared" si="0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'16-6-26'!I31</f>
        <v>500000</v>
      </c>
      <c r="E31" s="68">
        <v>19</v>
      </c>
      <c r="F31" s="69">
        <v>250000</v>
      </c>
      <c r="G31" s="69">
        <v>100000</v>
      </c>
      <c r="H31" s="71">
        <f t="shared" si="0"/>
        <v>350000</v>
      </c>
      <c r="I31" s="71">
        <f t="shared" si="1"/>
        <v>250000</v>
      </c>
      <c r="J31" s="69">
        <f t="shared" si="2"/>
        <v>10000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'16-6-26'!I32</f>
        <v>12000000</v>
      </c>
      <c r="E32" s="68"/>
      <c r="F32" s="69"/>
      <c r="G32" s="69"/>
      <c r="H32" s="71">
        <f t="shared" si="0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'16-6-26'!I33</f>
        <v>600000</v>
      </c>
      <c r="E33" s="68"/>
      <c r="F33" s="69"/>
      <c r="G33" s="69"/>
      <c r="H33" s="71">
        <f t="shared" si="0"/>
        <v>0</v>
      </c>
      <c r="I33" s="71">
        <f t="shared" si="1"/>
        <v>600000</v>
      </c>
      <c r="J33" s="69">
        <f t="shared" si="2"/>
        <v>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'16-6-26'!I34</f>
        <v>2400000</v>
      </c>
      <c r="E34" s="68"/>
      <c r="F34" s="69"/>
      <c r="G34" s="69"/>
      <c r="H34" s="71">
        <f t="shared" si="0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'16-6-26'!I35</f>
        <v>3250000</v>
      </c>
      <c r="E35" s="68"/>
      <c r="F35" s="69"/>
      <c r="G35" s="69"/>
      <c r="H35" s="71">
        <f t="shared" si="0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'16-6-26'!I36</f>
        <v>5000000</v>
      </c>
      <c r="E36" s="68"/>
      <c r="F36" s="69"/>
      <c r="G36" s="69"/>
      <c r="H36" s="71">
        <f t="shared" si="0"/>
        <v>0</v>
      </c>
      <c r="I36" s="71">
        <f t="shared" si="1"/>
        <v>5000000</v>
      </c>
      <c r="J36" s="69">
        <f t="shared" si="2"/>
        <v>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'16-6-26'!I37</f>
        <v>1250000</v>
      </c>
      <c r="E37" s="68"/>
      <c r="F37" s="69"/>
      <c r="G37" s="69"/>
      <c r="H37" s="71">
        <f t="shared" si="0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'16-6-26'!I38</f>
        <v>5800000</v>
      </c>
      <c r="E38" s="68"/>
      <c r="F38" s="69"/>
      <c r="G38" s="69"/>
      <c r="H38" s="71">
        <f t="shared" si="0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'16-6-26'!I39</f>
        <v>13690000</v>
      </c>
      <c r="E39" s="68"/>
      <c r="F39" s="69"/>
      <c r="G39" s="69"/>
      <c r="H39" s="71">
        <f t="shared" si="0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'16-6-26'!I40</f>
        <v>0</v>
      </c>
      <c r="E40" s="68"/>
      <c r="F40" s="69"/>
      <c r="G40" s="69"/>
      <c r="H40" s="71">
        <f t="shared" si="0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'16-6-26'!I41</f>
        <v>1500000</v>
      </c>
      <c r="E41" s="68"/>
      <c r="F41" s="69"/>
      <c r="G41" s="69"/>
      <c r="H41" s="71">
        <f t="shared" si="0"/>
        <v>0</v>
      </c>
      <c r="I41" s="71">
        <f t="shared" si="1"/>
        <v>1500000</v>
      </c>
      <c r="J41" s="69">
        <f t="shared" si="2"/>
        <v>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'16-6-26'!I42</f>
        <v>900000</v>
      </c>
      <c r="E42" s="68"/>
      <c r="F42" s="69"/>
      <c r="G42" s="69"/>
      <c r="H42" s="71">
        <f t="shared" si="0"/>
        <v>0</v>
      </c>
      <c r="I42" s="71">
        <f t="shared" si="1"/>
        <v>900000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'16-6-26'!I43</f>
        <v>4500000</v>
      </c>
      <c r="E43" s="68"/>
      <c r="F43" s="69"/>
      <c r="G43" s="69"/>
      <c r="H43" s="71">
        <f t="shared" si="0"/>
        <v>0</v>
      </c>
      <c r="I43" s="71">
        <f t="shared" si="1"/>
        <v>4500000</v>
      </c>
      <c r="J43" s="69">
        <f t="shared" si="2"/>
        <v>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'16-6-26'!I44</f>
        <v>10320000</v>
      </c>
      <c r="E44" s="68"/>
      <c r="F44" s="69"/>
      <c r="G44" s="69"/>
      <c r="H44" s="71">
        <f t="shared" si="0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'16-6-26'!I45</f>
        <v>10500000</v>
      </c>
      <c r="E45" s="68"/>
      <c r="F45" s="69"/>
      <c r="G45" s="69"/>
      <c r="H45" s="71">
        <f t="shared" si="0"/>
        <v>0</v>
      </c>
      <c r="I45" s="71">
        <f t="shared" si="1"/>
        <v>10500000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'16-6-26'!I46</f>
        <v>0</v>
      </c>
      <c r="E46" s="68"/>
      <c r="F46" s="69"/>
      <c r="G46" s="69"/>
      <c r="H46" s="71">
        <f t="shared" si="0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'16-6-26'!I47</f>
        <v>9300000</v>
      </c>
      <c r="E47" s="68">
        <v>10</v>
      </c>
      <c r="F47" s="69">
        <v>300000</v>
      </c>
      <c r="G47" s="69">
        <v>240000</v>
      </c>
      <c r="H47" s="71">
        <f t="shared" si="0"/>
        <v>540000</v>
      </c>
      <c r="I47" s="71">
        <f t="shared" si="1"/>
        <v>9000000</v>
      </c>
      <c r="J47" s="69">
        <f t="shared" si="2"/>
        <v>24000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'16-6-26'!I48</f>
        <v>600000</v>
      </c>
      <c r="E48" s="68">
        <v>13</v>
      </c>
      <c r="F48" s="69">
        <v>200000</v>
      </c>
      <c r="G48" s="69">
        <v>60000</v>
      </c>
      <c r="H48" s="71">
        <f t="shared" si="0"/>
        <v>260000</v>
      </c>
      <c r="I48" s="71">
        <f t="shared" si="1"/>
        <v>400000</v>
      </c>
      <c r="J48" s="69">
        <f t="shared" si="2"/>
        <v>6000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'16-6-26'!I49</f>
        <v>9340000</v>
      </c>
      <c r="E49" s="68"/>
      <c r="F49" s="69"/>
      <c r="G49" s="69"/>
      <c r="H49" s="71">
        <f t="shared" si="0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'16-6-26'!I50</f>
        <v>0</v>
      </c>
      <c r="E50" s="68"/>
      <c r="F50" s="69"/>
      <c r="G50" s="69"/>
      <c r="H50" s="71">
        <f t="shared" si="0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'16-6-26'!I51</f>
        <v>15700000</v>
      </c>
      <c r="E51" s="68"/>
      <c r="F51" s="69"/>
      <c r="G51" s="69"/>
      <c r="H51" s="71">
        <f t="shared" si="0"/>
        <v>0</v>
      </c>
      <c r="I51" s="71">
        <f t="shared" si="1"/>
        <v>15700000</v>
      </c>
      <c r="J51" s="69">
        <f t="shared" si="2"/>
        <v>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'16-6-26'!I52</f>
        <v>24600000</v>
      </c>
      <c r="E52" s="68"/>
      <c r="F52" s="69"/>
      <c r="G52" s="69"/>
      <c r="H52" s="71">
        <f t="shared" si="0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'16-6-26'!I53</f>
        <v>0</v>
      </c>
      <c r="E53" s="68"/>
      <c r="F53" s="69"/>
      <c r="G53" s="69"/>
      <c r="H53" s="71">
        <f t="shared" si="0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'16-6-26'!I54</f>
        <v>4200000</v>
      </c>
      <c r="E54" s="68"/>
      <c r="F54" s="69"/>
      <c r="G54" s="69"/>
      <c r="H54" s="71">
        <f t="shared" si="0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'16-6-26'!I55</f>
        <v>7460000</v>
      </c>
      <c r="E55" s="68"/>
      <c r="F55" s="69"/>
      <c r="G55" s="69"/>
      <c r="H55" s="71">
        <f t="shared" si="0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'16-6-26'!I56</f>
        <v>0</v>
      </c>
      <c r="E56" s="68"/>
      <c r="F56" s="69"/>
      <c r="G56" s="69"/>
      <c r="H56" s="71">
        <f t="shared" si="0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'16-6-26'!I57</f>
        <v>20000000</v>
      </c>
      <c r="E57" s="68"/>
      <c r="F57" s="69"/>
      <c r="G57" s="69"/>
      <c r="H57" s="71">
        <f t="shared" si="0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'16-6-26'!I58</f>
        <v>0</v>
      </c>
      <c r="E58" s="68"/>
      <c r="F58" s="69"/>
      <c r="G58" s="69"/>
      <c r="H58" s="71">
        <f t="shared" si="0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'16-6-26'!I59</f>
        <v>0</v>
      </c>
      <c r="E59" s="68"/>
      <c r="F59" s="69"/>
      <c r="G59" s="69"/>
      <c r="H59" s="71">
        <f t="shared" si="0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'16-6-26'!I60</f>
        <v>0</v>
      </c>
      <c r="E60" s="68"/>
      <c r="F60" s="69"/>
      <c r="G60" s="69"/>
      <c r="H60" s="71">
        <f t="shared" si="0"/>
        <v>0</v>
      </c>
      <c r="I60" s="71">
        <f t="shared" si="1"/>
        <v>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'16-6-26'!I61</f>
        <v>230000</v>
      </c>
      <c r="E61" s="68"/>
      <c r="F61" s="69"/>
      <c r="G61" s="69"/>
      <c r="H61" s="71">
        <f t="shared" si="0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'16-6-26'!I62</f>
        <v>0</v>
      </c>
      <c r="E62" s="68"/>
      <c r="F62" s="69"/>
      <c r="G62" s="69"/>
      <c r="H62" s="71">
        <f t="shared" si="0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'16-6-26'!I63</f>
        <v>0</v>
      </c>
      <c r="E63" s="68"/>
      <c r="F63" s="69"/>
      <c r="G63" s="69"/>
      <c r="H63" s="71">
        <f t="shared" si="0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'16-6-26'!I64</f>
        <v>0</v>
      </c>
      <c r="E64" s="68"/>
      <c r="F64" s="69"/>
      <c r="G64" s="69"/>
      <c r="H64" s="71">
        <f t="shared" si="0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'16-6-26'!I65</f>
        <v>5862000</v>
      </c>
      <c r="E65" s="68"/>
      <c r="F65" s="69"/>
      <c r="G65" s="69"/>
      <c r="H65" s="71">
        <f t="shared" si="0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'16-6-26'!I66</f>
        <v>0</v>
      </c>
      <c r="E66" s="68"/>
      <c r="F66" s="69"/>
      <c r="G66" s="69"/>
      <c r="H66" s="71">
        <f t="shared" si="0"/>
        <v>0</v>
      </c>
      <c r="I66" s="71">
        <f t="shared" si="1"/>
        <v>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'16-6-26'!I67</f>
        <v>0</v>
      </c>
      <c r="E67" s="68"/>
      <c r="F67" s="69"/>
      <c r="G67" s="69"/>
      <c r="H67" s="71">
        <f t="shared" si="0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'16-6-26'!I68</f>
        <v>3400000</v>
      </c>
      <c r="E68" s="68">
        <v>2</v>
      </c>
      <c r="F68" s="69">
        <v>3000000</v>
      </c>
      <c r="G68" s="69">
        <v>400000</v>
      </c>
      <c r="H68" s="71">
        <f t="shared" si="0"/>
        <v>3400000</v>
      </c>
      <c r="I68" s="71">
        <f t="shared" si="1"/>
        <v>400000</v>
      </c>
      <c r="J68" s="69">
        <f t="shared" si="2"/>
        <v>40000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'16-6-26'!I69</f>
        <v>50000000</v>
      </c>
      <c r="E69" s="68"/>
      <c r="F69" s="69"/>
      <c r="G69" s="69"/>
      <c r="H69" s="71">
        <f t="shared" si="0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'16-6-26'!I70</f>
        <v>1000000</v>
      </c>
      <c r="E70" s="68"/>
      <c r="F70" s="69"/>
      <c r="G70" s="69"/>
      <c r="H70" s="71">
        <f t="shared" si="0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'16-6-26'!I71</f>
        <v>1500000</v>
      </c>
      <c r="E71" s="68">
        <v>4</v>
      </c>
      <c r="F71" s="69">
        <v>500000</v>
      </c>
      <c r="G71" s="69">
        <v>60000</v>
      </c>
      <c r="H71" s="71">
        <f t="shared" si="0"/>
        <v>560000</v>
      </c>
      <c r="I71" s="71">
        <f t="shared" si="1"/>
        <v>1000000</v>
      </c>
      <c r="J71" s="69">
        <f t="shared" si="2"/>
        <v>6000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'16-6-26'!I72</f>
        <v>1600000</v>
      </c>
      <c r="E72" s="68"/>
      <c r="F72" s="69"/>
      <c r="G72" s="69"/>
      <c r="H72" s="71">
        <f t="shared" si="0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f>'16-6-26'!I73</f>
        <v>0</v>
      </c>
      <c r="E73" s="69"/>
      <c r="F73" s="69"/>
      <c r="G73" s="69"/>
      <c r="H73" s="71">
        <f t="shared" ref="H73:H136" si="3">SUM(F73:G73)</f>
        <v>0</v>
      </c>
      <c r="I73" s="71">
        <f t="shared" ref="I73:I136" si="4">D73-F73</f>
        <v>0</v>
      </c>
      <c r="J73" s="69">
        <f t="shared" ref="J73:J136" si="5"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'16-6-26'!I74</f>
        <v>0</v>
      </c>
      <c r="E74" s="68"/>
      <c r="F74" s="69"/>
      <c r="G74" s="69"/>
      <c r="H74" s="71">
        <f t="shared" si="3"/>
        <v>0</v>
      </c>
      <c r="I74" s="71">
        <f t="shared" si="4"/>
        <v>0</v>
      </c>
      <c r="J74" s="69">
        <f t="shared" si="5"/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'16-6-26'!I75</f>
        <v>2100000</v>
      </c>
      <c r="E75" s="68"/>
      <c r="F75" s="69"/>
      <c r="G75" s="69"/>
      <c r="H75" s="71">
        <f t="shared" si="3"/>
        <v>0</v>
      </c>
      <c r="I75" s="71">
        <f t="shared" si="4"/>
        <v>2100000</v>
      </c>
      <c r="J75" s="69">
        <f t="shared" si="5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'16-6-26'!I76</f>
        <v>770000</v>
      </c>
      <c r="E76" s="68"/>
      <c r="F76" s="69"/>
      <c r="G76" s="69"/>
      <c r="H76" s="71">
        <f t="shared" si="3"/>
        <v>0</v>
      </c>
      <c r="I76" s="71">
        <f t="shared" si="4"/>
        <v>770000</v>
      </c>
      <c r="J76" s="69">
        <f t="shared" si="5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'16-6-26'!I77</f>
        <v>4250000</v>
      </c>
      <c r="E77" s="68"/>
      <c r="F77" s="69"/>
      <c r="G77" s="69"/>
      <c r="H77" s="71">
        <f t="shared" si="3"/>
        <v>0</v>
      </c>
      <c r="I77" s="71">
        <f t="shared" si="4"/>
        <v>4250000</v>
      </c>
      <c r="J77" s="69">
        <f t="shared" si="5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'16-6-26'!I78</f>
        <v>8000000</v>
      </c>
      <c r="E78" s="68"/>
      <c r="F78" s="69"/>
      <c r="G78" s="69"/>
      <c r="H78" s="71">
        <f t="shared" si="3"/>
        <v>0</v>
      </c>
      <c r="I78" s="71">
        <f t="shared" si="4"/>
        <v>8000000</v>
      </c>
      <c r="J78" s="69">
        <f t="shared" si="5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'16-6-26'!I79</f>
        <v>1800000</v>
      </c>
      <c r="E79" s="68"/>
      <c r="F79" s="69"/>
      <c r="G79" s="69"/>
      <c r="H79" s="71">
        <f t="shared" si="3"/>
        <v>0</v>
      </c>
      <c r="I79" s="71">
        <f t="shared" si="4"/>
        <v>1800000</v>
      </c>
      <c r="J79" s="69">
        <f t="shared" si="5"/>
        <v>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'16-6-26'!I80</f>
        <v>700000</v>
      </c>
      <c r="E80" s="68"/>
      <c r="F80" s="69"/>
      <c r="G80" s="69"/>
      <c r="H80" s="71">
        <f t="shared" si="3"/>
        <v>0</v>
      </c>
      <c r="I80" s="71">
        <f t="shared" si="4"/>
        <v>700000</v>
      </c>
      <c r="J80" s="69">
        <f t="shared" si="5"/>
        <v>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'16-6-26'!I81</f>
        <v>5600000</v>
      </c>
      <c r="E81" s="68"/>
      <c r="F81" s="69"/>
      <c r="G81" s="69"/>
      <c r="H81" s="71">
        <f t="shared" si="3"/>
        <v>0</v>
      </c>
      <c r="I81" s="71">
        <f t="shared" si="4"/>
        <v>5600000</v>
      </c>
      <c r="J81" s="69">
        <f t="shared" si="5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'16-6-26'!I82</f>
        <v>600000</v>
      </c>
      <c r="E82" s="69"/>
      <c r="F82" s="69"/>
      <c r="G82" s="69"/>
      <c r="H82" s="71">
        <f t="shared" si="3"/>
        <v>0</v>
      </c>
      <c r="I82" s="71">
        <f t="shared" si="4"/>
        <v>600000</v>
      </c>
      <c r="J82" s="69">
        <f t="shared" si="5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'16-6-26'!I83</f>
        <v>500000</v>
      </c>
      <c r="E83" s="68"/>
      <c r="F83" s="69"/>
      <c r="G83" s="69"/>
      <c r="H83" s="71">
        <f t="shared" si="3"/>
        <v>0</v>
      </c>
      <c r="I83" s="71">
        <f t="shared" si="4"/>
        <v>500000</v>
      </c>
      <c r="J83" s="69">
        <f t="shared" si="5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'16-6-26'!I84</f>
        <v>0</v>
      </c>
      <c r="E84" s="68"/>
      <c r="F84" s="69"/>
      <c r="G84" s="69"/>
      <c r="H84" s="71">
        <f t="shared" si="3"/>
        <v>0</v>
      </c>
      <c r="I84" s="71">
        <f t="shared" si="4"/>
        <v>0</v>
      </c>
      <c r="J84" s="69">
        <f t="shared" si="5"/>
        <v>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'16-6-26'!I85</f>
        <v>5000000</v>
      </c>
      <c r="E85" s="68"/>
      <c r="F85" s="69"/>
      <c r="G85" s="69"/>
      <c r="H85" s="71">
        <f t="shared" si="3"/>
        <v>0</v>
      </c>
      <c r="I85" s="71">
        <f t="shared" si="4"/>
        <v>5000000</v>
      </c>
      <c r="J85" s="69">
        <f t="shared" si="5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'16-6-26'!I86</f>
        <v>900000</v>
      </c>
      <c r="E86" s="68"/>
      <c r="F86" s="69"/>
      <c r="G86" s="69"/>
      <c r="H86" s="71">
        <f t="shared" si="3"/>
        <v>0</v>
      </c>
      <c r="I86" s="71">
        <f t="shared" si="4"/>
        <v>900000</v>
      </c>
      <c r="J86" s="69">
        <f t="shared" si="5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'16-6-26'!I87</f>
        <v>500000</v>
      </c>
      <c r="E87" s="68"/>
      <c r="F87" s="69"/>
      <c r="G87" s="69"/>
      <c r="H87" s="71">
        <f t="shared" si="3"/>
        <v>0</v>
      </c>
      <c r="I87" s="71">
        <f t="shared" si="4"/>
        <v>500000</v>
      </c>
      <c r="J87" s="69">
        <f t="shared" si="5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'16-6-26'!I88</f>
        <v>2700000</v>
      </c>
      <c r="E88" s="68"/>
      <c r="F88" s="69"/>
      <c r="G88" s="69"/>
      <c r="H88" s="71">
        <f t="shared" si="3"/>
        <v>0</v>
      </c>
      <c r="I88" s="71">
        <f t="shared" si="4"/>
        <v>2700000</v>
      </c>
      <c r="J88" s="69">
        <f t="shared" si="5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'16-6-26'!I89</f>
        <v>8000000</v>
      </c>
      <c r="E89" s="68"/>
      <c r="F89" s="69"/>
      <c r="G89" s="69"/>
      <c r="H89" s="71">
        <f t="shared" si="3"/>
        <v>0</v>
      </c>
      <c r="I89" s="71">
        <f t="shared" si="4"/>
        <v>8000000</v>
      </c>
      <c r="J89" s="69">
        <f t="shared" si="5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f>'16-6-26'!I90</f>
        <v>1800000</v>
      </c>
      <c r="E90" s="68"/>
      <c r="F90" s="69"/>
      <c r="G90" s="69"/>
      <c r="H90" s="71">
        <f t="shared" si="3"/>
        <v>0</v>
      </c>
      <c r="I90" s="71">
        <f t="shared" si="4"/>
        <v>1800000</v>
      </c>
      <c r="J90" s="69">
        <f t="shared" si="5"/>
        <v>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f>'16-6-26'!I91</f>
        <v>5000000</v>
      </c>
      <c r="E91" s="68">
        <v>1</v>
      </c>
      <c r="F91" s="69">
        <v>500000</v>
      </c>
      <c r="G91" s="69">
        <v>100000</v>
      </c>
      <c r="H91" s="71">
        <f t="shared" si="3"/>
        <v>600000</v>
      </c>
      <c r="I91" s="71">
        <f t="shared" si="4"/>
        <v>4500000</v>
      </c>
      <c r="J91" s="69">
        <f t="shared" si="5"/>
        <v>10000</v>
      </c>
    </row>
    <row r="92" s="45" customFormat="1" ht="12.75" customHeight="1" spans="1:10">
      <c r="A92" s="68">
        <v>84</v>
      </c>
      <c r="B92" s="69" t="s">
        <v>121</v>
      </c>
      <c r="C92" s="127" t="s">
        <v>215</v>
      </c>
      <c r="D92" s="71">
        <f>'16-6-26'!I92</f>
        <v>450000</v>
      </c>
      <c r="E92" s="68"/>
      <c r="F92" s="69"/>
      <c r="G92" s="69"/>
      <c r="H92" s="71">
        <f t="shared" si="3"/>
        <v>0</v>
      </c>
      <c r="I92" s="71">
        <f t="shared" si="4"/>
        <v>450000</v>
      </c>
      <c r="J92" s="69">
        <f t="shared" si="5"/>
        <v>0</v>
      </c>
    </row>
    <row r="93" s="45" customFormat="1" ht="12.75" customHeight="1" spans="1:10">
      <c r="A93" s="68">
        <v>85</v>
      </c>
      <c r="B93" s="69" t="s">
        <v>117</v>
      </c>
      <c r="C93" s="127" t="s">
        <v>215</v>
      </c>
      <c r="D93" s="71">
        <f>'16-6-26'!I93</f>
        <v>1500000</v>
      </c>
      <c r="E93" s="68"/>
      <c r="F93" s="69"/>
      <c r="G93" s="69"/>
      <c r="H93" s="71">
        <f t="shared" si="3"/>
        <v>0</v>
      </c>
      <c r="I93" s="71">
        <f t="shared" si="4"/>
        <v>1500000</v>
      </c>
      <c r="J93" s="69">
        <f t="shared" si="5"/>
        <v>0</v>
      </c>
    </row>
    <row r="94" s="45" customFormat="1" ht="12.75" customHeight="1" spans="1:10">
      <c r="A94" s="68">
        <v>86</v>
      </c>
      <c r="B94" s="69" t="s">
        <v>163</v>
      </c>
      <c r="C94" s="127" t="s">
        <v>215</v>
      </c>
      <c r="D94" s="71">
        <f>'16-6-26'!I94</f>
        <v>15000000</v>
      </c>
      <c r="E94" s="68"/>
      <c r="F94" s="69"/>
      <c r="G94" s="69"/>
      <c r="H94" s="71">
        <f t="shared" si="3"/>
        <v>0</v>
      </c>
      <c r="I94" s="71">
        <f t="shared" si="4"/>
        <v>15000000</v>
      </c>
      <c r="J94" s="69">
        <f t="shared" si="5"/>
        <v>0</v>
      </c>
    </row>
    <row r="95" s="45" customFormat="1" ht="12.75" customHeight="1" spans="1:10">
      <c r="A95" s="68">
        <v>87</v>
      </c>
      <c r="B95" s="69" t="s">
        <v>85</v>
      </c>
      <c r="C95" s="127" t="s">
        <v>220</v>
      </c>
      <c r="D95" s="71">
        <f>'16-6-26'!I95</f>
        <v>2000000</v>
      </c>
      <c r="E95" s="68"/>
      <c r="F95" s="69"/>
      <c r="G95" s="69"/>
      <c r="H95" s="71">
        <f t="shared" si="3"/>
        <v>0</v>
      </c>
      <c r="I95" s="71">
        <f t="shared" si="4"/>
        <v>2000000</v>
      </c>
      <c r="J95" s="69">
        <f t="shared" si="5"/>
        <v>0</v>
      </c>
    </row>
    <row r="96" s="45" customFormat="1" ht="12.75" customHeight="1" spans="1:10">
      <c r="A96" s="68">
        <v>88</v>
      </c>
      <c r="B96" s="69" t="s">
        <v>103</v>
      </c>
      <c r="C96" s="127" t="s">
        <v>223</v>
      </c>
      <c r="D96" s="71">
        <v>2000000</v>
      </c>
      <c r="E96" s="68"/>
      <c r="F96" s="69"/>
      <c r="G96" s="69"/>
      <c r="H96" s="71">
        <f t="shared" si="3"/>
        <v>0</v>
      </c>
      <c r="I96" s="71">
        <f t="shared" si="4"/>
        <v>2000000</v>
      </c>
      <c r="J96" s="69">
        <f t="shared" si="5"/>
        <v>0</v>
      </c>
    </row>
    <row r="97" s="45" customFormat="1" ht="12.75" customHeight="1" spans="1:10">
      <c r="A97" s="68"/>
      <c r="B97" s="69"/>
      <c r="C97" s="70"/>
      <c r="D97" s="71">
        <f>'16-6-26'!I97</f>
        <v>0</v>
      </c>
      <c r="E97" s="68"/>
      <c r="F97" s="69"/>
      <c r="G97" s="69"/>
      <c r="H97" s="71">
        <f t="shared" si="3"/>
        <v>0</v>
      </c>
      <c r="I97" s="71">
        <f t="shared" si="4"/>
        <v>0</v>
      </c>
      <c r="J97" s="69">
        <f t="shared" si="5"/>
        <v>0</v>
      </c>
    </row>
    <row r="98" s="45" customFormat="1" ht="12.75" customHeight="1" spans="1:10">
      <c r="A98" s="68"/>
      <c r="B98" s="69"/>
      <c r="C98" s="70"/>
      <c r="D98" s="71">
        <f>'16-6-26'!I98</f>
        <v>0</v>
      </c>
      <c r="E98" s="68"/>
      <c r="F98" s="69"/>
      <c r="G98" s="69"/>
      <c r="H98" s="71">
        <f t="shared" si="3"/>
        <v>0</v>
      </c>
      <c r="I98" s="71">
        <f t="shared" si="4"/>
        <v>0</v>
      </c>
      <c r="J98" s="69">
        <f t="shared" si="5"/>
        <v>0</v>
      </c>
    </row>
    <row r="99" s="45" customFormat="1" ht="12.75" customHeight="1" spans="1:10">
      <c r="A99" s="68"/>
      <c r="B99" s="69"/>
      <c r="C99" s="70"/>
      <c r="D99" s="71">
        <f>'16-6-26'!I99</f>
        <v>0</v>
      </c>
      <c r="E99" s="68"/>
      <c r="F99" s="69"/>
      <c r="G99" s="69"/>
      <c r="H99" s="71">
        <f t="shared" si="3"/>
        <v>0</v>
      </c>
      <c r="I99" s="71">
        <f t="shared" si="4"/>
        <v>0</v>
      </c>
      <c r="J99" s="69">
        <f t="shared" si="5"/>
        <v>0</v>
      </c>
    </row>
    <row r="100" s="45" customFormat="1" ht="12.75" customHeight="1" spans="1:10">
      <c r="A100" s="68"/>
      <c r="B100" s="69"/>
      <c r="C100" s="70"/>
      <c r="D100" s="71">
        <f>'16-6-26'!I100</f>
        <v>0</v>
      </c>
      <c r="E100" s="68"/>
      <c r="F100" s="69"/>
      <c r="G100" s="69"/>
      <c r="H100" s="71">
        <f t="shared" si="3"/>
        <v>0</v>
      </c>
      <c r="I100" s="71">
        <f t="shared" si="4"/>
        <v>0</v>
      </c>
      <c r="J100" s="69">
        <f t="shared" si="5"/>
        <v>0</v>
      </c>
    </row>
    <row r="101" s="45" customFormat="1" ht="12.75" customHeight="1" spans="1:10">
      <c r="A101" s="68"/>
      <c r="B101" s="69"/>
      <c r="C101" s="70"/>
      <c r="D101" s="71">
        <f>'16-6-26'!I101</f>
        <v>0</v>
      </c>
      <c r="E101" s="68"/>
      <c r="F101" s="69"/>
      <c r="G101" s="69"/>
      <c r="H101" s="71">
        <f t="shared" si="3"/>
        <v>0</v>
      </c>
      <c r="I101" s="71">
        <f t="shared" si="4"/>
        <v>0</v>
      </c>
      <c r="J101" s="69">
        <f t="shared" si="5"/>
        <v>0</v>
      </c>
    </row>
    <row r="102" s="45" customFormat="1" ht="12.75" customHeight="1" spans="1:10">
      <c r="A102" s="68"/>
      <c r="B102" s="69"/>
      <c r="C102" s="70"/>
      <c r="D102" s="71">
        <f>'16-6-26'!I102</f>
        <v>0</v>
      </c>
      <c r="E102" s="68"/>
      <c r="F102" s="69"/>
      <c r="G102" s="69"/>
      <c r="H102" s="71">
        <f t="shared" si="3"/>
        <v>0</v>
      </c>
      <c r="I102" s="71">
        <f t="shared" si="4"/>
        <v>0</v>
      </c>
      <c r="J102" s="69">
        <f t="shared" si="5"/>
        <v>0</v>
      </c>
    </row>
    <row r="103" s="45" customFormat="1" ht="12.75" customHeight="1" spans="1:10">
      <c r="A103" s="68"/>
      <c r="B103" s="69"/>
      <c r="C103" s="70"/>
      <c r="D103" s="71">
        <f>'16-6-26'!I103</f>
        <v>0</v>
      </c>
      <c r="E103" s="68"/>
      <c r="F103" s="69"/>
      <c r="G103" s="69"/>
      <c r="H103" s="71">
        <f t="shared" si="3"/>
        <v>0</v>
      </c>
      <c r="I103" s="71">
        <f t="shared" si="4"/>
        <v>0</v>
      </c>
      <c r="J103" s="69">
        <f t="shared" si="5"/>
        <v>0</v>
      </c>
    </row>
    <row r="104" s="45" customFormat="1" ht="12.75" customHeight="1" spans="1:10">
      <c r="A104" s="68"/>
      <c r="B104" s="69"/>
      <c r="C104" s="70"/>
      <c r="D104" s="71">
        <f>'16-6-26'!I104</f>
        <v>0</v>
      </c>
      <c r="E104" s="68"/>
      <c r="F104" s="69"/>
      <c r="G104" s="69"/>
      <c r="H104" s="71">
        <f t="shared" si="3"/>
        <v>0</v>
      </c>
      <c r="I104" s="71">
        <f t="shared" si="4"/>
        <v>0</v>
      </c>
      <c r="J104" s="69">
        <f t="shared" si="5"/>
        <v>0</v>
      </c>
    </row>
    <row r="105" s="45" customFormat="1" ht="12.75" customHeight="1" spans="1:10">
      <c r="A105" s="68"/>
      <c r="B105" s="69"/>
      <c r="C105" s="70"/>
      <c r="D105" s="71">
        <f>'16-6-26'!I105</f>
        <v>0</v>
      </c>
      <c r="E105" s="68"/>
      <c r="F105" s="69"/>
      <c r="G105" s="69"/>
      <c r="H105" s="71">
        <f t="shared" si="3"/>
        <v>0</v>
      </c>
      <c r="I105" s="71">
        <f t="shared" si="4"/>
        <v>0</v>
      </c>
      <c r="J105" s="69">
        <f t="shared" si="5"/>
        <v>0</v>
      </c>
    </row>
    <row r="106" s="45" customFormat="1" ht="12.75" customHeight="1" spans="1:10">
      <c r="A106" s="68"/>
      <c r="B106" s="69"/>
      <c r="C106" s="70"/>
      <c r="D106" s="71">
        <f>'16-6-26'!I106</f>
        <v>0</v>
      </c>
      <c r="E106" s="68"/>
      <c r="F106" s="69"/>
      <c r="G106" s="69"/>
      <c r="H106" s="71">
        <f t="shared" si="3"/>
        <v>0</v>
      </c>
      <c r="I106" s="71">
        <f t="shared" si="4"/>
        <v>0</v>
      </c>
      <c r="J106" s="69">
        <f t="shared" si="5"/>
        <v>0</v>
      </c>
    </row>
    <row r="107" s="45" customFormat="1" ht="12.75" customHeight="1" spans="1:10">
      <c r="A107" s="68"/>
      <c r="B107" s="69"/>
      <c r="C107" s="70"/>
      <c r="D107" s="71">
        <f>'16-6-26'!I107</f>
        <v>0</v>
      </c>
      <c r="E107" s="68"/>
      <c r="F107" s="69"/>
      <c r="G107" s="69"/>
      <c r="H107" s="71">
        <f t="shared" si="3"/>
        <v>0</v>
      </c>
      <c r="I107" s="71">
        <f t="shared" si="4"/>
        <v>0</v>
      </c>
      <c r="J107" s="69">
        <f t="shared" si="5"/>
        <v>0</v>
      </c>
    </row>
    <row r="108" s="45" customFormat="1" ht="12.75" customHeight="1" spans="1:10">
      <c r="A108" s="68"/>
      <c r="B108" s="69"/>
      <c r="C108" s="70"/>
      <c r="D108" s="71">
        <f>'16-6-26'!I108</f>
        <v>0</v>
      </c>
      <c r="E108" s="68"/>
      <c r="F108" s="69"/>
      <c r="G108" s="69"/>
      <c r="H108" s="71">
        <f t="shared" si="3"/>
        <v>0</v>
      </c>
      <c r="I108" s="71">
        <f t="shared" si="4"/>
        <v>0</v>
      </c>
      <c r="J108" s="69">
        <f t="shared" si="5"/>
        <v>0</v>
      </c>
    </row>
    <row r="109" s="45" customFormat="1" ht="12.75" customHeight="1" spans="1:10">
      <c r="A109" s="68"/>
      <c r="B109" s="69"/>
      <c r="C109" s="70"/>
      <c r="D109" s="71">
        <f>'16-6-26'!I109</f>
        <v>0</v>
      </c>
      <c r="E109" s="68"/>
      <c r="F109" s="69"/>
      <c r="G109" s="69"/>
      <c r="H109" s="71">
        <f t="shared" si="3"/>
        <v>0</v>
      </c>
      <c r="I109" s="71">
        <f t="shared" si="4"/>
        <v>0</v>
      </c>
      <c r="J109" s="69">
        <f t="shared" si="5"/>
        <v>0</v>
      </c>
    </row>
    <row r="110" s="45" customFormat="1" ht="12.75" customHeight="1" spans="1:10">
      <c r="A110" s="68"/>
      <c r="B110" s="69"/>
      <c r="C110" s="70"/>
      <c r="D110" s="71">
        <f>'16-6-26'!I110</f>
        <v>0</v>
      </c>
      <c r="E110" s="68"/>
      <c r="F110" s="69"/>
      <c r="G110" s="69"/>
      <c r="H110" s="71">
        <f t="shared" si="3"/>
        <v>0</v>
      </c>
      <c r="I110" s="71">
        <f t="shared" si="4"/>
        <v>0</v>
      </c>
      <c r="J110" s="69">
        <f t="shared" si="5"/>
        <v>0</v>
      </c>
    </row>
    <row r="111" s="45" customFormat="1" ht="12.75" customHeight="1" spans="1:10">
      <c r="A111" s="68"/>
      <c r="B111" s="69"/>
      <c r="C111" s="70"/>
      <c r="D111" s="71">
        <f>'16-6-26'!I111</f>
        <v>0</v>
      </c>
      <c r="E111" s="68"/>
      <c r="F111" s="69"/>
      <c r="G111" s="69"/>
      <c r="H111" s="71">
        <f t="shared" si="3"/>
        <v>0</v>
      </c>
      <c r="I111" s="71">
        <f t="shared" si="4"/>
        <v>0</v>
      </c>
      <c r="J111" s="69">
        <f t="shared" si="5"/>
        <v>0</v>
      </c>
    </row>
    <row r="112" s="45" customFormat="1" ht="12.75" customHeight="1" spans="1:10">
      <c r="A112" s="68"/>
      <c r="B112" s="69"/>
      <c r="C112" s="70"/>
      <c r="D112" s="71">
        <f>'16-6-26'!I112</f>
        <v>0</v>
      </c>
      <c r="E112" s="68"/>
      <c r="F112" s="69"/>
      <c r="G112" s="69"/>
      <c r="H112" s="71">
        <f t="shared" si="3"/>
        <v>0</v>
      </c>
      <c r="I112" s="71">
        <f t="shared" si="4"/>
        <v>0</v>
      </c>
      <c r="J112" s="69">
        <f t="shared" si="5"/>
        <v>0</v>
      </c>
    </row>
    <row r="113" s="45" customFormat="1" ht="12.75" customHeight="1" spans="1:10">
      <c r="A113" s="68"/>
      <c r="B113" s="69"/>
      <c r="C113" s="70"/>
      <c r="D113" s="71">
        <f>'16-6-26'!I113</f>
        <v>0</v>
      </c>
      <c r="E113" s="68"/>
      <c r="F113" s="69"/>
      <c r="G113" s="69"/>
      <c r="H113" s="71">
        <f t="shared" si="3"/>
        <v>0</v>
      </c>
      <c r="I113" s="71">
        <f t="shared" si="4"/>
        <v>0</v>
      </c>
      <c r="J113" s="69">
        <f t="shared" si="5"/>
        <v>0</v>
      </c>
    </row>
    <row r="114" s="45" customFormat="1" ht="12.75" customHeight="1" spans="1:10">
      <c r="A114" s="68"/>
      <c r="B114" s="69"/>
      <c r="C114" s="70"/>
      <c r="D114" s="71">
        <f>'16-6-26'!I114</f>
        <v>0</v>
      </c>
      <c r="E114" s="68"/>
      <c r="F114" s="69"/>
      <c r="G114" s="69"/>
      <c r="H114" s="71">
        <f t="shared" si="3"/>
        <v>0</v>
      </c>
      <c r="I114" s="71">
        <f t="shared" si="4"/>
        <v>0</v>
      </c>
      <c r="J114" s="69">
        <f t="shared" si="5"/>
        <v>0</v>
      </c>
    </row>
    <row r="115" s="45" customFormat="1" ht="12.75" customHeight="1" spans="1:10">
      <c r="A115" s="68"/>
      <c r="B115" s="69"/>
      <c r="C115" s="70"/>
      <c r="D115" s="71">
        <f>'16-6-26'!I115</f>
        <v>0</v>
      </c>
      <c r="E115" s="68"/>
      <c r="F115" s="69"/>
      <c r="G115" s="69"/>
      <c r="H115" s="71">
        <f t="shared" si="3"/>
        <v>0</v>
      </c>
      <c r="I115" s="71">
        <f t="shared" si="4"/>
        <v>0</v>
      </c>
      <c r="J115" s="69">
        <f t="shared" si="5"/>
        <v>0</v>
      </c>
    </row>
    <row r="116" s="45" customFormat="1" ht="12.75" customHeight="1" spans="1:10">
      <c r="A116" s="68"/>
      <c r="B116" s="69"/>
      <c r="C116" s="70"/>
      <c r="D116" s="71">
        <f>'16-6-26'!I116</f>
        <v>0</v>
      </c>
      <c r="E116" s="68"/>
      <c r="F116" s="69"/>
      <c r="G116" s="69"/>
      <c r="H116" s="71">
        <f t="shared" si="3"/>
        <v>0</v>
      </c>
      <c r="I116" s="71">
        <f t="shared" si="4"/>
        <v>0</v>
      </c>
      <c r="J116" s="69">
        <f t="shared" si="5"/>
        <v>0</v>
      </c>
    </row>
    <row r="117" s="45" customFormat="1" ht="12.75" customHeight="1" spans="1:10">
      <c r="A117" s="68"/>
      <c r="B117" s="69"/>
      <c r="C117" s="70"/>
      <c r="D117" s="71">
        <f>'16-6-26'!I117</f>
        <v>0</v>
      </c>
      <c r="E117" s="68"/>
      <c r="F117" s="69"/>
      <c r="G117" s="69"/>
      <c r="H117" s="71">
        <f t="shared" si="3"/>
        <v>0</v>
      </c>
      <c r="I117" s="71">
        <f t="shared" si="4"/>
        <v>0</v>
      </c>
      <c r="J117" s="69">
        <f t="shared" si="5"/>
        <v>0</v>
      </c>
    </row>
    <row r="118" s="45" customFormat="1" ht="12.75" customHeight="1" spans="1:10">
      <c r="A118" s="68"/>
      <c r="B118" s="69"/>
      <c r="C118" s="70"/>
      <c r="D118" s="71">
        <f>'16-6-26'!I118</f>
        <v>0</v>
      </c>
      <c r="E118" s="68"/>
      <c r="F118" s="69"/>
      <c r="G118" s="69"/>
      <c r="H118" s="71">
        <f t="shared" si="3"/>
        <v>0</v>
      </c>
      <c r="I118" s="71">
        <f t="shared" si="4"/>
        <v>0</v>
      </c>
      <c r="J118" s="69">
        <f t="shared" si="5"/>
        <v>0</v>
      </c>
    </row>
    <row r="119" s="45" customFormat="1" ht="12.75" customHeight="1" spans="1:10">
      <c r="A119" s="68"/>
      <c r="B119" s="69"/>
      <c r="C119" s="70"/>
      <c r="D119" s="71">
        <f>'16-6-26'!I119</f>
        <v>0</v>
      </c>
      <c r="E119" s="68"/>
      <c r="F119" s="69"/>
      <c r="G119" s="69"/>
      <c r="H119" s="71">
        <f t="shared" si="3"/>
        <v>0</v>
      </c>
      <c r="I119" s="71">
        <f t="shared" si="4"/>
        <v>0</v>
      </c>
      <c r="J119" s="69">
        <f t="shared" si="5"/>
        <v>0</v>
      </c>
    </row>
    <row r="120" s="45" customFormat="1" ht="12.75" customHeight="1" spans="1:10">
      <c r="A120" s="68"/>
      <c r="B120" s="69"/>
      <c r="C120" s="70"/>
      <c r="D120" s="71">
        <f>'16-6-26'!I120</f>
        <v>0</v>
      </c>
      <c r="E120" s="68"/>
      <c r="F120" s="69"/>
      <c r="G120" s="69"/>
      <c r="H120" s="71">
        <f t="shared" si="3"/>
        <v>0</v>
      </c>
      <c r="I120" s="71">
        <f t="shared" si="4"/>
        <v>0</v>
      </c>
      <c r="J120" s="69">
        <f t="shared" si="5"/>
        <v>0</v>
      </c>
    </row>
    <row r="121" s="45" customFormat="1" ht="12.75" customHeight="1" spans="1:10">
      <c r="A121" s="68"/>
      <c r="B121" s="69"/>
      <c r="C121" s="70"/>
      <c r="D121" s="71">
        <f>'16-6-26'!I121</f>
        <v>0</v>
      </c>
      <c r="E121" s="68"/>
      <c r="F121" s="69"/>
      <c r="G121" s="69"/>
      <c r="H121" s="71">
        <f t="shared" si="3"/>
        <v>0</v>
      </c>
      <c r="I121" s="71">
        <f t="shared" si="4"/>
        <v>0</v>
      </c>
      <c r="J121" s="69">
        <f t="shared" si="5"/>
        <v>0</v>
      </c>
    </row>
    <row r="122" s="45" customFormat="1" ht="12.75" customHeight="1" spans="1:10">
      <c r="A122" s="68"/>
      <c r="B122" s="69"/>
      <c r="C122" s="70"/>
      <c r="D122" s="71">
        <f>'16-6-26'!I122</f>
        <v>0</v>
      </c>
      <c r="E122" s="68"/>
      <c r="F122" s="69"/>
      <c r="G122" s="69"/>
      <c r="H122" s="71">
        <f t="shared" si="3"/>
        <v>0</v>
      </c>
      <c r="I122" s="71">
        <f t="shared" si="4"/>
        <v>0</v>
      </c>
      <c r="J122" s="69">
        <f t="shared" si="5"/>
        <v>0</v>
      </c>
    </row>
    <row r="123" s="45" customFormat="1" ht="12.75" customHeight="1" spans="1:10">
      <c r="A123" s="68"/>
      <c r="B123" s="69"/>
      <c r="C123" s="70"/>
      <c r="D123" s="71">
        <f>'16-6-26'!I123</f>
        <v>0</v>
      </c>
      <c r="E123" s="68"/>
      <c r="F123" s="69"/>
      <c r="G123" s="69"/>
      <c r="H123" s="71">
        <f t="shared" si="3"/>
        <v>0</v>
      </c>
      <c r="I123" s="71">
        <f t="shared" si="4"/>
        <v>0</v>
      </c>
      <c r="J123" s="69">
        <f t="shared" si="5"/>
        <v>0</v>
      </c>
    </row>
    <row r="124" s="45" customFormat="1" ht="12.75" customHeight="1" spans="1:10">
      <c r="A124" s="68"/>
      <c r="B124" s="69"/>
      <c r="C124" s="70"/>
      <c r="D124" s="71">
        <f>'16-6-26'!I124</f>
        <v>0</v>
      </c>
      <c r="E124" s="68"/>
      <c r="F124" s="69"/>
      <c r="G124" s="69"/>
      <c r="H124" s="71">
        <f t="shared" si="3"/>
        <v>0</v>
      </c>
      <c r="I124" s="71">
        <f t="shared" si="4"/>
        <v>0</v>
      </c>
      <c r="J124" s="69">
        <f t="shared" si="5"/>
        <v>0</v>
      </c>
    </row>
    <row r="125" s="45" customFormat="1" ht="12.75" customHeight="1" spans="1:10">
      <c r="A125" s="68"/>
      <c r="B125" s="69"/>
      <c r="C125" s="70"/>
      <c r="D125" s="71">
        <f>'16-6-26'!I125</f>
        <v>0</v>
      </c>
      <c r="E125" s="68"/>
      <c r="F125" s="69"/>
      <c r="G125" s="69"/>
      <c r="H125" s="71">
        <f t="shared" si="3"/>
        <v>0</v>
      </c>
      <c r="I125" s="71">
        <f t="shared" si="4"/>
        <v>0</v>
      </c>
      <c r="J125" s="69">
        <f t="shared" si="5"/>
        <v>0</v>
      </c>
    </row>
    <row r="126" s="45" customFormat="1" ht="12.75" customHeight="1" spans="1:10">
      <c r="A126" s="68"/>
      <c r="B126" s="69"/>
      <c r="C126" s="70"/>
      <c r="D126" s="71">
        <f>'16-6-26'!I126</f>
        <v>0</v>
      </c>
      <c r="E126" s="68"/>
      <c r="F126" s="69"/>
      <c r="G126" s="69"/>
      <c r="H126" s="71">
        <f t="shared" si="3"/>
        <v>0</v>
      </c>
      <c r="I126" s="71">
        <f t="shared" si="4"/>
        <v>0</v>
      </c>
      <c r="J126" s="69">
        <f t="shared" si="5"/>
        <v>0</v>
      </c>
    </row>
    <row r="127" s="45" customFormat="1" ht="12.75" customHeight="1" spans="1:10">
      <c r="A127" s="68"/>
      <c r="B127" s="69"/>
      <c r="C127" s="70"/>
      <c r="D127" s="71">
        <f>'16-6-26'!I127</f>
        <v>0</v>
      </c>
      <c r="E127" s="68"/>
      <c r="F127" s="69"/>
      <c r="G127" s="69"/>
      <c r="H127" s="71">
        <f t="shared" si="3"/>
        <v>0</v>
      </c>
      <c r="I127" s="71">
        <f t="shared" si="4"/>
        <v>0</v>
      </c>
      <c r="J127" s="69">
        <f t="shared" si="5"/>
        <v>0</v>
      </c>
    </row>
    <row r="128" s="45" customFormat="1" ht="12.75" customHeight="1" spans="1:10">
      <c r="A128" s="68"/>
      <c r="B128" s="69"/>
      <c r="C128" s="70"/>
      <c r="D128" s="71">
        <f>'16-6-26'!I128</f>
        <v>0</v>
      </c>
      <c r="E128" s="68"/>
      <c r="F128" s="69"/>
      <c r="G128" s="69"/>
      <c r="H128" s="71">
        <f t="shared" si="3"/>
        <v>0</v>
      </c>
      <c r="I128" s="71">
        <f t="shared" si="4"/>
        <v>0</v>
      </c>
      <c r="J128" s="69">
        <f t="shared" si="5"/>
        <v>0</v>
      </c>
    </row>
    <row r="129" s="45" customFormat="1" ht="12.75" customHeight="1" spans="1:10">
      <c r="A129" s="68"/>
      <c r="B129" s="69"/>
      <c r="C129" s="70"/>
      <c r="D129" s="71">
        <f>'16-6-26'!I129</f>
        <v>0</v>
      </c>
      <c r="E129" s="68"/>
      <c r="F129" s="69"/>
      <c r="G129" s="69"/>
      <c r="H129" s="71">
        <f t="shared" si="3"/>
        <v>0</v>
      </c>
      <c r="I129" s="71">
        <f t="shared" si="4"/>
        <v>0</v>
      </c>
      <c r="J129" s="69">
        <f t="shared" si="5"/>
        <v>0</v>
      </c>
    </row>
    <row r="130" s="45" customFormat="1" ht="12.75" customHeight="1" spans="1:10">
      <c r="A130" s="68"/>
      <c r="B130" s="69"/>
      <c r="C130" s="70"/>
      <c r="D130" s="71">
        <f>'16-6-26'!I130</f>
        <v>0</v>
      </c>
      <c r="E130" s="68"/>
      <c r="F130" s="69"/>
      <c r="G130" s="69"/>
      <c r="H130" s="71">
        <f t="shared" si="3"/>
        <v>0</v>
      </c>
      <c r="I130" s="71">
        <f t="shared" si="4"/>
        <v>0</v>
      </c>
      <c r="J130" s="69">
        <f t="shared" si="5"/>
        <v>0</v>
      </c>
    </row>
    <row r="131" s="45" customFormat="1" ht="12.75" customHeight="1" spans="1:10">
      <c r="A131" s="68"/>
      <c r="B131" s="69"/>
      <c r="C131" s="70"/>
      <c r="D131" s="71">
        <f>'16-6-26'!I131</f>
        <v>0</v>
      </c>
      <c r="E131" s="68"/>
      <c r="F131" s="69"/>
      <c r="G131" s="69"/>
      <c r="H131" s="71">
        <f t="shared" si="3"/>
        <v>0</v>
      </c>
      <c r="I131" s="71">
        <f t="shared" si="4"/>
        <v>0</v>
      </c>
      <c r="J131" s="69">
        <f t="shared" si="5"/>
        <v>0</v>
      </c>
    </row>
    <row r="132" s="45" customFormat="1" ht="12.75" customHeight="1" spans="1:10">
      <c r="A132" s="68"/>
      <c r="B132" s="69"/>
      <c r="C132" s="70"/>
      <c r="D132" s="71">
        <f>'16-6-26'!I132</f>
        <v>0</v>
      </c>
      <c r="E132" s="68"/>
      <c r="F132" s="69"/>
      <c r="G132" s="69"/>
      <c r="H132" s="71">
        <f t="shared" si="3"/>
        <v>0</v>
      </c>
      <c r="I132" s="71">
        <f t="shared" si="4"/>
        <v>0</v>
      </c>
      <c r="J132" s="69">
        <f t="shared" si="5"/>
        <v>0</v>
      </c>
    </row>
    <row r="133" s="45" customFormat="1" ht="12.75" customHeight="1" spans="1:10">
      <c r="A133" s="68"/>
      <c r="B133" s="69"/>
      <c r="C133" s="70"/>
      <c r="D133" s="71">
        <f>'16-6-26'!I133</f>
        <v>0</v>
      </c>
      <c r="E133" s="68"/>
      <c r="F133" s="69"/>
      <c r="G133" s="69"/>
      <c r="H133" s="71">
        <f t="shared" si="3"/>
        <v>0</v>
      </c>
      <c r="I133" s="71">
        <f t="shared" si="4"/>
        <v>0</v>
      </c>
      <c r="J133" s="69">
        <f t="shared" si="5"/>
        <v>0</v>
      </c>
    </row>
    <row r="134" s="45" customFormat="1" ht="12.75" customHeight="1" spans="1:10">
      <c r="A134" s="68"/>
      <c r="B134" s="69"/>
      <c r="C134" s="70"/>
      <c r="D134" s="71">
        <f>'16-6-26'!I134</f>
        <v>0</v>
      </c>
      <c r="E134" s="68"/>
      <c r="F134" s="69"/>
      <c r="G134" s="69"/>
      <c r="H134" s="71">
        <f t="shared" si="3"/>
        <v>0</v>
      </c>
      <c r="I134" s="71">
        <f t="shared" si="4"/>
        <v>0</v>
      </c>
      <c r="J134" s="69">
        <f t="shared" si="5"/>
        <v>0</v>
      </c>
    </row>
    <row r="135" s="45" customFormat="1" ht="12.75" customHeight="1" spans="1:10">
      <c r="A135" s="68"/>
      <c r="B135" s="69"/>
      <c r="C135" s="70"/>
      <c r="D135" s="71">
        <f>'16-6-26'!I135</f>
        <v>0</v>
      </c>
      <c r="E135" s="68"/>
      <c r="F135" s="69"/>
      <c r="G135" s="69"/>
      <c r="H135" s="71">
        <f t="shared" si="3"/>
        <v>0</v>
      </c>
      <c r="I135" s="71">
        <f t="shared" si="4"/>
        <v>0</v>
      </c>
      <c r="J135" s="69">
        <f t="shared" si="5"/>
        <v>0</v>
      </c>
    </row>
    <row r="136" s="45" customFormat="1" ht="12.75" customHeight="1" spans="1:10">
      <c r="A136" s="68"/>
      <c r="B136" s="69"/>
      <c r="C136" s="70"/>
      <c r="D136" s="71">
        <f>'16-6-26'!I136</f>
        <v>0</v>
      </c>
      <c r="E136" s="68"/>
      <c r="F136" s="69"/>
      <c r="G136" s="69"/>
      <c r="H136" s="71">
        <f t="shared" si="3"/>
        <v>0</v>
      </c>
      <c r="I136" s="71">
        <f t="shared" si="4"/>
        <v>0</v>
      </c>
      <c r="J136" s="69">
        <f t="shared" si="5"/>
        <v>0</v>
      </c>
    </row>
    <row r="137" s="45" customFormat="1" ht="12.75" customHeight="1" spans="1:10">
      <c r="A137" s="68"/>
      <c r="B137" s="69"/>
      <c r="C137" s="70"/>
      <c r="D137" s="71">
        <f>'16-6-26'!I137</f>
        <v>0</v>
      </c>
      <c r="E137" s="68"/>
      <c r="F137" s="69"/>
      <c r="G137" s="69"/>
      <c r="H137" s="71">
        <f t="shared" ref="H137:H187" si="6">SUM(F137:G137)</f>
        <v>0</v>
      </c>
      <c r="I137" s="71">
        <f t="shared" ref="I137:I187" si="7">D137-F137</f>
        <v>0</v>
      </c>
      <c r="J137" s="69">
        <f t="shared" ref="J137:J187" si="8">1/10*G137</f>
        <v>0</v>
      </c>
    </row>
    <row r="138" s="45" customFormat="1" ht="12.75" customHeight="1" spans="1:10">
      <c r="A138" s="68"/>
      <c r="B138" s="69"/>
      <c r="C138" s="70"/>
      <c r="D138" s="71">
        <f>'16-6-26'!I138</f>
        <v>0</v>
      </c>
      <c r="E138" s="68"/>
      <c r="F138" s="69"/>
      <c r="G138" s="69"/>
      <c r="H138" s="71">
        <f t="shared" si="6"/>
        <v>0</v>
      </c>
      <c r="I138" s="71">
        <f t="shared" si="7"/>
        <v>0</v>
      </c>
      <c r="J138" s="69">
        <f t="shared" si="8"/>
        <v>0</v>
      </c>
    </row>
    <row r="139" s="45" customFormat="1" ht="12.75" customHeight="1" spans="1:10">
      <c r="A139" s="68"/>
      <c r="B139" s="69"/>
      <c r="C139" s="70"/>
      <c r="D139" s="71">
        <f>'16-6-26'!I139</f>
        <v>0</v>
      </c>
      <c r="E139" s="68"/>
      <c r="F139" s="69"/>
      <c r="G139" s="69"/>
      <c r="H139" s="71">
        <f t="shared" si="6"/>
        <v>0</v>
      </c>
      <c r="I139" s="71">
        <f t="shared" si="7"/>
        <v>0</v>
      </c>
      <c r="J139" s="69">
        <f t="shared" si="8"/>
        <v>0</v>
      </c>
    </row>
    <row r="140" s="45" customFormat="1" ht="12.75" customHeight="1" spans="1:10">
      <c r="A140" s="68"/>
      <c r="B140" s="69"/>
      <c r="C140" s="70"/>
      <c r="D140" s="71">
        <f>'16-6-26'!I140</f>
        <v>0</v>
      </c>
      <c r="E140" s="68"/>
      <c r="F140" s="69"/>
      <c r="G140" s="69"/>
      <c r="H140" s="71">
        <f t="shared" si="6"/>
        <v>0</v>
      </c>
      <c r="I140" s="71">
        <f t="shared" si="7"/>
        <v>0</v>
      </c>
      <c r="J140" s="69">
        <f t="shared" si="8"/>
        <v>0</v>
      </c>
    </row>
    <row r="141" s="45" customFormat="1" ht="12.75" customHeight="1" spans="1:10">
      <c r="A141" s="68"/>
      <c r="B141" s="69"/>
      <c r="C141" s="70"/>
      <c r="D141" s="71">
        <f>'16-6-26'!I141</f>
        <v>0</v>
      </c>
      <c r="E141" s="68"/>
      <c r="F141" s="69"/>
      <c r="G141" s="69"/>
      <c r="H141" s="71">
        <f t="shared" si="6"/>
        <v>0</v>
      </c>
      <c r="I141" s="71">
        <f t="shared" si="7"/>
        <v>0</v>
      </c>
      <c r="J141" s="69">
        <f t="shared" si="8"/>
        <v>0</v>
      </c>
    </row>
    <row r="142" s="45" customFormat="1" ht="12.75" customHeight="1" spans="1:10">
      <c r="A142" s="68"/>
      <c r="B142" s="69"/>
      <c r="C142" s="70"/>
      <c r="D142" s="71">
        <f>'16-6-26'!I142</f>
        <v>0</v>
      </c>
      <c r="E142" s="68"/>
      <c r="F142" s="69"/>
      <c r="G142" s="69"/>
      <c r="H142" s="71">
        <f t="shared" si="6"/>
        <v>0</v>
      </c>
      <c r="I142" s="71">
        <f t="shared" si="7"/>
        <v>0</v>
      </c>
      <c r="J142" s="69">
        <f t="shared" si="8"/>
        <v>0</v>
      </c>
    </row>
    <row r="143" s="45" customFormat="1" ht="12.75" customHeight="1" spans="1:10">
      <c r="A143" s="68"/>
      <c r="B143" s="69"/>
      <c r="C143" s="70"/>
      <c r="D143" s="71">
        <f>'16-6-26'!I143</f>
        <v>0</v>
      </c>
      <c r="E143" s="68"/>
      <c r="F143" s="69"/>
      <c r="G143" s="69"/>
      <c r="H143" s="71">
        <f t="shared" si="6"/>
        <v>0</v>
      </c>
      <c r="I143" s="71">
        <f t="shared" si="7"/>
        <v>0</v>
      </c>
      <c r="J143" s="69">
        <f t="shared" si="8"/>
        <v>0</v>
      </c>
    </row>
    <row r="144" s="45" customFormat="1" ht="12.75" customHeight="1" spans="1:10">
      <c r="A144" s="68"/>
      <c r="B144" s="69"/>
      <c r="C144" s="70"/>
      <c r="D144" s="71">
        <f>'16-6-26'!I144</f>
        <v>0</v>
      </c>
      <c r="E144" s="68"/>
      <c r="F144" s="69"/>
      <c r="G144" s="69"/>
      <c r="H144" s="71">
        <f t="shared" si="6"/>
        <v>0</v>
      </c>
      <c r="I144" s="71">
        <f t="shared" si="7"/>
        <v>0</v>
      </c>
      <c r="J144" s="69">
        <f t="shared" si="8"/>
        <v>0</v>
      </c>
    </row>
    <row r="145" s="45" customFormat="1" ht="12.75" customHeight="1" spans="1:10">
      <c r="A145" s="68"/>
      <c r="B145" s="69"/>
      <c r="C145" s="70"/>
      <c r="D145" s="71">
        <f>'16-6-26'!I145</f>
        <v>0</v>
      </c>
      <c r="E145" s="68"/>
      <c r="F145" s="69"/>
      <c r="G145" s="69"/>
      <c r="H145" s="71">
        <f t="shared" si="6"/>
        <v>0</v>
      </c>
      <c r="I145" s="71">
        <f t="shared" si="7"/>
        <v>0</v>
      </c>
      <c r="J145" s="69">
        <f t="shared" si="8"/>
        <v>0</v>
      </c>
    </row>
    <row r="146" s="45" customFormat="1" ht="12.75" customHeight="1" spans="1:10">
      <c r="A146" s="68"/>
      <c r="B146" s="69"/>
      <c r="C146" s="70"/>
      <c r="D146" s="71">
        <f>'16-6-26'!I146</f>
        <v>0</v>
      </c>
      <c r="E146" s="68"/>
      <c r="F146" s="69"/>
      <c r="G146" s="69"/>
      <c r="H146" s="71">
        <f t="shared" si="6"/>
        <v>0</v>
      </c>
      <c r="I146" s="71">
        <f t="shared" si="7"/>
        <v>0</v>
      </c>
      <c r="J146" s="69">
        <f t="shared" si="8"/>
        <v>0</v>
      </c>
    </row>
    <row r="147" s="45" customFormat="1" ht="12.75" customHeight="1" spans="1:10">
      <c r="A147" s="68"/>
      <c r="B147" s="69"/>
      <c r="C147" s="70"/>
      <c r="D147" s="71">
        <f>'16-6-26'!I147</f>
        <v>0</v>
      </c>
      <c r="E147" s="68"/>
      <c r="F147" s="69"/>
      <c r="G147" s="69"/>
      <c r="H147" s="71">
        <f t="shared" si="6"/>
        <v>0</v>
      </c>
      <c r="I147" s="71">
        <f t="shared" si="7"/>
        <v>0</v>
      </c>
      <c r="J147" s="69">
        <f t="shared" si="8"/>
        <v>0</v>
      </c>
    </row>
    <row r="148" s="45" customFormat="1" ht="12.75" customHeight="1" spans="1:10">
      <c r="A148" s="68"/>
      <c r="B148" s="69"/>
      <c r="C148" s="70"/>
      <c r="D148" s="71">
        <f>'16-6-26'!I148</f>
        <v>0</v>
      </c>
      <c r="E148" s="68"/>
      <c r="F148" s="69"/>
      <c r="G148" s="69"/>
      <c r="H148" s="71">
        <f t="shared" si="6"/>
        <v>0</v>
      </c>
      <c r="I148" s="71">
        <f t="shared" si="7"/>
        <v>0</v>
      </c>
      <c r="J148" s="69">
        <f t="shared" si="8"/>
        <v>0</v>
      </c>
    </row>
    <row r="149" s="45" customFormat="1" ht="12.75" customHeight="1" spans="1:10">
      <c r="A149" s="68"/>
      <c r="B149" s="69"/>
      <c r="C149" s="70"/>
      <c r="D149" s="71">
        <f>'16-6-26'!I149</f>
        <v>0</v>
      </c>
      <c r="E149" s="68"/>
      <c r="F149" s="69"/>
      <c r="G149" s="69"/>
      <c r="H149" s="71">
        <f t="shared" si="6"/>
        <v>0</v>
      </c>
      <c r="I149" s="71">
        <f t="shared" si="7"/>
        <v>0</v>
      </c>
      <c r="J149" s="69">
        <f t="shared" si="8"/>
        <v>0</v>
      </c>
    </row>
    <row r="150" s="45" customFormat="1" ht="12.75" customHeight="1" spans="1:10">
      <c r="A150" s="68"/>
      <c r="B150" s="69"/>
      <c r="C150" s="70"/>
      <c r="D150" s="71">
        <f>'16-6-26'!I150</f>
        <v>0</v>
      </c>
      <c r="E150" s="68"/>
      <c r="F150" s="69"/>
      <c r="G150" s="69"/>
      <c r="H150" s="71">
        <f t="shared" si="6"/>
        <v>0</v>
      </c>
      <c r="I150" s="71">
        <f t="shared" si="7"/>
        <v>0</v>
      </c>
      <c r="J150" s="69">
        <f t="shared" si="8"/>
        <v>0</v>
      </c>
    </row>
    <row r="151" s="45" customFormat="1" ht="12.75" customHeight="1" spans="1:10">
      <c r="A151" s="68"/>
      <c r="B151" s="69"/>
      <c r="C151" s="70"/>
      <c r="D151" s="71">
        <f>'16-6-26'!I151</f>
        <v>0</v>
      </c>
      <c r="E151" s="68"/>
      <c r="F151" s="69"/>
      <c r="G151" s="69"/>
      <c r="H151" s="71">
        <f t="shared" si="6"/>
        <v>0</v>
      </c>
      <c r="I151" s="71">
        <f t="shared" si="7"/>
        <v>0</v>
      </c>
      <c r="J151" s="69">
        <f t="shared" si="8"/>
        <v>0</v>
      </c>
    </row>
    <row r="152" s="45" customFormat="1" ht="12.75" customHeight="1" spans="1:10">
      <c r="A152" s="68"/>
      <c r="B152" s="69"/>
      <c r="C152" s="70"/>
      <c r="D152" s="71">
        <f>'16-6-26'!I152</f>
        <v>0</v>
      </c>
      <c r="E152" s="68"/>
      <c r="F152" s="69"/>
      <c r="G152" s="69"/>
      <c r="H152" s="71">
        <f t="shared" si="6"/>
        <v>0</v>
      </c>
      <c r="I152" s="71">
        <f t="shared" si="7"/>
        <v>0</v>
      </c>
      <c r="J152" s="69">
        <f t="shared" si="8"/>
        <v>0</v>
      </c>
    </row>
    <row r="153" s="45" customFormat="1" ht="12.75" customHeight="1" spans="1:10">
      <c r="A153" s="68"/>
      <c r="B153" s="69"/>
      <c r="C153" s="70"/>
      <c r="D153" s="71">
        <f>'16-6-26'!I153</f>
        <v>0</v>
      </c>
      <c r="E153" s="68"/>
      <c r="F153" s="69"/>
      <c r="G153" s="69"/>
      <c r="H153" s="71">
        <f t="shared" si="6"/>
        <v>0</v>
      </c>
      <c r="I153" s="71">
        <f t="shared" si="7"/>
        <v>0</v>
      </c>
      <c r="J153" s="69">
        <f t="shared" si="8"/>
        <v>0</v>
      </c>
    </row>
    <row r="154" s="45" customFormat="1" ht="12.75" customHeight="1" spans="1:10">
      <c r="A154" s="68"/>
      <c r="B154" s="69"/>
      <c r="C154" s="70"/>
      <c r="D154" s="71">
        <f>'16-6-26'!I154</f>
        <v>0</v>
      </c>
      <c r="E154" s="68"/>
      <c r="F154" s="69"/>
      <c r="G154" s="69"/>
      <c r="H154" s="71">
        <f t="shared" si="6"/>
        <v>0</v>
      </c>
      <c r="I154" s="71">
        <f t="shared" si="7"/>
        <v>0</v>
      </c>
      <c r="J154" s="69">
        <f t="shared" si="8"/>
        <v>0</v>
      </c>
    </row>
    <row r="155" s="45" customFormat="1" ht="12.75" customHeight="1" spans="1:10">
      <c r="A155" s="68"/>
      <c r="B155" s="69"/>
      <c r="C155" s="70"/>
      <c r="D155" s="71">
        <f>'16-6-26'!I155</f>
        <v>0</v>
      </c>
      <c r="E155" s="68"/>
      <c r="F155" s="69"/>
      <c r="G155" s="69"/>
      <c r="H155" s="71">
        <f t="shared" si="6"/>
        <v>0</v>
      </c>
      <c r="I155" s="71">
        <f t="shared" si="7"/>
        <v>0</v>
      </c>
      <c r="J155" s="69">
        <f t="shared" si="8"/>
        <v>0</v>
      </c>
    </row>
    <row r="156" s="45" customFormat="1" ht="12.75" customHeight="1" spans="1:10">
      <c r="A156" s="68"/>
      <c r="B156" s="69"/>
      <c r="C156" s="70"/>
      <c r="D156" s="71">
        <f>'16-6-26'!I156</f>
        <v>0</v>
      </c>
      <c r="E156" s="68"/>
      <c r="F156" s="69"/>
      <c r="G156" s="69"/>
      <c r="H156" s="71">
        <f t="shared" si="6"/>
        <v>0</v>
      </c>
      <c r="I156" s="71">
        <f t="shared" si="7"/>
        <v>0</v>
      </c>
      <c r="J156" s="69">
        <f t="shared" si="8"/>
        <v>0</v>
      </c>
    </row>
    <row r="157" s="45" customFormat="1" ht="12.75" customHeight="1" spans="1:10">
      <c r="A157" s="68"/>
      <c r="B157" s="69"/>
      <c r="C157" s="70"/>
      <c r="D157" s="71">
        <f>'16-6-26'!I157</f>
        <v>0</v>
      </c>
      <c r="E157" s="68"/>
      <c r="F157" s="69"/>
      <c r="G157" s="69"/>
      <c r="H157" s="71">
        <f t="shared" si="6"/>
        <v>0</v>
      </c>
      <c r="I157" s="71">
        <f t="shared" si="7"/>
        <v>0</v>
      </c>
      <c r="J157" s="69">
        <f t="shared" si="8"/>
        <v>0</v>
      </c>
    </row>
    <row r="158" s="45" customFormat="1" ht="12.75" customHeight="1" spans="1:10">
      <c r="A158" s="68"/>
      <c r="B158" s="69"/>
      <c r="C158" s="70"/>
      <c r="D158" s="71">
        <f>'16-6-26'!I158</f>
        <v>0</v>
      </c>
      <c r="E158" s="68"/>
      <c r="F158" s="69"/>
      <c r="G158" s="69"/>
      <c r="H158" s="71">
        <f t="shared" si="6"/>
        <v>0</v>
      </c>
      <c r="I158" s="71">
        <f t="shared" si="7"/>
        <v>0</v>
      </c>
      <c r="J158" s="69">
        <f t="shared" si="8"/>
        <v>0</v>
      </c>
    </row>
    <row r="159" s="45" customFormat="1" ht="12.75" customHeight="1" spans="1:10">
      <c r="A159" s="68"/>
      <c r="B159" s="69"/>
      <c r="C159" s="70"/>
      <c r="D159" s="71">
        <f>'16-6-26'!I159</f>
        <v>0</v>
      </c>
      <c r="E159" s="68"/>
      <c r="F159" s="69"/>
      <c r="G159" s="69"/>
      <c r="H159" s="71">
        <f t="shared" si="6"/>
        <v>0</v>
      </c>
      <c r="I159" s="71">
        <f t="shared" si="7"/>
        <v>0</v>
      </c>
      <c r="J159" s="69">
        <f t="shared" si="8"/>
        <v>0</v>
      </c>
    </row>
    <row r="160" s="45" customFormat="1" ht="12.75" customHeight="1" spans="1:10">
      <c r="A160" s="68"/>
      <c r="B160" s="69"/>
      <c r="C160" s="70"/>
      <c r="D160" s="71">
        <f>'16-6-26'!I160</f>
        <v>0</v>
      </c>
      <c r="E160" s="68"/>
      <c r="F160" s="69"/>
      <c r="G160" s="69"/>
      <c r="H160" s="71">
        <f t="shared" si="6"/>
        <v>0</v>
      </c>
      <c r="I160" s="71">
        <f t="shared" si="7"/>
        <v>0</v>
      </c>
      <c r="J160" s="69">
        <f t="shared" si="8"/>
        <v>0</v>
      </c>
    </row>
    <row r="161" s="45" customFormat="1" ht="12.75" customHeight="1" spans="1:10">
      <c r="A161" s="68"/>
      <c r="B161" s="69"/>
      <c r="C161" s="70"/>
      <c r="D161" s="71">
        <f>'16-6-26'!I161</f>
        <v>0</v>
      </c>
      <c r="E161" s="68"/>
      <c r="F161" s="69"/>
      <c r="G161" s="69"/>
      <c r="H161" s="71">
        <f t="shared" si="6"/>
        <v>0</v>
      </c>
      <c r="I161" s="71">
        <f t="shared" si="7"/>
        <v>0</v>
      </c>
      <c r="J161" s="69">
        <f t="shared" si="8"/>
        <v>0</v>
      </c>
    </row>
    <row r="162" s="45" customFormat="1" ht="12.75" customHeight="1" spans="1:10">
      <c r="A162" s="68"/>
      <c r="B162" s="69"/>
      <c r="C162" s="70"/>
      <c r="D162" s="71">
        <f>'16-6-26'!I162</f>
        <v>0</v>
      </c>
      <c r="E162" s="68"/>
      <c r="F162" s="69"/>
      <c r="G162" s="69"/>
      <c r="H162" s="71">
        <f t="shared" si="6"/>
        <v>0</v>
      </c>
      <c r="I162" s="71">
        <f t="shared" si="7"/>
        <v>0</v>
      </c>
      <c r="J162" s="69">
        <f t="shared" si="8"/>
        <v>0</v>
      </c>
    </row>
    <row r="163" s="45" customFormat="1" ht="12.75" customHeight="1" spans="1:10">
      <c r="A163" s="68"/>
      <c r="B163" s="69"/>
      <c r="C163" s="70"/>
      <c r="D163" s="71">
        <f>'16-6-26'!I163</f>
        <v>0</v>
      </c>
      <c r="E163" s="68"/>
      <c r="F163" s="69"/>
      <c r="G163" s="69"/>
      <c r="H163" s="71">
        <f t="shared" si="6"/>
        <v>0</v>
      </c>
      <c r="I163" s="71">
        <f t="shared" si="7"/>
        <v>0</v>
      </c>
      <c r="J163" s="69">
        <f t="shared" si="8"/>
        <v>0</v>
      </c>
    </row>
    <row r="164" s="45" customFormat="1" ht="12.75" customHeight="1" spans="1:10">
      <c r="A164" s="68"/>
      <c r="B164" s="69"/>
      <c r="C164" s="70"/>
      <c r="D164" s="71">
        <f>'16-6-26'!I164</f>
        <v>0</v>
      </c>
      <c r="E164" s="68"/>
      <c r="F164" s="69"/>
      <c r="G164" s="69"/>
      <c r="H164" s="71">
        <f t="shared" si="6"/>
        <v>0</v>
      </c>
      <c r="I164" s="71">
        <f t="shared" si="7"/>
        <v>0</v>
      </c>
      <c r="J164" s="69">
        <f t="shared" si="8"/>
        <v>0</v>
      </c>
    </row>
    <row r="165" s="45" customFormat="1" ht="12.75" customHeight="1" spans="1:10">
      <c r="A165" s="68"/>
      <c r="B165" s="69"/>
      <c r="C165" s="70"/>
      <c r="D165" s="71">
        <f>'16-6-26'!I165</f>
        <v>0</v>
      </c>
      <c r="E165" s="68"/>
      <c r="F165" s="69"/>
      <c r="G165" s="69"/>
      <c r="H165" s="71">
        <f t="shared" si="6"/>
        <v>0</v>
      </c>
      <c r="I165" s="71">
        <f t="shared" si="7"/>
        <v>0</v>
      </c>
      <c r="J165" s="69">
        <f t="shared" si="8"/>
        <v>0</v>
      </c>
    </row>
    <row r="166" s="45" customFormat="1" ht="12.75" customHeight="1" spans="1:10">
      <c r="A166" s="68"/>
      <c r="B166" s="69"/>
      <c r="C166" s="70"/>
      <c r="D166" s="71">
        <f>'16-6-26'!I166</f>
        <v>0</v>
      </c>
      <c r="E166" s="68"/>
      <c r="F166" s="69"/>
      <c r="G166" s="69"/>
      <c r="H166" s="71">
        <f t="shared" si="6"/>
        <v>0</v>
      </c>
      <c r="I166" s="71">
        <f t="shared" si="7"/>
        <v>0</v>
      </c>
      <c r="J166" s="69">
        <f t="shared" si="8"/>
        <v>0</v>
      </c>
    </row>
    <row r="167" s="45" customFormat="1" ht="12.75" customHeight="1" spans="1:10">
      <c r="A167" s="68"/>
      <c r="B167" s="69"/>
      <c r="C167" s="70"/>
      <c r="D167" s="71">
        <f>'16-6-26'!I167</f>
        <v>0</v>
      </c>
      <c r="E167" s="68"/>
      <c r="F167" s="69"/>
      <c r="G167" s="69"/>
      <c r="H167" s="71">
        <f t="shared" si="6"/>
        <v>0</v>
      </c>
      <c r="I167" s="71">
        <f t="shared" si="7"/>
        <v>0</v>
      </c>
      <c r="J167" s="69">
        <f t="shared" si="8"/>
        <v>0</v>
      </c>
    </row>
    <row r="168" s="45" customFormat="1" ht="12.75" customHeight="1" spans="1:10">
      <c r="A168" s="68"/>
      <c r="B168" s="69"/>
      <c r="C168" s="70"/>
      <c r="D168" s="71">
        <f>'16-6-26'!I168</f>
        <v>0</v>
      </c>
      <c r="E168" s="68"/>
      <c r="F168" s="69"/>
      <c r="G168" s="69"/>
      <c r="H168" s="71">
        <f t="shared" si="6"/>
        <v>0</v>
      </c>
      <c r="I168" s="71">
        <f t="shared" si="7"/>
        <v>0</v>
      </c>
      <c r="J168" s="69">
        <f t="shared" si="8"/>
        <v>0</v>
      </c>
    </row>
    <row r="169" s="45" customFormat="1" ht="12.75" customHeight="1" spans="1:10">
      <c r="A169" s="68"/>
      <c r="B169" s="69"/>
      <c r="C169" s="70"/>
      <c r="D169" s="71">
        <f>'16-6-26'!I169</f>
        <v>0</v>
      </c>
      <c r="E169" s="68"/>
      <c r="F169" s="69"/>
      <c r="G169" s="69"/>
      <c r="H169" s="71">
        <f t="shared" si="6"/>
        <v>0</v>
      </c>
      <c r="I169" s="71">
        <f t="shared" si="7"/>
        <v>0</v>
      </c>
      <c r="J169" s="69">
        <f t="shared" si="8"/>
        <v>0</v>
      </c>
    </row>
    <row r="170" s="45" customFormat="1" ht="12.75" customHeight="1" spans="1:10">
      <c r="A170" s="68"/>
      <c r="B170" s="69"/>
      <c r="C170" s="70"/>
      <c r="D170" s="71">
        <f>'16-6-26'!I170</f>
        <v>0</v>
      </c>
      <c r="E170" s="68"/>
      <c r="F170" s="69"/>
      <c r="G170" s="69"/>
      <c r="H170" s="71">
        <f t="shared" si="6"/>
        <v>0</v>
      </c>
      <c r="I170" s="71">
        <f t="shared" si="7"/>
        <v>0</v>
      </c>
      <c r="J170" s="69">
        <f t="shared" si="8"/>
        <v>0</v>
      </c>
    </row>
    <row r="171" s="45" customFormat="1" ht="12.75" customHeight="1" spans="1:10">
      <c r="A171" s="68"/>
      <c r="B171" s="69"/>
      <c r="C171" s="70"/>
      <c r="D171" s="71">
        <f>'16-6-26'!I171</f>
        <v>0</v>
      </c>
      <c r="E171" s="68"/>
      <c r="F171" s="69"/>
      <c r="G171" s="69"/>
      <c r="H171" s="71">
        <f t="shared" si="6"/>
        <v>0</v>
      </c>
      <c r="I171" s="71">
        <f t="shared" si="7"/>
        <v>0</v>
      </c>
      <c r="J171" s="69">
        <f t="shared" si="8"/>
        <v>0</v>
      </c>
    </row>
    <row r="172" s="45" customFormat="1" ht="12.75" customHeight="1" spans="1:10">
      <c r="A172" s="68"/>
      <c r="B172" s="69"/>
      <c r="C172" s="70"/>
      <c r="D172" s="71">
        <f>'16-6-26'!I172</f>
        <v>0</v>
      </c>
      <c r="E172" s="68"/>
      <c r="F172" s="69"/>
      <c r="G172" s="69"/>
      <c r="H172" s="71">
        <f t="shared" si="6"/>
        <v>0</v>
      </c>
      <c r="I172" s="71">
        <f t="shared" si="7"/>
        <v>0</v>
      </c>
      <c r="J172" s="69">
        <f t="shared" si="8"/>
        <v>0</v>
      </c>
    </row>
    <row r="173" s="45" customFormat="1" ht="12.75" customHeight="1" spans="1:10">
      <c r="A173" s="68"/>
      <c r="B173" s="69"/>
      <c r="C173" s="70"/>
      <c r="D173" s="71">
        <f>'16-6-26'!I173</f>
        <v>0</v>
      </c>
      <c r="E173" s="68"/>
      <c r="F173" s="69"/>
      <c r="G173" s="69"/>
      <c r="H173" s="71">
        <f t="shared" si="6"/>
        <v>0</v>
      </c>
      <c r="I173" s="71">
        <f t="shared" si="7"/>
        <v>0</v>
      </c>
      <c r="J173" s="69">
        <f t="shared" si="8"/>
        <v>0</v>
      </c>
    </row>
    <row r="174" s="45" customFormat="1" ht="12.75" customHeight="1" spans="1:10">
      <c r="A174" s="68"/>
      <c r="B174" s="69"/>
      <c r="C174" s="70"/>
      <c r="D174" s="71">
        <f>'16-6-26'!I174</f>
        <v>0</v>
      </c>
      <c r="E174" s="68"/>
      <c r="F174" s="69"/>
      <c r="G174" s="69"/>
      <c r="H174" s="71">
        <f t="shared" si="6"/>
        <v>0</v>
      </c>
      <c r="I174" s="71">
        <f t="shared" si="7"/>
        <v>0</v>
      </c>
      <c r="J174" s="69">
        <f t="shared" si="8"/>
        <v>0</v>
      </c>
    </row>
    <row r="175" s="45" customFormat="1" ht="12.75" customHeight="1" spans="1:10">
      <c r="A175" s="68"/>
      <c r="B175" s="69"/>
      <c r="C175" s="70"/>
      <c r="D175" s="71">
        <f>'16-6-26'!I175</f>
        <v>0</v>
      </c>
      <c r="E175" s="68"/>
      <c r="F175" s="69"/>
      <c r="G175" s="69"/>
      <c r="H175" s="71">
        <f t="shared" si="6"/>
        <v>0</v>
      </c>
      <c r="I175" s="71">
        <f t="shared" si="7"/>
        <v>0</v>
      </c>
      <c r="J175" s="69">
        <f t="shared" si="8"/>
        <v>0</v>
      </c>
    </row>
    <row r="176" s="45" customFormat="1" ht="12.75" customHeight="1" spans="1:10">
      <c r="A176" s="68"/>
      <c r="B176" s="69"/>
      <c r="C176" s="70"/>
      <c r="D176" s="71">
        <f>'16-6-26'!I176</f>
        <v>0</v>
      </c>
      <c r="E176" s="68"/>
      <c r="F176" s="69"/>
      <c r="G176" s="69"/>
      <c r="H176" s="71">
        <f t="shared" si="6"/>
        <v>0</v>
      </c>
      <c r="I176" s="71">
        <f t="shared" si="7"/>
        <v>0</v>
      </c>
      <c r="J176" s="69">
        <f t="shared" si="8"/>
        <v>0</v>
      </c>
    </row>
    <row r="177" s="45" customFormat="1" ht="12.75" customHeight="1" spans="1:11">
      <c r="A177" s="68"/>
      <c r="B177" s="69"/>
      <c r="C177" s="70"/>
      <c r="D177" s="71">
        <f>'16-6-26'!I177</f>
        <v>0</v>
      </c>
      <c r="E177" s="68"/>
      <c r="F177" s="69"/>
      <c r="G177" s="69"/>
      <c r="H177" s="71">
        <f t="shared" si="6"/>
        <v>0</v>
      </c>
      <c r="I177" s="71">
        <f t="shared" si="7"/>
        <v>0</v>
      </c>
      <c r="J177" s="69">
        <f t="shared" si="8"/>
        <v>0</v>
      </c>
    </row>
    <row r="178" s="45" customFormat="1" ht="12.75" customHeight="1" spans="1:11">
      <c r="A178" s="68"/>
      <c r="B178" s="69"/>
      <c r="C178" s="70"/>
      <c r="D178" s="71">
        <f>'16-6-26'!I178</f>
        <v>0</v>
      </c>
      <c r="E178" s="68"/>
      <c r="F178" s="69"/>
      <c r="G178" s="69"/>
      <c r="H178" s="71">
        <f t="shared" si="6"/>
        <v>0</v>
      </c>
      <c r="I178" s="71">
        <f t="shared" si="7"/>
        <v>0</v>
      </c>
      <c r="J178" s="69">
        <f t="shared" si="8"/>
        <v>0</v>
      </c>
    </row>
    <row r="179" s="45" customFormat="1" ht="12.75" customHeight="1" spans="1:11">
      <c r="A179" s="68"/>
      <c r="B179" s="69"/>
      <c r="C179" s="70"/>
      <c r="D179" s="71">
        <f>'16-6-26'!I179</f>
        <v>0</v>
      </c>
      <c r="E179" s="68"/>
      <c r="F179" s="69"/>
      <c r="G179" s="69"/>
      <c r="H179" s="71">
        <f t="shared" si="6"/>
        <v>0</v>
      </c>
      <c r="I179" s="71">
        <f t="shared" si="7"/>
        <v>0</v>
      </c>
      <c r="J179" s="69">
        <f t="shared" si="8"/>
        <v>0</v>
      </c>
    </row>
    <row r="180" s="45" customFormat="1" ht="12.75" customHeight="1" spans="1:11">
      <c r="A180" s="68"/>
      <c r="B180" s="69"/>
      <c r="C180" s="70"/>
      <c r="D180" s="71">
        <f>'16-6-26'!I180</f>
        <v>0</v>
      </c>
      <c r="E180" s="68"/>
      <c r="F180" s="69"/>
      <c r="G180" s="69"/>
      <c r="H180" s="71">
        <f t="shared" si="6"/>
        <v>0</v>
      </c>
      <c r="I180" s="71">
        <f t="shared" si="7"/>
        <v>0</v>
      </c>
      <c r="J180" s="69">
        <f t="shared" si="8"/>
        <v>0</v>
      </c>
    </row>
    <row r="181" s="45" customFormat="1" ht="12.75" customHeight="1" spans="1:11">
      <c r="A181" s="68"/>
      <c r="B181" s="69"/>
      <c r="C181" s="70"/>
      <c r="D181" s="71">
        <f>'16-6-26'!I181</f>
        <v>0</v>
      </c>
      <c r="E181" s="68"/>
      <c r="F181" s="69"/>
      <c r="G181" s="69"/>
      <c r="H181" s="71">
        <f t="shared" si="6"/>
        <v>0</v>
      </c>
      <c r="I181" s="71">
        <f t="shared" si="7"/>
        <v>0</v>
      </c>
      <c r="J181" s="69">
        <f t="shared" si="8"/>
        <v>0</v>
      </c>
    </row>
    <row r="182" s="45" customFormat="1" ht="12.75" customHeight="1" spans="1:11">
      <c r="A182" s="68"/>
      <c r="B182" s="69"/>
      <c r="C182" s="70"/>
      <c r="D182" s="71">
        <f>'16-6-26'!I182</f>
        <v>0</v>
      </c>
      <c r="E182" s="68"/>
      <c r="F182" s="69"/>
      <c r="G182" s="69"/>
      <c r="H182" s="71">
        <f t="shared" si="6"/>
        <v>0</v>
      </c>
      <c r="I182" s="71">
        <f t="shared" si="7"/>
        <v>0</v>
      </c>
      <c r="J182" s="69">
        <f t="shared" si="8"/>
        <v>0</v>
      </c>
    </row>
    <row r="183" s="45" customFormat="1" ht="12.75" customHeight="1" spans="1:11">
      <c r="A183" s="68"/>
      <c r="B183" s="69"/>
      <c r="C183" s="70"/>
      <c r="D183" s="71">
        <f>'16-6-26'!I183</f>
        <v>0</v>
      </c>
      <c r="E183" s="68"/>
      <c r="F183" s="69"/>
      <c r="G183" s="69"/>
      <c r="H183" s="71">
        <f t="shared" si="6"/>
        <v>0</v>
      </c>
      <c r="I183" s="71">
        <f t="shared" si="7"/>
        <v>0</v>
      </c>
      <c r="J183" s="69">
        <f t="shared" si="8"/>
        <v>0</v>
      </c>
    </row>
    <row r="184" s="45" customFormat="1" ht="12.75" customHeight="1" spans="1:11">
      <c r="A184" s="68"/>
      <c r="B184" s="69"/>
      <c r="C184" s="70"/>
      <c r="D184" s="71">
        <f>'16-6-26'!I184</f>
        <v>0</v>
      </c>
      <c r="E184" s="68"/>
      <c r="F184" s="69"/>
      <c r="G184" s="69"/>
      <c r="H184" s="71">
        <f t="shared" si="6"/>
        <v>0</v>
      </c>
      <c r="I184" s="71">
        <f t="shared" si="7"/>
        <v>0</v>
      </c>
      <c r="J184" s="69">
        <f t="shared" si="8"/>
        <v>0</v>
      </c>
    </row>
    <row r="185" s="45" customFormat="1" ht="12.75" customHeight="1" spans="1:11">
      <c r="A185" s="68"/>
      <c r="B185" s="69"/>
      <c r="C185" s="70"/>
      <c r="D185" s="71">
        <f>'16-6-26'!I185</f>
        <v>0</v>
      </c>
      <c r="E185" s="68"/>
      <c r="F185" s="69"/>
      <c r="G185" s="69"/>
      <c r="H185" s="71">
        <f t="shared" si="6"/>
        <v>0</v>
      </c>
      <c r="I185" s="71">
        <f t="shared" si="7"/>
        <v>0</v>
      </c>
      <c r="J185" s="69">
        <f t="shared" si="8"/>
        <v>0</v>
      </c>
    </row>
    <row r="186" s="45" customFormat="1" ht="12.75" customHeight="1" spans="1:11">
      <c r="A186" s="68"/>
      <c r="B186" s="69"/>
      <c r="C186" s="70"/>
      <c r="D186" s="71">
        <f>'16-6-26'!I186</f>
        <v>0</v>
      </c>
      <c r="E186" s="68"/>
      <c r="F186" s="69"/>
      <c r="G186" s="69"/>
      <c r="H186" s="71">
        <f t="shared" si="6"/>
        <v>0</v>
      </c>
      <c r="I186" s="71">
        <f t="shared" si="7"/>
        <v>0</v>
      </c>
      <c r="J186" s="69">
        <f t="shared" si="8"/>
        <v>0</v>
      </c>
    </row>
    <row r="187" s="45" customFormat="1" ht="12.75" spans="1:11">
      <c r="A187" s="68"/>
      <c r="B187" s="69"/>
      <c r="C187" s="74"/>
      <c r="D187" s="71">
        <f>'16-6-26'!I187</f>
        <v>0</v>
      </c>
      <c r="E187" s="68"/>
      <c r="F187" s="69"/>
      <c r="G187" s="69"/>
      <c r="H187" s="71">
        <f t="shared" si="6"/>
        <v>0</v>
      </c>
      <c r="I187" s="71">
        <f t="shared" si="7"/>
        <v>0</v>
      </c>
      <c r="J187" s="69">
        <f t="shared" si="8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9">SUM(D9:D187)</f>
        <v>469727000</v>
      </c>
      <c r="E188" s="79">
        <f t="shared" si="9"/>
        <v>62</v>
      </c>
      <c r="F188" s="78">
        <f t="shared" si="9"/>
        <v>5020000</v>
      </c>
      <c r="G188" s="78">
        <f t="shared" si="9"/>
        <v>1040000</v>
      </c>
      <c r="H188" s="78">
        <f t="shared" si="9"/>
        <v>6060000</v>
      </c>
      <c r="I188" s="78">
        <f t="shared" si="9"/>
        <v>464707000</v>
      </c>
      <c r="J188" s="78">
        <f t="shared" si="9"/>
        <v>104000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1040000</v>
      </c>
      <c r="E191" s="47"/>
      <c r="F191" s="129" t="s">
        <v>224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52000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572000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26000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26000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26000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26000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104000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260000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1040000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workbookViewId="0">
      <selection activeCell="A1" sqref="$A1:$XFD1048576"/>
    </sheetView>
  </sheetViews>
  <sheetFormatPr defaultColWidth="9.14285714285714" defaultRowHeight="11.1" customHeight="1"/>
  <cols>
    <col min="1" max="1" width="4.42857142857143" style="45" customWidth="1"/>
    <col min="2" max="2" width="16.4857142857143" style="45" customWidth="1"/>
    <col min="3" max="3" width="9.43809523809524" style="46" customWidth="1"/>
    <col min="4" max="4" width="10.9809523809524" style="45" customWidth="1"/>
    <col min="5" max="5" width="5.04761904761905" style="47" customWidth="1"/>
    <col min="6" max="6" width="9.33333333333333" style="45" customWidth="1"/>
    <col min="7" max="7" width="8.57142857142857" style="45" customWidth="1"/>
    <col min="8" max="8" width="8.8952380952381" style="45" customWidth="1"/>
    <col min="9" max="9" width="11.0952380952381" style="45" customWidth="1"/>
    <col min="10" max="10" width="7.14285714285714" style="45" customWidth="1"/>
    <col min="11" max="16384" width="9.14285714285714" style="45"/>
  </cols>
  <sheetData>
    <row r="1" s="45" customFormat="1" ht="12.75" spans="1:10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="45" customFormat="1" ht="12.75" spans="1:10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="45" customFormat="1" ht="13.5" spans="1:10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="45" customFormat="1" ht="12.75" spans="1:10">
      <c r="A4" s="51"/>
      <c r="B4" s="51"/>
      <c r="C4" s="52"/>
      <c r="D4" s="53"/>
      <c r="E4" s="54"/>
      <c r="F4" s="53"/>
      <c r="G4" s="53"/>
      <c r="H4" s="53"/>
      <c r="I4" s="53"/>
      <c r="J4" s="53"/>
    </row>
    <row r="5" s="45" customFormat="1" ht="12.75" spans="1:10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</row>
    <row r="6" s="45" customFormat="1" ht="12.75" spans="1:10">
      <c r="A6" s="55" t="s">
        <v>225</v>
      </c>
      <c r="B6" s="55"/>
      <c r="C6" s="55"/>
      <c r="D6" s="55"/>
      <c r="E6" s="55"/>
      <c r="F6" s="55"/>
      <c r="G6" s="55"/>
      <c r="H6" s="55"/>
      <c r="I6" s="55"/>
      <c r="J6" s="55"/>
    </row>
    <row r="7" s="45" customFormat="1" ht="15" customHeight="1" spans="1:10">
      <c r="A7" s="56" t="s">
        <v>5</v>
      </c>
      <c r="B7" s="56" t="s">
        <v>6</v>
      </c>
      <c r="C7" s="57" t="s">
        <v>7</v>
      </c>
      <c r="D7" s="58"/>
      <c r="E7" s="59" t="s">
        <v>8</v>
      </c>
      <c r="F7" s="60"/>
      <c r="G7" s="60"/>
      <c r="H7" s="61"/>
      <c r="I7" s="62" t="s">
        <v>9</v>
      </c>
      <c r="J7" s="62" t="s">
        <v>10</v>
      </c>
    </row>
    <row r="8" s="45" customFormat="1" ht="12.75" spans="1:10">
      <c r="A8" s="63"/>
      <c r="B8" s="63"/>
      <c r="C8" s="64"/>
      <c r="D8" s="65"/>
      <c r="E8" s="66" t="s">
        <v>11</v>
      </c>
      <c r="F8" s="66" t="s">
        <v>12</v>
      </c>
      <c r="G8" s="66" t="s">
        <v>13</v>
      </c>
      <c r="H8" s="66" t="s">
        <v>14</v>
      </c>
      <c r="I8" s="67"/>
      <c r="J8" s="67"/>
    </row>
    <row r="9" s="45" customFormat="1" ht="12.75" spans="1:10">
      <c r="A9" s="68">
        <v>1</v>
      </c>
      <c r="B9" s="69" t="s">
        <v>15</v>
      </c>
      <c r="C9" s="127" t="s">
        <v>16</v>
      </c>
      <c r="D9" s="71">
        <f>'23-6-26'!I9</f>
        <v>5500000</v>
      </c>
      <c r="E9" s="68"/>
      <c r="F9" s="69"/>
      <c r="G9" s="69"/>
      <c r="H9" s="71">
        <f t="shared" ref="H9:H26" si="0">SUM(F9:G9)</f>
        <v>0</v>
      </c>
      <c r="I9" s="71">
        <f t="shared" ref="I9:I72" si="1">D9-F9</f>
        <v>5500000</v>
      </c>
      <c r="J9" s="69">
        <f t="shared" ref="J9:J72" si="2">1/10*G9</f>
        <v>0</v>
      </c>
    </row>
    <row r="10" s="45" customFormat="1" ht="12.75" spans="1:10">
      <c r="A10" s="68">
        <v>2</v>
      </c>
      <c r="B10" s="69" t="s">
        <v>17</v>
      </c>
      <c r="C10" s="127" t="s">
        <v>18</v>
      </c>
      <c r="D10" s="71">
        <f>'23-6-26'!I10</f>
        <v>1910000</v>
      </c>
      <c r="E10" s="68"/>
      <c r="F10" s="69"/>
      <c r="G10" s="69"/>
      <c r="H10" s="71">
        <f t="shared" si="0"/>
        <v>0</v>
      </c>
      <c r="I10" s="71">
        <f t="shared" si="1"/>
        <v>1910000</v>
      </c>
      <c r="J10" s="69">
        <f t="shared" si="2"/>
        <v>0</v>
      </c>
    </row>
    <row r="11" s="45" customFormat="1" ht="12.75" spans="1:10">
      <c r="A11" s="68">
        <v>3</v>
      </c>
      <c r="B11" s="69" t="s">
        <v>19</v>
      </c>
      <c r="C11" s="127" t="s">
        <v>20</v>
      </c>
      <c r="D11" s="71">
        <f>'23-6-26'!I11</f>
        <v>0</v>
      </c>
      <c r="E11" s="72"/>
      <c r="F11" s="71"/>
      <c r="G11" s="71"/>
      <c r="H11" s="71">
        <f t="shared" si="0"/>
        <v>0</v>
      </c>
      <c r="I11" s="71">
        <f t="shared" si="1"/>
        <v>0</v>
      </c>
      <c r="J11" s="69">
        <f t="shared" si="2"/>
        <v>0</v>
      </c>
    </row>
    <row r="12" s="45" customFormat="1" ht="12.75" spans="1:10">
      <c r="A12" s="68">
        <v>4</v>
      </c>
      <c r="B12" s="69" t="s">
        <v>21</v>
      </c>
      <c r="C12" s="127" t="s">
        <v>22</v>
      </c>
      <c r="D12" s="71">
        <f>'23-6-26'!I12</f>
        <v>13750000</v>
      </c>
      <c r="E12" s="68"/>
      <c r="F12" s="69"/>
      <c r="G12" s="69"/>
      <c r="H12" s="71">
        <f t="shared" si="0"/>
        <v>0</v>
      </c>
      <c r="I12" s="71">
        <f t="shared" si="1"/>
        <v>13750000</v>
      </c>
      <c r="J12" s="69">
        <f t="shared" si="2"/>
        <v>0</v>
      </c>
    </row>
    <row r="13" s="45" customFormat="1" ht="12.75" spans="1:10">
      <c r="A13" s="68">
        <v>5</v>
      </c>
      <c r="B13" s="69" t="s">
        <v>23</v>
      </c>
      <c r="C13" s="127" t="s">
        <v>24</v>
      </c>
      <c r="D13" s="71">
        <f>'23-6-26'!I13</f>
        <v>19950000</v>
      </c>
      <c r="E13" s="68"/>
      <c r="F13" s="69"/>
      <c r="G13" s="69"/>
      <c r="H13" s="71">
        <f t="shared" si="0"/>
        <v>0</v>
      </c>
      <c r="I13" s="71">
        <f t="shared" si="1"/>
        <v>19950000</v>
      </c>
      <c r="J13" s="69">
        <f t="shared" si="2"/>
        <v>0</v>
      </c>
    </row>
    <row r="14" s="45" customFormat="1" ht="12.75" spans="1:10">
      <c r="A14" s="68">
        <v>6</v>
      </c>
      <c r="B14" s="69" t="s">
        <v>25</v>
      </c>
      <c r="C14" s="127" t="s">
        <v>26</v>
      </c>
      <c r="D14" s="71">
        <f>'23-6-26'!I14</f>
        <v>100000</v>
      </c>
      <c r="E14" s="68"/>
      <c r="F14" s="69"/>
      <c r="G14" s="69"/>
      <c r="H14" s="71">
        <f t="shared" si="0"/>
        <v>0</v>
      </c>
      <c r="I14" s="71">
        <f t="shared" si="1"/>
        <v>100000</v>
      </c>
      <c r="J14" s="69">
        <f t="shared" si="2"/>
        <v>0</v>
      </c>
    </row>
    <row r="15" s="45" customFormat="1" ht="12.75" spans="1:10">
      <c r="A15" s="68">
        <v>7</v>
      </c>
      <c r="B15" s="69" t="s">
        <v>27</v>
      </c>
      <c r="C15" s="127" t="s">
        <v>28</v>
      </c>
      <c r="D15" s="71">
        <f>'23-6-26'!I15</f>
        <v>10500000</v>
      </c>
      <c r="E15" s="68"/>
      <c r="F15" s="69"/>
      <c r="G15" s="69"/>
      <c r="H15" s="71">
        <f t="shared" si="0"/>
        <v>0</v>
      </c>
      <c r="I15" s="71">
        <f t="shared" si="1"/>
        <v>10500000</v>
      </c>
      <c r="J15" s="69">
        <f t="shared" si="2"/>
        <v>0</v>
      </c>
    </row>
    <row r="16" s="45" customFormat="1" ht="12.75" spans="1:10">
      <c r="A16" s="68">
        <v>8</v>
      </c>
      <c r="B16" s="69" t="s">
        <v>29</v>
      </c>
      <c r="C16" s="127" t="s">
        <v>30</v>
      </c>
      <c r="D16" s="71">
        <f>'23-6-26'!I16</f>
        <v>15310000</v>
      </c>
      <c r="E16" s="68"/>
      <c r="F16" s="69"/>
      <c r="G16" s="69"/>
      <c r="H16" s="71">
        <f t="shared" si="0"/>
        <v>0</v>
      </c>
      <c r="I16" s="71">
        <f t="shared" si="1"/>
        <v>15310000</v>
      </c>
      <c r="J16" s="69">
        <f t="shared" si="2"/>
        <v>0</v>
      </c>
    </row>
    <row r="17" s="45" customFormat="1" ht="12.75" spans="1:10">
      <c r="A17" s="68">
        <v>9</v>
      </c>
      <c r="B17" s="69" t="s">
        <v>31</v>
      </c>
      <c r="C17" s="128" t="s">
        <v>32</v>
      </c>
      <c r="D17" s="71">
        <f>'23-6-26'!I17</f>
        <v>5800000</v>
      </c>
      <c r="E17" s="68"/>
      <c r="F17" s="69"/>
      <c r="G17" s="69"/>
      <c r="H17" s="71">
        <f t="shared" si="0"/>
        <v>0</v>
      </c>
      <c r="I17" s="71">
        <f t="shared" si="1"/>
        <v>5800000</v>
      </c>
      <c r="J17" s="69">
        <f t="shared" si="2"/>
        <v>0</v>
      </c>
    </row>
    <row r="18" s="45" customFormat="1" ht="12.75" spans="1:10">
      <c r="A18" s="68">
        <v>10</v>
      </c>
      <c r="B18" s="69" t="s">
        <v>33</v>
      </c>
      <c r="C18" s="128" t="s">
        <v>34</v>
      </c>
      <c r="D18" s="71">
        <f>'23-6-26'!I18</f>
        <v>11995000</v>
      </c>
      <c r="E18" s="68"/>
      <c r="F18" s="69"/>
      <c r="G18" s="69"/>
      <c r="H18" s="71">
        <f t="shared" si="0"/>
        <v>0</v>
      </c>
      <c r="I18" s="71">
        <f t="shared" si="1"/>
        <v>11995000</v>
      </c>
      <c r="J18" s="69">
        <f t="shared" si="2"/>
        <v>0</v>
      </c>
    </row>
    <row r="19" s="45" customFormat="1" ht="12.75" spans="1:10">
      <c r="A19" s="68">
        <v>11</v>
      </c>
      <c r="B19" s="69" t="s">
        <v>35</v>
      </c>
      <c r="C19" s="128" t="s">
        <v>36</v>
      </c>
      <c r="D19" s="71">
        <f>'23-6-26'!I19</f>
        <v>3500000</v>
      </c>
      <c r="E19" s="68"/>
      <c r="F19" s="69"/>
      <c r="G19" s="69"/>
      <c r="H19" s="71">
        <f t="shared" si="0"/>
        <v>0</v>
      </c>
      <c r="I19" s="71">
        <f t="shared" si="1"/>
        <v>3500000</v>
      </c>
      <c r="J19" s="69">
        <f t="shared" si="2"/>
        <v>0</v>
      </c>
    </row>
    <row r="20" s="45" customFormat="1" ht="12.75" spans="1:10">
      <c r="A20" s="68">
        <v>12</v>
      </c>
      <c r="B20" s="69" t="s">
        <v>37</v>
      </c>
      <c r="C20" s="128" t="s">
        <v>38</v>
      </c>
      <c r="D20" s="71">
        <f>'23-6-26'!I20</f>
        <v>42000000</v>
      </c>
      <c r="E20" s="68"/>
      <c r="F20" s="69"/>
      <c r="G20" s="69"/>
      <c r="H20" s="71">
        <f t="shared" si="0"/>
        <v>0</v>
      </c>
      <c r="I20" s="71">
        <f t="shared" si="1"/>
        <v>42000000</v>
      </c>
      <c r="J20" s="69">
        <f t="shared" si="2"/>
        <v>0</v>
      </c>
    </row>
    <row r="21" s="45" customFormat="1" ht="12.75" spans="1:10">
      <c r="A21" s="68">
        <v>13</v>
      </c>
      <c r="B21" s="69" t="s">
        <v>39</v>
      </c>
      <c r="C21" s="128" t="s">
        <v>40</v>
      </c>
      <c r="D21" s="71">
        <f>'23-6-26'!I21</f>
        <v>12680000</v>
      </c>
      <c r="E21" s="68"/>
      <c r="F21" s="69"/>
      <c r="G21" s="69"/>
      <c r="H21" s="71">
        <f t="shared" si="0"/>
        <v>0</v>
      </c>
      <c r="I21" s="71">
        <f t="shared" si="1"/>
        <v>12680000</v>
      </c>
      <c r="J21" s="69">
        <f t="shared" si="2"/>
        <v>0</v>
      </c>
    </row>
    <row r="22" s="45" customFormat="1" ht="12.75" spans="1:10">
      <c r="A22" s="68">
        <v>14</v>
      </c>
      <c r="B22" s="69" t="s">
        <v>41</v>
      </c>
      <c r="C22" s="128" t="s">
        <v>42</v>
      </c>
      <c r="D22" s="71">
        <f>'23-6-26'!I22</f>
        <v>0</v>
      </c>
      <c r="E22" s="68"/>
      <c r="F22" s="69"/>
      <c r="G22" s="69"/>
      <c r="H22" s="71">
        <f t="shared" si="0"/>
        <v>0</v>
      </c>
      <c r="I22" s="71">
        <f t="shared" si="1"/>
        <v>0</v>
      </c>
      <c r="J22" s="69">
        <f t="shared" si="2"/>
        <v>0</v>
      </c>
    </row>
    <row r="23" s="45" customFormat="1" ht="12.75" spans="1:10">
      <c r="A23" s="68">
        <v>15</v>
      </c>
      <c r="B23" s="69" t="s">
        <v>43</v>
      </c>
      <c r="C23" s="128" t="s">
        <v>42</v>
      </c>
      <c r="D23" s="71">
        <f>'23-6-26'!I23</f>
        <v>1500000</v>
      </c>
      <c r="E23" s="68"/>
      <c r="F23" s="69"/>
      <c r="G23" s="69"/>
      <c r="H23" s="71">
        <f t="shared" si="0"/>
        <v>0</v>
      </c>
      <c r="I23" s="71">
        <f t="shared" si="1"/>
        <v>1500000</v>
      </c>
      <c r="J23" s="69">
        <f t="shared" si="2"/>
        <v>0</v>
      </c>
    </row>
    <row r="24" s="45" customFormat="1" ht="12.75" spans="1:10">
      <c r="A24" s="68">
        <v>16</v>
      </c>
      <c r="B24" s="69" t="s">
        <v>44</v>
      </c>
      <c r="C24" s="128" t="s">
        <v>42</v>
      </c>
      <c r="D24" s="71">
        <f>'23-6-26'!I24</f>
        <v>600000</v>
      </c>
      <c r="E24" s="68"/>
      <c r="F24" s="69"/>
      <c r="G24" s="69"/>
      <c r="H24" s="71">
        <f t="shared" si="0"/>
        <v>0</v>
      </c>
      <c r="I24" s="71">
        <f t="shared" si="1"/>
        <v>600000</v>
      </c>
      <c r="J24" s="69">
        <f t="shared" si="2"/>
        <v>0</v>
      </c>
    </row>
    <row r="25" s="45" customFormat="1" ht="12.75" spans="1:10">
      <c r="A25" s="68">
        <v>17</v>
      </c>
      <c r="B25" s="69" t="s">
        <v>45</v>
      </c>
      <c r="C25" s="128" t="s">
        <v>46</v>
      </c>
      <c r="D25" s="71">
        <f>'23-6-26'!I25</f>
        <v>21400000</v>
      </c>
      <c r="E25" s="68"/>
      <c r="F25" s="69"/>
      <c r="G25" s="69"/>
      <c r="H25" s="71">
        <f t="shared" si="0"/>
        <v>0</v>
      </c>
      <c r="I25" s="71">
        <f t="shared" si="1"/>
        <v>21400000</v>
      </c>
      <c r="J25" s="69">
        <f t="shared" si="2"/>
        <v>0</v>
      </c>
    </row>
    <row r="26" s="45" customFormat="1" ht="12.75" spans="1:10">
      <c r="A26" s="68">
        <v>18</v>
      </c>
      <c r="B26" s="69" t="s">
        <v>47</v>
      </c>
      <c r="C26" s="128" t="s">
        <v>48</v>
      </c>
      <c r="D26" s="71">
        <f>'23-6-26'!I26</f>
        <v>3800000</v>
      </c>
      <c r="E26" s="68"/>
      <c r="F26" s="69"/>
      <c r="G26" s="69"/>
      <c r="H26" s="71">
        <f t="shared" si="0"/>
        <v>0</v>
      </c>
      <c r="I26" s="71">
        <f t="shared" si="1"/>
        <v>3800000</v>
      </c>
      <c r="J26" s="69">
        <f t="shared" si="2"/>
        <v>0</v>
      </c>
    </row>
    <row r="27" s="45" customFormat="1" ht="12.75" spans="1:10">
      <c r="A27" s="68">
        <v>19</v>
      </c>
      <c r="B27" s="69" t="s">
        <v>49</v>
      </c>
      <c r="C27" s="128" t="s">
        <v>50</v>
      </c>
      <c r="D27" s="71">
        <f>'23-6-26'!I27</f>
        <v>490000</v>
      </c>
      <c r="E27" s="68"/>
      <c r="F27" s="69"/>
      <c r="G27" s="69"/>
      <c r="H27" s="71">
        <f t="shared" ref="H27:H72" si="3">SUM(F27:G27)</f>
        <v>0</v>
      </c>
      <c r="I27" s="71">
        <f t="shared" si="1"/>
        <v>490000</v>
      </c>
      <c r="J27" s="69">
        <f t="shared" si="2"/>
        <v>0</v>
      </c>
    </row>
    <row r="28" s="45" customFormat="1" ht="12.75" spans="1:10">
      <c r="A28" s="68">
        <v>20</v>
      </c>
      <c r="B28" s="69" t="s">
        <v>51</v>
      </c>
      <c r="C28" s="128" t="s">
        <v>52</v>
      </c>
      <c r="D28" s="71">
        <f>'23-6-26'!I28</f>
        <v>0</v>
      </c>
      <c r="E28" s="68"/>
      <c r="F28" s="69"/>
      <c r="G28" s="69"/>
      <c r="H28" s="71">
        <f t="shared" si="3"/>
        <v>0</v>
      </c>
      <c r="I28" s="71">
        <f t="shared" si="1"/>
        <v>0</v>
      </c>
      <c r="J28" s="69">
        <f t="shared" si="2"/>
        <v>0</v>
      </c>
    </row>
    <row r="29" s="45" customFormat="1" ht="12.75" spans="1:10">
      <c r="A29" s="68">
        <v>21</v>
      </c>
      <c r="B29" s="69" t="s">
        <v>53</v>
      </c>
      <c r="C29" s="128" t="s">
        <v>54</v>
      </c>
      <c r="D29" s="71">
        <f>'23-6-26'!I29</f>
        <v>0</v>
      </c>
      <c r="E29" s="68"/>
      <c r="F29" s="69"/>
      <c r="G29" s="69"/>
      <c r="H29" s="71">
        <f t="shared" si="3"/>
        <v>0</v>
      </c>
      <c r="I29" s="71">
        <f t="shared" si="1"/>
        <v>0</v>
      </c>
      <c r="J29" s="69">
        <f t="shared" si="2"/>
        <v>0</v>
      </c>
    </row>
    <row r="30" s="45" customFormat="1" ht="12.75" spans="1:10">
      <c r="A30" s="68">
        <v>22</v>
      </c>
      <c r="B30" s="69" t="s">
        <v>55</v>
      </c>
      <c r="C30" s="128" t="s">
        <v>56</v>
      </c>
      <c r="D30" s="71">
        <f>'23-6-26'!I30</f>
        <v>2500000</v>
      </c>
      <c r="E30" s="68"/>
      <c r="F30" s="69"/>
      <c r="G30" s="69"/>
      <c r="H30" s="71">
        <f t="shared" si="3"/>
        <v>0</v>
      </c>
      <c r="I30" s="71">
        <f t="shared" si="1"/>
        <v>2500000</v>
      </c>
      <c r="J30" s="69">
        <f t="shared" si="2"/>
        <v>0</v>
      </c>
    </row>
    <row r="31" s="45" customFormat="1" ht="12.75" spans="1:10">
      <c r="A31" s="68">
        <v>23</v>
      </c>
      <c r="B31" s="69" t="s">
        <v>57</v>
      </c>
      <c r="C31" s="128" t="s">
        <v>58</v>
      </c>
      <c r="D31" s="71">
        <f>'23-6-26'!I31</f>
        <v>250000</v>
      </c>
      <c r="E31" s="68"/>
      <c r="F31" s="69"/>
      <c r="G31" s="69"/>
      <c r="H31" s="71">
        <f t="shared" si="3"/>
        <v>0</v>
      </c>
      <c r="I31" s="71">
        <f t="shared" si="1"/>
        <v>250000</v>
      </c>
      <c r="J31" s="69">
        <f t="shared" si="2"/>
        <v>0</v>
      </c>
    </row>
    <row r="32" s="45" customFormat="1" ht="12.75" spans="1:10">
      <c r="A32" s="68">
        <v>24</v>
      </c>
      <c r="B32" s="69" t="s">
        <v>59</v>
      </c>
      <c r="C32" s="128" t="s">
        <v>58</v>
      </c>
      <c r="D32" s="71">
        <f>'23-6-26'!I32</f>
        <v>12000000</v>
      </c>
      <c r="E32" s="68"/>
      <c r="F32" s="69"/>
      <c r="G32" s="69"/>
      <c r="H32" s="71">
        <f t="shared" si="3"/>
        <v>0</v>
      </c>
      <c r="I32" s="71">
        <f t="shared" si="1"/>
        <v>12000000</v>
      </c>
      <c r="J32" s="69">
        <f t="shared" si="2"/>
        <v>0</v>
      </c>
    </row>
    <row r="33" s="45" customFormat="1" ht="12.75" spans="1:10">
      <c r="A33" s="68">
        <v>25</v>
      </c>
      <c r="B33" s="69" t="s">
        <v>60</v>
      </c>
      <c r="C33" s="127" t="s">
        <v>61</v>
      </c>
      <c r="D33" s="71">
        <f>'23-6-26'!I33</f>
        <v>600000</v>
      </c>
      <c r="E33" s="68">
        <v>17</v>
      </c>
      <c r="F33" s="69">
        <v>150000</v>
      </c>
      <c r="G33" s="69">
        <v>60000</v>
      </c>
      <c r="H33" s="73">
        <f t="shared" si="3"/>
        <v>210000</v>
      </c>
      <c r="I33" s="71">
        <f t="shared" si="1"/>
        <v>450000</v>
      </c>
      <c r="J33" s="69">
        <f t="shared" si="2"/>
        <v>6000</v>
      </c>
    </row>
    <row r="34" s="45" customFormat="1" ht="12.75" spans="1:10">
      <c r="A34" s="68">
        <v>26</v>
      </c>
      <c r="B34" s="69" t="s">
        <v>62</v>
      </c>
      <c r="C34" s="127" t="s">
        <v>63</v>
      </c>
      <c r="D34" s="71">
        <f>'23-6-26'!I34</f>
        <v>2400000</v>
      </c>
      <c r="E34" s="68"/>
      <c r="F34" s="69"/>
      <c r="G34" s="69"/>
      <c r="H34" s="71">
        <f t="shared" si="3"/>
        <v>0</v>
      </c>
      <c r="I34" s="71">
        <f t="shared" si="1"/>
        <v>2400000</v>
      </c>
      <c r="J34" s="69">
        <f t="shared" si="2"/>
        <v>0</v>
      </c>
    </row>
    <row r="35" s="45" customFormat="1" ht="12.75" spans="1:10">
      <c r="A35" s="68">
        <v>27</v>
      </c>
      <c r="B35" s="69" t="s">
        <v>64</v>
      </c>
      <c r="C35" s="127" t="s">
        <v>63</v>
      </c>
      <c r="D35" s="71">
        <f>'23-6-26'!I35</f>
        <v>3250000</v>
      </c>
      <c r="E35" s="68"/>
      <c r="F35" s="69"/>
      <c r="G35" s="69"/>
      <c r="H35" s="71">
        <f t="shared" si="3"/>
        <v>0</v>
      </c>
      <c r="I35" s="71">
        <f t="shared" si="1"/>
        <v>3250000</v>
      </c>
      <c r="J35" s="69">
        <f t="shared" si="2"/>
        <v>0</v>
      </c>
    </row>
    <row r="36" s="45" customFormat="1" ht="12.75" spans="1:10">
      <c r="A36" s="68">
        <v>28</v>
      </c>
      <c r="B36" s="69" t="s">
        <v>65</v>
      </c>
      <c r="C36" s="127" t="s">
        <v>66</v>
      </c>
      <c r="D36" s="71">
        <f>'23-6-26'!I36</f>
        <v>5000000</v>
      </c>
      <c r="E36" s="68">
        <v>26</v>
      </c>
      <c r="F36" s="69">
        <v>1400000</v>
      </c>
      <c r="G36" s="69">
        <v>800000</v>
      </c>
      <c r="H36" s="73">
        <f t="shared" si="3"/>
        <v>2200000</v>
      </c>
      <c r="I36" s="71">
        <f t="shared" si="1"/>
        <v>3600000</v>
      </c>
      <c r="J36" s="69">
        <f t="shared" si="2"/>
        <v>80000</v>
      </c>
    </row>
    <row r="37" s="45" customFormat="1" ht="12.75" spans="1:10">
      <c r="A37" s="68">
        <v>29</v>
      </c>
      <c r="B37" s="69" t="s">
        <v>67</v>
      </c>
      <c r="C37" s="127" t="s">
        <v>68</v>
      </c>
      <c r="D37" s="71">
        <f>'23-6-26'!I37</f>
        <v>1250000</v>
      </c>
      <c r="E37" s="68"/>
      <c r="F37" s="69"/>
      <c r="G37" s="69"/>
      <c r="H37" s="71">
        <f t="shared" si="3"/>
        <v>0</v>
      </c>
      <c r="I37" s="71">
        <f t="shared" si="1"/>
        <v>1250000</v>
      </c>
      <c r="J37" s="69">
        <f t="shared" si="2"/>
        <v>0</v>
      </c>
    </row>
    <row r="38" s="45" customFormat="1" ht="12.75" spans="1:10">
      <c r="A38" s="68">
        <v>30</v>
      </c>
      <c r="B38" s="69" t="s">
        <v>69</v>
      </c>
      <c r="C38" s="127" t="s">
        <v>70</v>
      </c>
      <c r="D38" s="71">
        <f>'23-6-26'!I38</f>
        <v>5800000</v>
      </c>
      <c r="E38" s="68"/>
      <c r="F38" s="69"/>
      <c r="G38" s="69"/>
      <c r="H38" s="71">
        <f t="shared" si="3"/>
        <v>0</v>
      </c>
      <c r="I38" s="71">
        <f t="shared" si="1"/>
        <v>5800000</v>
      </c>
      <c r="J38" s="69">
        <f t="shared" si="2"/>
        <v>0</v>
      </c>
    </row>
    <row r="39" s="45" customFormat="1" ht="12.75" spans="1:10">
      <c r="A39" s="68">
        <v>31</v>
      </c>
      <c r="B39" s="69" t="s">
        <v>71</v>
      </c>
      <c r="C39" s="127" t="s">
        <v>72</v>
      </c>
      <c r="D39" s="71">
        <f>'23-6-26'!I39</f>
        <v>13690000</v>
      </c>
      <c r="E39" s="68"/>
      <c r="F39" s="69"/>
      <c r="G39" s="69"/>
      <c r="H39" s="71">
        <f t="shared" si="3"/>
        <v>0</v>
      </c>
      <c r="I39" s="71">
        <f t="shared" si="1"/>
        <v>13690000</v>
      </c>
      <c r="J39" s="69">
        <f t="shared" si="2"/>
        <v>0</v>
      </c>
    </row>
    <row r="40" s="45" customFormat="1" ht="12.75" spans="1:10">
      <c r="A40" s="68">
        <v>32</v>
      </c>
      <c r="B40" s="69" t="s">
        <v>73</v>
      </c>
      <c r="C40" s="127" t="s">
        <v>74</v>
      </c>
      <c r="D40" s="71">
        <f>'23-6-26'!I40</f>
        <v>0</v>
      </c>
      <c r="E40" s="68"/>
      <c r="F40" s="69"/>
      <c r="G40" s="69"/>
      <c r="H40" s="71">
        <f t="shared" si="3"/>
        <v>0</v>
      </c>
      <c r="I40" s="71">
        <f t="shared" si="1"/>
        <v>0</v>
      </c>
      <c r="J40" s="69">
        <f t="shared" si="2"/>
        <v>0</v>
      </c>
    </row>
    <row r="41" s="45" customFormat="1" ht="12.75" spans="1:10">
      <c r="A41" s="68">
        <v>33</v>
      </c>
      <c r="B41" s="69" t="s">
        <v>75</v>
      </c>
      <c r="C41" s="127" t="s">
        <v>76</v>
      </c>
      <c r="D41" s="71">
        <f>'23-6-26'!I41</f>
        <v>1500000</v>
      </c>
      <c r="E41" s="68">
        <v>14</v>
      </c>
      <c r="F41" s="69">
        <v>300000</v>
      </c>
      <c r="G41" s="69">
        <v>120000</v>
      </c>
      <c r="H41" s="71">
        <f t="shared" si="3"/>
        <v>420000</v>
      </c>
      <c r="I41" s="71">
        <f t="shared" si="1"/>
        <v>1200000</v>
      </c>
      <c r="J41" s="69">
        <f t="shared" si="2"/>
        <v>12000</v>
      </c>
    </row>
    <row r="42" s="45" customFormat="1" ht="12.75" spans="1:10">
      <c r="A42" s="68">
        <v>34</v>
      </c>
      <c r="B42" s="69" t="s">
        <v>77</v>
      </c>
      <c r="C42" s="127" t="s">
        <v>78</v>
      </c>
      <c r="D42" s="71">
        <f>'23-6-26'!I42</f>
        <v>900000</v>
      </c>
      <c r="E42" s="68"/>
      <c r="F42" s="69"/>
      <c r="G42" s="69"/>
      <c r="H42" s="71">
        <f t="shared" si="3"/>
        <v>0</v>
      </c>
      <c r="I42" s="71">
        <f t="shared" si="1"/>
        <v>900000</v>
      </c>
      <c r="J42" s="69">
        <f t="shared" si="2"/>
        <v>0</v>
      </c>
    </row>
    <row r="43" s="45" customFormat="1" ht="12.75" spans="1:10">
      <c r="A43" s="68">
        <v>35</v>
      </c>
      <c r="B43" s="69" t="s">
        <v>79</v>
      </c>
      <c r="C43" s="127" t="s">
        <v>80</v>
      </c>
      <c r="D43" s="71">
        <f>'23-6-26'!I43</f>
        <v>4500000</v>
      </c>
      <c r="E43" s="68">
        <v>16</v>
      </c>
      <c r="F43" s="69">
        <v>750000</v>
      </c>
      <c r="G43" s="69">
        <v>300000</v>
      </c>
      <c r="H43" s="73">
        <f t="shared" si="3"/>
        <v>1050000</v>
      </c>
      <c r="I43" s="71">
        <f t="shared" si="1"/>
        <v>3750000</v>
      </c>
      <c r="J43" s="69">
        <f t="shared" si="2"/>
        <v>30000</v>
      </c>
    </row>
    <row r="44" s="45" customFormat="1" ht="12.75" spans="1:10">
      <c r="A44" s="68">
        <v>36</v>
      </c>
      <c r="B44" s="69" t="s">
        <v>81</v>
      </c>
      <c r="C44" s="127" t="s">
        <v>82</v>
      </c>
      <c r="D44" s="71">
        <f>'23-6-26'!I44</f>
        <v>10320000</v>
      </c>
      <c r="E44" s="68"/>
      <c r="F44" s="69"/>
      <c r="G44" s="69"/>
      <c r="H44" s="71">
        <f t="shared" si="3"/>
        <v>0</v>
      </c>
      <c r="I44" s="71">
        <f t="shared" si="1"/>
        <v>10320000</v>
      </c>
      <c r="J44" s="69">
        <f t="shared" si="2"/>
        <v>0</v>
      </c>
    </row>
    <row r="45" s="45" customFormat="1" ht="12.75" spans="1:10">
      <c r="A45" s="68">
        <v>37</v>
      </c>
      <c r="B45" s="69" t="s">
        <v>83</v>
      </c>
      <c r="C45" s="70" t="s">
        <v>84</v>
      </c>
      <c r="D45" s="71">
        <f>'23-6-26'!I45</f>
        <v>10500000</v>
      </c>
      <c r="E45" s="68"/>
      <c r="F45" s="69"/>
      <c r="G45" s="69"/>
      <c r="H45" s="71">
        <f t="shared" si="3"/>
        <v>0</v>
      </c>
      <c r="I45" s="71">
        <f t="shared" si="1"/>
        <v>10500000</v>
      </c>
      <c r="J45" s="69">
        <f t="shared" si="2"/>
        <v>0</v>
      </c>
    </row>
    <row r="46" s="45" customFormat="1" ht="12.75" spans="1:10">
      <c r="A46" s="68">
        <v>38</v>
      </c>
      <c r="B46" s="69" t="s">
        <v>85</v>
      </c>
      <c r="C46" s="127" t="s">
        <v>86</v>
      </c>
      <c r="D46" s="71">
        <f>'23-6-26'!I46</f>
        <v>0</v>
      </c>
      <c r="E46" s="68"/>
      <c r="F46" s="69"/>
      <c r="G46" s="69"/>
      <c r="H46" s="71">
        <f t="shared" si="3"/>
        <v>0</v>
      </c>
      <c r="I46" s="71">
        <f t="shared" si="1"/>
        <v>0</v>
      </c>
      <c r="J46" s="69">
        <f t="shared" si="2"/>
        <v>0</v>
      </c>
    </row>
    <row r="47" s="45" customFormat="1" ht="12.75" spans="1:10">
      <c r="A47" s="68">
        <v>39</v>
      </c>
      <c r="B47" s="69" t="s">
        <v>87</v>
      </c>
      <c r="C47" s="127" t="s">
        <v>88</v>
      </c>
      <c r="D47" s="71">
        <f>'23-6-26'!I47</f>
        <v>9000000</v>
      </c>
      <c r="E47" s="68"/>
      <c r="F47" s="69"/>
      <c r="G47" s="69"/>
      <c r="H47" s="71">
        <f t="shared" si="3"/>
        <v>0</v>
      </c>
      <c r="I47" s="71">
        <f t="shared" si="1"/>
        <v>9000000</v>
      </c>
      <c r="J47" s="69">
        <f t="shared" si="2"/>
        <v>0</v>
      </c>
    </row>
    <row r="48" s="45" customFormat="1" ht="12.75" spans="1:10">
      <c r="A48" s="68">
        <v>40</v>
      </c>
      <c r="B48" s="69" t="s">
        <v>89</v>
      </c>
      <c r="C48" s="127" t="s">
        <v>88</v>
      </c>
      <c r="D48" s="71">
        <f>'23-6-26'!I48</f>
        <v>400000</v>
      </c>
      <c r="E48" s="68"/>
      <c r="F48" s="69"/>
      <c r="G48" s="69"/>
      <c r="H48" s="71">
        <f t="shared" si="3"/>
        <v>0</v>
      </c>
      <c r="I48" s="71">
        <f t="shared" si="1"/>
        <v>400000</v>
      </c>
      <c r="J48" s="69">
        <f t="shared" si="2"/>
        <v>0</v>
      </c>
    </row>
    <row r="49" s="45" customFormat="1" ht="12.75" spans="1:10">
      <c r="A49" s="68">
        <v>41</v>
      </c>
      <c r="B49" s="69" t="s">
        <v>90</v>
      </c>
      <c r="C49" s="127" t="s">
        <v>91</v>
      </c>
      <c r="D49" s="71">
        <f>'23-6-26'!I49</f>
        <v>9340000</v>
      </c>
      <c r="E49" s="68"/>
      <c r="F49" s="69"/>
      <c r="G49" s="69"/>
      <c r="H49" s="71">
        <f t="shared" si="3"/>
        <v>0</v>
      </c>
      <c r="I49" s="71">
        <f t="shared" si="1"/>
        <v>9340000</v>
      </c>
      <c r="J49" s="69">
        <f t="shared" si="2"/>
        <v>0</v>
      </c>
    </row>
    <row r="50" s="45" customFormat="1" ht="12.75" spans="1:10">
      <c r="A50" s="68">
        <v>42</v>
      </c>
      <c r="B50" s="69" t="s">
        <v>92</v>
      </c>
      <c r="C50" s="127" t="s">
        <v>93</v>
      </c>
      <c r="D50" s="71">
        <f>'23-6-26'!I50</f>
        <v>0</v>
      </c>
      <c r="E50" s="68"/>
      <c r="F50" s="69"/>
      <c r="G50" s="69"/>
      <c r="H50" s="71">
        <f t="shared" si="3"/>
        <v>0</v>
      </c>
      <c r="I50" s="71">
        <f t="shared" si="1"/>
        <v>0</v>
      </c>
      <c r="J50" s="69">
        <f t="shared" si="2"/>
        <v>0</v>
      </c>
    </row>
    <row r="51" s="45" customFormat="1" ht="12.75" spans="1:10">
      <c r="A51" s="68">
        <v>43</v>
      </c>
      <c r="B51" s="69" t="s">
        <v>94</v>
      </c>
      <c r="C51" s="70" t="s">
        <v>95</v>
      </c>
      <c r="D51" s="71">
        <f>'23-6-26'!I51</f>
        <v>15700000</v>
      </c>
      <c r="E51" s="68">
        <v>9</v>
      </c>
      <c r="F51" s="69">
        <v>1000000</v>
      </c>
      <c r="G51" s="69">
        <v>400000</v>
      </c>
      <c r="H51" s="73">
        <f t="shared" si="3"/>
        <v>1400000</v>
      </c>
      <c r="I51" s="71">
        <f t="shared" si="1"/>
        <v>14700000</v>
      </c>
      <c r="J51" s="69">
        <f t="shared" si="2"/>
        <v>40000</v>
      </c>
    </row>
    <row r="52" s="45" customFormat="1" ht="12.75" spans="1:10">
      <c r="A52" s="68">
        <v>44</v>
      </c>
      <c r="B52" s="69" t="s">
        <v>96</v>
      </c>
      <c r="C52" s="70" t="s">
        <v>97</v>
      </c>
      <c r="D52" s="71">
        <f>'23-6-26'!I52</f>
        <v>24600000</v>
      </c>
      <c r="E52" s="68"/>
      <c r="F52" s="69"/>
      <c r="G52" s="69"/>
      <c r="H52" s="71">
        <f t="shared" si="3"/>
        <v>0</v>
      </c>
      <c r="I52" s="71">
        <f t="shared" si="1"/>
        <v>24600000</v>
      </c>
      <c r="J52" s="69">
        <f t="shared" si="2"/>
        <v>0</v>
      </c>
    </row>
    <row r="53" s="45" customFormat="1" ht="12.75" spans="1:10">
      <c r="A53" s="68">
        <v>45</v>
      </c>
      <c r="B53" s="69" t="s">
        <v>98</v>
      </c>
      <c r="C53" s="127" t="s">
        <v>99</v>
      </c>
      <c r="D53" s="71">
        <f>'23-6-26'!I53</f>
        <v>0</v>
      </c>
      <c r="E53" s="68"/>
      <c r="F53" s="69"/>
      <c r="G53" s="69"/>
      <c r="H53" s="71">
        <f t="shared" si="3"/>
        <v>0</v>
      </c>
      <c r="I53" s="71">
        <f t="shared" si="1"/>
        <v>0</v>
      </c>
      <c r="J53" s="69">
        <f t="shared" si="2"/>
        <v>0</v>
      </c>
    </row>
    <row r="54" s="45" customFormat="1" ht="12.75" spans="1:10">
      <c r="A54" s="68">
        <v>46</v>
      </c>
      <c r="B54" s="69" t="s">
        <v>100</v>
      </c>
      <c r="C54" s="127" t="s">
        <v>99</v>
      </c>
      <c r="D54" s="71">
        <f>'23-6-26'!I54</f>
        <v>4200000</v>
      </c>
      <c r="E54" s="68"/>
      <c r="F54" s="69"/>
      <c r="G54" s="69"/>
      <c r="H54" s="71">
        <f t="shared" si="3"/>
        <v>0</v>
      </c>
      <c r="I54" s="71">
        <f t="shared" si="1"/>
        <v>4200000</v>
      </c>
      <c r="J54" s="69">
        <f t="shared" si="2"/>
        <v>0</v>
      </c>
    </row>
    <row r="55" s="45" customFormat="1" ht="12.75" spans="1:10">
      <c r="A55" s="68">
        <v>47</v>
      </c>
      <c r="B55" s="69" t="s">
        <v>101</v>
      </c>
      <c r="C55" s="127" t="s">
        <v>102</v>
      </c>
      <c r="D55" s="71">
        <f>'23-6-26'!I55</f>
        <v>7460000</v>
      </c>
      <c r="E55" s="68"/>
      <c r="F55" s="69"/>
      <c r="G55" s="69"/>
      <c r="H55" s="71">
        <f t="shared" si="3"/>
        <v>0</v>
      </c>
      <c r="I55" s="71">
        <f t="shared" si="1"/>
        <v>7460000</v>
      </c>
      <c r="J55" s="69">
        <f t="shared" si="2"/>
        <v>0</v>
      </c>
    </row>
    <row r="56" s="45" customFormat="1" ht="12.75" spans="1:10">
      <c r="A56" s="68">
        <v>48</v>
      </c>
      <c r="B56" s="69" t="s">
        <v>103</v>
      </c>
      <c r="C56" s="127" t="s">
        <v>102</v>
      </c>
      <c r="D56" s="71">
        <f>'23-6-26'!I56</f>
        <v>0</v>
      </c>
      <c r="E56" s="68"/>
      <c r="F56" s="69"/>
      <c r="G56" s="69"/>
      <c r="H56" s="71">
        <f t="shared" si="3"/>
        <v>0</v>
      </c>
      <c r="I56" s="71">
        <f t="shared" si="1"/>
        <v>0</v>
      </c>
      <c r="J56" s="69">
        <f t="shared" si="2"/>
        <v>0</v>
      </c>
    </row>
    <row r="57" s="45" customFormat="1" ht="12.75" spans="1:10">
      <c r="A57" s="68">
        <v>49</v>
      </c>
      <c r="B57" s="69" t="s">
        <v>104</v>
      </c>
      <c r="C57" s="127" t="s">
        <v>102</v>
      </c>
      <c r="D57" s="71">
        <f>'23-6-26'!I57</f>
        <v>20000000</v>
      </c>
      <c r="E57" s="68"/>
      <c r="F57" s="69"/>
      <c r="G57" s="69"/>
      <c r="H57" s="71">
        <f t="shared" si="3"/>
        <v>0</v>
      </c>
      <c r="I57" s="71">
        <f t="shared" si="1"/>
        <v>20000000</v>
      </c>
      <c r="J57" s="69">
        <f t="shared" si="2"/>
        <v>0</v>
      </c>
    </row>
    <row r="58" s="45" customFormat="1" ht="12.75" spans="1:10">
      <c r="A58" s="68">
        <v>50</v>
      </c>
      <c r="B58" s="69" t="s">
        <v>105</v>
      </c>
      <c r="C58" s="70" t="s">
        <v>106</v>
      </c>
      <c r="D58" s="71">
        <f>'23-6-26'!I58</f>
        <v>0</v>
      </c>
      <c r="E58" s="68"/>
      <c r="F58" s="69"/>
      <c r="G58" s="69"/>
      <c r="H58" s="71">
        <f t="shared" si="3"/>
        <v>0</v>
      </c>
      <c r="I58" s="71">
        <f t="shared" si="1"/>
        <v>0</v>
      </c>
      <c r="J58" s="69">
        <f t="shared" si="2"/>
        <v>0</v>
      </c>
    </row>
    <row r="59" s="45" customFormat="1" ht="12.75" spans="1:10">
      <c r="A59" s="68">
        <v>51</v>
      </c>
      <c r="B59" s="69" t="s">
        <v>107</v>
      </c>
      <c r="C59" s="127" t="s">
        <v>108</v>
      </c>
      <c r="D59" s="71">
        <f>'23-6-26'!I59</f>
        <v>0</v>
      </c>
      <c r="E59" s="68"/>
      <c r="F59" s="69"/>
      <c r="G59" s="69"/>
      <c r="H59" s="71">
        <f t="shared" si="3"/>
        <v>0</v>
      </c>
      <c r="I59" s="71">
        <f t="shared" si="1"/>
        <v>0</v>
      </c>
      <c r="J59" s="69">
        <f t="shared" si="2"/>
        <v>0</v>
      </c>
    </row>
    <row r="60" s="45" customFormat="1" ht="12.75" spans="1:10">
      <c r="A60" s="68">
        <v>52</v>
      </c>
      <c r="B60" s="69" t="s">
        <v>109</v>
      </c>
      <c r="C60" s="127" t="s">
        <v>110</v>
      </c>
      <c r="D60" s="71">
        <f>'23-6-26'!I60</f>
        <v>0</v>
      </c>
      <c r="E60" s="68"/>
      <c r="F60" s="69"/>
      <c r="G60" s="69"/>
      <c r="H60" s="71">
        <f t="shared" si="3"/>
        <v>0</v>
      </c>
      <c r="I60" s="71">
        <f t="shared" si="1"/>
        <v>0</v>
      </c>
      <c r="J60" s="69">
        <f t="shared" si="2"/>
        <v>0</v>
      </c>
    </row>
    <row r="61" s="45" customFormat="1" ht="12.75" spans="1:10">
      <c r="A61" s="68">
        <v>53</v>
      </c>
      <c r="B61" s="69" t="s">
        <v>111</v>
      </c>
      <c r="C61" s="70" t="s">
        <v>112</v>
      </c>
      <c r="D61" s="71">
        <f>'23-6-26'!I61</f>
        <v>230000</v>
      </c>
      <c r="E61" s="68"/>
      <c r="F61" s="69"/>
      <c r="G61" s="69"/>
      <c r="H61" s="71">
        <f t="shared" si="3"/>
        <v>0</v>
      </c>
      <c r="I61" s="71">
        <f t="shared" si="1"/>
        <v>230000</v>
      </c>
      <c r="J61" s="69">
        <f t="shared" si="2"/>
        <v>0</v>
      </c>
    </row>
    <row r="62" s="45" customFormat="1" ht="12.75" spans="1:10">
      <c r="A62" s="68">
        <v>54</v>
      </c>
      <c r="B62" s="69" t="s">
        <v>113</v>
      </c>
      <c r="C62" s="127" t="s">
        <v>114</v>
      </c>
      <c r="D62" s="71">
        <f>'23-6-26'!I62</f>
        <v>0</v>
      </c>
      <c r="E62" s="68"/>
      <c r="F62" s="69"/>
      <c r="G62" s="69"/>
      <c r="H62" s="71">
        <f t="shared" si="3"/>
        <v>0</v>
      </c>
      <c r="I62" s="71">
        <f t="shared" si="1"/>
        <v>0</v>
      </c>
      <c r="J62" s="69">
        <f t="shared" si="2"/>
        <v>0</v>
      </c>
    </row>
    <row r="63" s="45" customFormat="1" ht="12.75" spans="1:10">
      <c r="A63" s="68">
        <v>55</v>
      </c>
      <c r="B63" s="69" t="s">
        <v>115</v>
      </c>
      <c r="C63" s="127" t="s">
        <v>116</v>
      </c>
      <c r="D63" s="71">
        <f>'23-6-26'!I63</f>
        <v>0</v>
      </c>
      <c r="E63" s="68"/>
      <c r="F63" s="69"/>
      <c r="G63" s="69"/>
      <c r="H63" s="71">
        <f t="shared" si="3"/>
        <v>0</v>
      </c>
      <c r="I63" s="71">
        <f t="shared" si="1"/>
        <v>0</v>
      </c>
      <c r="J63" s="69">
        <f t="shared" si="2"/>
        <v>0</v>
      </c>
    </row>
    <row r="64" s="45" customFormat="1" ht="12.75" spans="1:10">
      <c r="A64" s="68">
        <v>56</v>
      </c>
      <c r="B64" s="69" t="s">
        <v>117</v>
      </c>
      <c r="C64" s="127" t="s">
        <v>118</v>
      </c>
      <c r="D64" s="71">
        <f>'23-6-26'!I64</f>
        <v>0</v>
      </c>
      <c r="E64" s="68"/>
      <c r="F64" s="69"/>
      <c r="G64" s="69"/>
      <c r="H64" s="71">
        <f t="shared" si="3"/>
        <v>0</v>
      </c>
      <c r="I64" s="71">
        <f t="shared" si="1"/>
        <v>0</v>
      </c>
      <c r="J64" s="69">
        <f t="shared" si="2"/>
        <v>0</v>
      </c>
    </row>
    <row r="65" s="45" customFormat="1" ht="12.75" spans="1:10">
      <c r="A65" s="68">
        <v>57</v>
      </c>
      <c r="B65" s="69" t="s">
        <v>119</v>
      </c>
      <c r="C65" s="127" t="s">
        <v>120</v>
      </c>
      <c r="D65" s="71">
        <f>'23-6-26'!I65</f>
        <v>5862000</v>
      </c>
      <c r="E65" s="68"/>
      <c r="F65" s="69"/>
      <c r="G65" s="69"/>
      <c r="H65" s="71">
        <f t="shared" si="3"/>
        <v>0</v>
      </c>
      <c r="I65" s="71">
        <f t="shared" si="1"/>
        <v>5862000</v>
      </c>
      <c r="J65" s="69">
        <f t="shared" si="2"/>
        <v>0</v>
      </c>
    </row>
    <row r="66" s="45" customFormat="1" ht="12.75" spans="1:10">
      <c r="A66" s="68">
        <v>58</v>
      </c>
      <c r="B66" s="69" t="s">
        <v>121</v>
      </c>
      <c r="C66" s="127" t="s">
        <v>120</v>
      </c>
      <c r="D66" s="71">
        <f>'23-6-26'!I66</f>
        <v>0</v>
      </c>
      <c r="E66" s="68"/>
      <c r="F66" s="69"/>
      <c r="G66" s="69"/>
      <c r="H66" s="71">
        <f t="shared" si="3"/>
        <v>0</v>
      </c>
      <c r="I66" s="71">
        <f t="shared" si="1"/>
        <v>0</v>
      </c>
      <c r="J66" s="69">
        <f t="shared" si="2"/>
        <v>0</v>
      </c>
    </row>
    <row r="67" s="45" customFormat="1" ht="12.75" customHeight="1" spans="1:10">
      <c r="A67" s="68">
        <v>59</v>
      </c>
      <c r="B67" s="69" t="s">
        <v>122</v>
      </c>
      <c r="C67" s="127" t="s">
        <v>123</v>
      </c>
      <c r="D67" s="71">
        <f>'23-6-26'!I67</f>
        <v>0</v>
      </c>
      <c r="E67" s="68"/>
      <c r="F67" s="69"/>
      <c r="G67" s="69"/>
      <c r="H67" s="71">
        <f t="shared" si="3"/>
        <v>0</v>
      </c>
      <c r="I67" s="71">
        <f t="shared" si="1"/>
        <v>0</v>
      </c>
      <c r="J67" s="69">
        <f t="shared" si="2"/>
        <v>0</v>
      </c>
    </row>
    <row r="68" s="45" customFormat="1" ht="12.75" customHeight="1" spans="1:10">
      <c r="A68" s="68">
        <v>60</v>
      </c>
      <c r="B68" s="69" t="s">
        <v>159</v>
      </c>
      <c r="C68" s="127" t="s">
        <v>160</v>
      </c>
      <c r="D68" s="71">
        <f>'23-6-26'!I68</f>
        <v>400000</v>
      </c>
      <c r="E68" s="68"/>
      <c r="F68" s="69"/>
      <c r="G68" s="69"/>
      <c r="H68" s="71">
        <f t="shared" si="3"/>
        <v>0</v>
      </c>
      <c r="I68" s="71">
        <f t="shared" si="1"/>
        <v>400000</v>
      </c>
      <c r="J68" s="69">
        <f t="shared" si="2"/>
        <v>0</v>
      </c>
    </row>
    <row r="69" s="45" customFormat="1" ht="12.75" customHeight="1" spans="1:10">
      <c r="A69" s="68">
        <v>61</v>
      </c>
      <c r="B69" s="69" t="s">
        <v>161</v>
      </c>
      <c r="C69" s="127" t="s">
        <v>160</v>
      </c>
      <c r="D69" s="71">
        <f>'23-6-26'!I69</f>
        <v>50000000</v>
      </c>
      <c r="E69" s="68"/>
      <c r="F69" s="69"/>
      <c r="G69" s="69"/>
      <c r="H69" s="71">
        <f t="shared" si="3"/>
        <v>0</v>
      </c>
      <c r="I69" s="71">
        <f t="shared" si="1"/>
        <v>50000000</v>
      </c>
      <c r="J69" s="69">
        <f t="shared" si="2"/>
        <v>0</v>
      </c>
    </row>
    <row r="70" s="45" customFormat="1" ht="12.75" customHeight="1" spans="1:10">
      <c r="A70" s="68">
        <v>62</v>
      </c>
      <c r="B70" s="69" t="s">
        <v>141</v>
      </c>
      <c r="C70" s="127" t="s">
        <v>160</v>
      </c>
      <c r="D70" s="71">
        <f>'23-6-26'!I70</f>
        <v>1000000</v>
      </c>
      <c r="E70" s="68"/>
      <c r="F70" s="69"/>
      <c r="G70" s="69"/>
      <c r="H70" s="71">
        <f t="shared" si="3"/>
        <v>0</v>
      </c>
      <c r="I70" s="71">
        <f t="shared" si="1"/>
        <v>1000000</v>
      </c>
      <c r="J70" s="69">
        <f t="shared" si="2"/>
        <v>0</v>
      </c>
    </row>
    <row r="71" s="45" customFormat="1" ht="12.75" customHeight="1" spans="1:10">
      <c r="A71" s="68">
        <v>63</v>
      </c>
      <c r="B71" s="69" t="s">
        <v>162</v>
      </c>
      <c r="C71" s="127" t="s">
        <v>160</v>
      </c>
      <c r="D71" s="71">
        <f>'23-6-26'!I71</f>
        <v>1000000</v>
      </c>
      <c r="E71" s="68"/>
      <c r="F71" s="69"/>
      <c r="G71" s="69"/>
      <c r="H71" s="71">
        <f t="shared" si="3"/>
        <v>0</v>
      </c>
      <c r="I71" s="71">
        <f t="shared" si="1"/>
        <v>1000000</v>
      </c>
      <c r="J71" s="69">
        <f t="shared" si="2"/>
        <v>0</v>
      </c>
    </row>
    <row r="72" s="45" customFormat="1" ht="12.75" customHeight="1" spans="1:10">
      <c r="A72" s="68">
        <v>64</v>
      </c>
      <c r="B72" s="69" t="s">
        <v>98</v>
      </c>
      <c r="C72" s="127" t="s">
        <v>160</v>
      </c>
      <c r="D72" s="71">
        <f>'23-6-26'!I72</f>
        <v>1600000</v>
      </c>
      <c r="E72" s="68"/>
      <c r="F72" s="69"/>
      <c r="G72" s="69"/>
      <c r="H72" s="71">
        <f t="shared" si="3"/>
        <v>0</v>
      </c>
      <c r="I72" s="71">
        <f t="shared" si="1"/>
        <v>1600000</v>
      </c>
      <c r="J72" s="69">
        <f t="shared" si="2"/>
        <v>0</v>
      </c>
    </row>
    <row r="73" s="45" customFormat="1" ht="12.75" customHeight="1" spans="1:10">
      <c r="A73" s="68">
        <v>65</v>
      </c>
      <c r="B73" s="69" t="s">
        <v>163</v>
      </c>
      <c r="C73" s="127" t="s">
        <v>160</v>
      </c>
      <c r="D73" s="71">
        <f>'23-6-26'!I73</f>
        <v>0</v>
      </c>
      <c r="E73" s="69"/>
      <c r="F73" s="69"/>
      <c r="G73" s="69"/>
      <c r="H73" s="71">
        <f t="shared" ref="H73:H136" si="4">SUM(F73:G73)</f>
        <v>0</v>
      </c>
      <c r="I73" s="71">
        <f t="shared" ref="I73:I136" si="5">D73-F73</f>
        <v>0</v>
      </c>
      <c r="J73" s="69">
        <f t="shared" ref="J73:J136" si="6">1/10*G73</f>
        <v>0</v>
      </c>
    </row>
    <row r="74" s="45" customFormat="1" ht="12.75" customHeight="1" spans="1:10">
      <c r="A74" s="68">
        <v>66</v>
      </c>
      <c r="B74" s="69" t="s">
        <v>166</v>
      </c>
      <c r="C74" s="127" t="s">
        <v>167</v>
      </c>
      <c r="D74" s="71">
        <f>'23-6-26'!I74</f>
        <v>0</v>
      </c>
      <c r="E74" s="68"/>
      <c r="F74" s="69"/>
      <c r="G74" s="69"/>
      <c r="H74" s="71">
        <f t="shared" si="4"/>
        <v>0</v>
      </c>
      <c r="I74" s="71">
        <f t="shared" si="5"/>
        <v>0</v>
      </c>
      <c r="J74" s="69">
        <f t="shared" si="6"/>
        <v>0</v>
      </c>
    </row>
    <row r="75" s="45" customFormat="1" ht="12.75" customHeight="1" spans="1:10">
      <c r="A75" s="68">
        <v>67</v>
      </c>
      <c r="B75" s="69" t="s">
        <v>53</v>
      </c>
      <c r="C75" s="127" t="s">
        <v>167</v>
      </c>
      <c r="D75" s="71">
        <f>'23-6-26'!I75</f>
        <v>2100000</v>
      </c>
      <c r="E75" s="68"/>
      <c r="F75" s="69"/>
      <c r="G75" s="69"/>
      <c r="H75" s="71">
        <f t="shared" si="4"/>
        <v>0</v>
      </c>
      <c r="I75" s="71">
        <f t="shared" si="5"/>
        <v>2100000</v>
      </c>
      <c r="J75" s="69">
        <f t="shared" si="6"/>
        <v>0</v>
      </c>
    </row>
    <row r="76" s="45" customFormat="1" ht="12.75" customHeight="1" spans="1:10">
      <c r="A76" s="68">
        <v>68</v>
      </c>
      <c r="B76" s="69" t="s">
        <v>170</v>
      </c>
      <c r="C76" s="127" t="s">
        <v>171</v>
      </c>
      <c r="D76" s="71">
        <f>'23-6-26'!I76</f>
        <v>770000</v>
      </c>
      <c r="E76" s="68"/>
      <c r="F76" s="69"/>
      <c r="G76" s="69"/>
      <c r="H76" s="71">
        <f t="shared" si="4"/>
        <v>0</v>
      </c>
      <c r="I76" s="71">
        <f t="shared" si="5"/>
        <v>770000</v>
      </c>
      <c r="J76" s="69">
        <f t="shared" si="6"/>
        <v>0</v>
      </c>
    </row>
    <row r="77" s="45" customFormat="1" ht="12.75" customHeight="1" spans="1:10">
      <c r="A77" s="68">
        <v>69</v>
      </c>
      <c r="B77" s="69" t="s">
        <v>172</v>
      </c>
      <c r="C77" s="127" t="s">
        <v>171</v>
      </c>
      <c r="D77" s="71">
        <f>'23-6-26'!I77</f>
        <v>4250000</v>
      </c>
      <c r="E77" s="68"/>
      <c r="F77" s="69"/>
      <c r="G77" s="69"/>
      <c r="H77" s="71">
        <f t="shared" si="4"/>
        <v>0</v>
      </c>
      <c r="I77" s="71">
        <f t="shared" si="5"/>
        <v>4250000</v>
      </c>
      <c r="J77" s="69">
        <f t="shared" si="6"/>
        <v>0</v>
      </c>
    </row>
    <row r="78" s="45" customFormat="1" ht="12.75" customHeight="1" spans="1:10">
      <c r="A78" s="68">
        <v>70</v>
      </c>
      <c r="B78" s="69" t="s">
        <v>175</v>
      </c>
      <c r="C78" s="127" t="s">
        <v>176</v>
      </c>
      <c r="D78" s="71">
        <f>'23-6-26'!I78</f>
        <v>8000000</v>
      </c>
      <c r="E78" s="68"/>
      <c r="F78" s="69"/>
      <c r="G78" s="69"/>
      <c r="H78" s="71">
        <f t="shared" si="4"/>
        <v>0</v>
      </c>
      <c r="I78" s="71">
        <f t="shared" si="5"/>
        <v>8000000</v>
      </c>
      <c r="J78" s="69">
        <f t="shared" si="6"/>
        <v>0</v>
      </c>
    </row>
    <row r="79" s="45" customFormat="1" ht="12.75" customHeight="1" spans="1:10">
      <c r="A79" s="68">
        <v>71</v>
      </c>
      <c r="B79" s="69" t="s">
        <v>107</v>
      </c>
      <c r="C79" s="127" t="s">
        <v>176</v>
      </c>
      <c r="D79" s="71">
        <f>'23-6-26'!I79</f>
        <v>1800000</v>
      </c>
      <c r="E79" s="68">
        <v>5</v>
      </c>
      <c r="F79" s="69">
        <v>300000</v>
      </c>
      <c r="G79" s="69">
        <v>60000</v>
      </c>
      <c r="H79" s="73">
        <f t="shared" si="4"/>
        <v>360000</v>
      </c>
      <c r="I79" s="71">
        <f t="shared" si="5"/>
        <v>1500000</v>
      </c>
      <c r="J79" s="69">
        <f t="shared" si="6"/>
        <v>6000</v>
      </c>
    </row>
    <row r="80" s="45" customFormat="1" ht="12.75" customHeight="1" spans="1:10">
      <c r="A80" s="68">
        <v>72</v>
      </c>
      <c r="B80" s="69" t="s">
        <v>177</v>
      </c>
      <c r="C80" s="127" t="s">
        <v>176</v>
      </c>
      <c r="D80" s="71">
        <f>'23-6-26'!I80</f>
        <v>700000</v>
      </c>
      <c r="E80" s="68">
        <v>3</v>
      </c>
      <c r="F80" s="69">
        <v>100000</v>
      </c>
      <c r="G80" s="69">
        <v>20000</v>
      </c>
      <c r="H80" s="71">
        <f t="shared" si="4"/>
        <v>120000</v>
      </c>
      <c r="I80" s="71">
        <f t="shared" si="5"/>
        <v>600000</v>
      </c>
      <c r="J80" s="69">
        <f t="shared" si="6"/>
        <v>2000</v>
      </c>
    </row>
    <row r="81" s="45" customFormat="1" ht="12.75" customHeight="1" spans="1:10">
      <c r="A81" s="68">
        <v>73</v>
      </c>
      <c r="B81" s="69" t="s">
        <v>178</v>
      </c>
      <c r="C81" s="127" t="s">
        <v>176</v>
      </c>
      <c r="D81" s="71">
        <f>'23-6-26'!I81</f>
        <v>5600000</v>
      </c>
      <c r="E81" s="68"/>
      <c r="F81" s="69"/>
      <c r="G81" s="69"/>
      <c r="H81" s="71">
        <f t="shared" si="4"/>
        <v>0</v>
      </c>
      <c r="I81" s="71">
        <f t="shared" si="5"/>
        <v>5600000</v>
      </c>
      <c r="J81" s="69">
        <f t="shared" si="6"/>
        <v>0</v>
      </c>
    </row>
    <row r="82" s="45" customFormat="1" ht="12.75" customHeight="1" spans="1:10">
      <c r="A82" s="68">
        <v>74</v>
      </c>
      <c r="B82" s="69" t="s">
        <v>183</v>
      </c>
      <c r="C82" s="127" t="s">
        <v>184</v>
      </c>
      <c r="D82" s="71">
        <f>'23-6-26'!I82</f>
        <v>600000</v>
      </c>
      <c r="E82" s="69"/>
      <c r="F82" s="69"/>
      <c r="G82" s="69"/>
      <c r="H82" s="71">
        <f t="shared" si="4"/>
        <v>0</v>
      </c>
      <c r="I82" s="71">
        <f t="shared" si="5"/>
        <v>600000</v>
      </c>
      <c r="J82" s="69">
        <f t="shared" si="6"/>
        <v>0</v>
      </c>
    </row>
    <row r="83" s="45" customFormat="1" ht="12.75" customHeight="1" spans="1:10">
      <c r="A83" s="68">
        <v>75</v>
      </c>
      <c r="B83" s="69" t="s">
        <v>51</v>
      </c>
      <c r="C83" s="70" t="s">
        <v>189</v>
      </c>
      <c r="D83" s="71">
        <f>'23-6-26'!I83</f>
        <v>500000</v>
      </c>
      <c r="E83" s="68"/>
      <c r="F83" s="69"/>
      <c r="G83" s="69"/>
      <c r="H83" s="71">
        <f t="shared" si="4"/>
        <v>0</v>
      </c>
      <c r="I83" s="71">
        <f t="shared" si="5"/>
        <v>500000</v>
      </c>
      <c r="J83" s="69">
        <f t="shared" si="6"/>
        <v>0</v>
      </c>
    </row>
    <row r="84" s="45" customFormat="1" ht="12.75" customHeight="1" spans="1:10">
      <c r="A84" s="68">
        <v>76</v>
      </c>
      <c r="B84" s="69" t="s">
        <v>117</v>
      </c>
      <c r="C84" s="70" t="s">
        <v>189</v>
      </c>
      <c r="D84" s="71">
        <f>'23-6-26'!I84</f>
        <v>0</v>
      </c>
      <c r="E84" s="68"/>
      <c r="F84" s="69"/>
      <c r="G84" s="69"/>
      <c r="H84" s="71">
        <f t="shared" si="4"/>
        <v>0</v>
      </c>
      <c r="I84" s="71">
        <f t="shared" si="5"/>
        <v>0</v>
      </c>
      <c r="J84" s="69">
        <f t="shared" si="6"/>
        <v>0</v>
      </c>
    </row>
    <row r="85" s="45" customFormat="1" ht="12.75" customHeight="1" spans="1:10">
      <c r="A85" s="68">
        <v>77</v>
      </c>
      <c r="B85" s="69" t="s">
        <v>122</v>
      </c>
      <c r="C85" s="127" t="s">
        <v>199</v>
      </c>
      <c r="D85" s="71">
        <f>'23-6-26'!I85</f>
        <v>5000000</v>
      </c>
      <c r="E85" s="68"/>
      <c r="F85" s="69"/>
      <c r="G85" s="69"/>
      <c r="H85" s="71">
        <f t="shared" si="4"/>
        <v>0</v>
      </c>
      <c r="I85" s="71">
        <f t="shared" si="5"/>
        <v>5000000</v>
      </c>
      <c r="J85" s="69">
        <f t="shared" si="6"/>
        <v>0</v>
      </c>
    </row>
    <row r="86" s="45" customFormat="1" ht="12.75" customHeight="1" spans="1:10">
      <c r="A86" s="68">
        <v>78</v>
      </c>
      <c r="B86" s="69" t="s">
        <v>200</v>
      </c>
      <c r="C86" s="127" t="s">
        <v>201</v>
      </c>
      <c r="D86" s="71">
        <f>'23-6-26'!I86</f>
        <v>900000</v>
      </c>
      <c r="E86" s="68"/>
      <c r="F86" s="69"/>
      <c r="G86" s="69"/>
      <c r="H86" s="71">
        <f t="shared" si="4"/>
        <v>0</v>
      </c>
      <c r="I86" s="71">
        <f t="shared" si="5"/>
        <v>900000</v>
      </c>
      <c r="J86" s="69">
        <f t="shared" si="6"/>
        <v>0</v>
      </c>
    </row>
    <row r="87" s="45" customFormat="1" ht="12.75" customHeight="1" spans="1:10">
      <c r="A87" s="68">
        <v>79</v>
      </c>
      <c r="B87" s="69" t="s">
        <v>202</v>
      </c>
      <c r="C87" s="127" t="s">
        <v>201</v>
      </c>
      <c r="D87" s="71">
        <f>'23-6-26'!I87</f>
        <v>500000</v>
      </c>
      <c r="E87" s="68"/>
      <c r="F87" s="69"/>
      <c r="G87" s="69"/>
      <c r="H87" s="71">
        <f t="shared" si="4"/>
        <v>0</v>
      </c>
      <c r="I87" s="71">
        <f t="shared" si="5"/>
        <v>500000</v>
      </c>
      <c r="J87" s="69">
        <f t="shared" si="6"/>
        <v>0</v>
      </c>
    </row>
    <row r="88" s="45" customFormat="1" ht="12.75" customHeight="1" spans="1:10">
      <c r="A88" s="68">
        <v>80</v>
      </c>
      <c r="B88" s="69" t="s">
        <v>105</v>
      </c>
      <c r="C88" s="127" t="s">
        <v>203</v>
      </c>
      <c r="D88" s="71">
        <f>'23-6-26'!I88</f>
        <v>2700000</v>
      </c>
      <c r="E88" s="68"/>
      <c r="F88" s="69"/>
      <c r="G88" s="69"/>
      <c r="H88" s="71">
        <f t="shared" si="4"/>
        <v>0</v>
      </c>
      <c r="I88" s="71">
        <f t="shared" si="5"/>
        <v>2700000</v>
      </c>
      <c r="J88" s="69">
        <f t="shared" si="6"/>
        <v>0</v>
      </c>
    </row>
    <row r="89" s="45" customFormat="1" ht="12.75" customHeight="1" spans="1:10">
      <c r="A89" s="68">
        <v>81</v>
      </c>
      <c r="B89" s="69" t="s">
        <v>206</v>
      </c>
      <c r="C89" s="127" t="s">
        <v>207</v>
      </c>
      <c r="D89" s="71">
        <f>'23-6-26'!I89</f>
        <v>8000000</v>
      </c>
      <c r="E89" s="68"/>
      <c r="F89" s="69"/>
      <c r="G89" s="69"/>
      <c r="H89" s="71">
        <f t="shared" si="4"/>
        <v>0</v>
      </c>
      <c r="I89" s="71">
        <f t="shared" si="5"/>
        <v>8000000</v>
      </c>
      <c r="J89" s="69">
        <f t="shared" si="6"/>
        <v>0</v>
      </c>
    </row>
    <row r="90" s="45" customFormat="1" ht="12.75" customHeight="1" spans="1:10">
      <c r="A90" s="68">
        <v>82</v>
      </c>
      <c r="B90" s="69" t="s">
        <v>208</v>
      </c>
      <c r="C90" s="127" t="s">
        <v>207</v>
      </c>
      <c r="D90" s="71">
        <f>'23-6-26'!I90</f>
        <v>1800000</v>
      </c>
      <c r="E90" s="68"/>
      <c r="F90" s="69"/>
      <c r="G90" s="69"/>
      <c r="H90" s="71">
        <f t="shared" si="4"/>
        <v>0</v>
      </c>
      <c r="I90" s="71">
        <f t="shared" si="5"/>
        <v>1800000</v>
      </c>
      <c r="J90" s="69">
        <f t="shared" si="6"/>
        <v>0</v>
      </c>
    </row>
    <row r="91" s="45" customFormat="1" ht="12.75" customHeight="1" spans="1:10">
      <c r="A91" s="68">
        <v>83</v>
      </c>
      <c r="B91" s="69" t="s">
        <v>211</v>
      </c>
      <c r="C91" s="127" t="s">
        <v>212</v>
      </c>
      <c r="D91" s="71">
        <f>'23-6-26'!I91</f>
        <v>4500000</v>
      </c>
      <c r="E91" s="68"/>
      <c r="F91" s="69"/>
      <c r="G91" s="69"/>
      <c r="H91" s="71">
        <f t="shared" si="4"/>
        <v>0</v>
      </c>
      <c r="I91" s="71">
        <f t="shared" si="5"/>
        <v>4500000</v>
      </c>
      <c r="J91" s="69">
        <f t="shared" si="6"/>
        <v>0</v>
      </c>
    </row>
    <row r="92" s="45" customFormat="1" ht="12.75" customHeight="1" spans="1:10">
      <c r="A92" s="68">
        <v>84</v>
      </c>
      <c r="B92" s="69" t="s">
        <v>121</v>
      </c>
      <c r="C92" s="127" t="s">
        <v>215</v>
      </c>
      <c r="D92" s="71">
        <f>'23-6-26'!I92</f>
        <v>450000</v>
      </c>
      <c r="E92" s="68">
        <v>6</v>
      </c>
      <c r="F92" s="69">
        <v>50000</v>
      </c>
      <c r="G92" s="69">
        <v>10000</v>
      </c>
      <c r="H92" s="73">
        <f t="shared" si="4"/>
        <v>60000</v>
      </c>
      <c r="I92" s="71">
        <f t="shared" si="5"/>
        <v>400000</v>
      </c>
      <c r="J92" s="69">
        <f t="shared" si="6"/>
        <v>1000</v>
      </c>
    </row>
    <row r="93" s="45" customFormat="1" ht="12.75" customHeight="1" spans="1:10">
      <c r="A93" s="68">
        <v>85</v>
      </c>
      <c r="B93" s="69" t="s">
        <v>117</v>
      </c>
      <c r="C93" s="127" t="s">
        <v>215</v>
      </c>
      <c r="D93" s="71">
        <f>'23-6-26'!I93</f>
        <v>1500000</v>
      </c>
      <c r="E93" s="68"/>
      <c r="F93" s="69"/>
      <c r="G93" s="69"/>
      <c r="H93" s="71">
        <f t="shared" si="4"/>
        <v>0</v>
      </c>
      <c r="I93" s="71">
        <f t="shared" si="5"/>
        <v>1500000</v>
      </c>
      <c r="J93" s="69">
        <f t="shared" si="6"/>
        <v>0</v>
      </c>
    </row>
    <row r="94" s="45" customFormat="1" ht="12.75" customHeight="1" spans="1:10">
      <c r="A94" s="68">
        <v>86</v>
      </c>
      <c r="B94" s="69" t="s">
        <v>163</v>
      </c>
      <c r="C94" s="127" t="s">
        <v>215</v>
      </c>
      <c r="D94" s="71">
        <f>'23-6-26'!I94</f>
        <v>15000000</v>
      </c>
      <c r="E94" s="68"/>
      <c r="F94" s="69"/>
      <c r="G94" s="69"/>
      <c r="H94" s="71">
        <f t="shared" si="4"/>
        <v>0</v>
      </c>
      <c r="I94" s="71">
        <f t="shared" si="5"/>
        <v>15000000</v>
      </c>
      <c r="J94" s="69">
        <f t="shared" si="6"/>
        <v>0</v>
      </c>
    </row>
    <row r="95" s="45" customFormat="1" ht="12.75" customHeight="1" spans="1:10">
      <c r="A95" s="68">
        <v>87</v>
      </c>
      <c r="B95" s="69" t="s">
        <v>85</v>
      </c>
      <c r="C95" s="127" t="s">
        <v>220</v>
      </c>
      <c r="D95" s="71">
        <f>'23-6-26'!I95</f>
        <v>2000000</v>
      </c>
      <c r="E95" s="68"/>
      <c r="F95" s="69"/>
      <c r="G95" s="69"/>
      <c r="H95" s="71">
        <f t="shared" si="4"/>
        <v>0</v>
      </c>
      <c r="I95" s="71">
        <f t="shared" si="5"/>
        <v>2000000</v>
      </c>
      <c r="J95" s="69">
        <f t="shared" si="6"/>
        <v>0</v>
      </c>
    </row>
    <row r="96" s="45" customFormat="1" ht="12.75" customHeight="1" spans="1:10">
      <c r="A96" s="68">
        <v>88</v>
      </c>
      <c r="B96" s="69" t="s">
        <v>103</v>
      </c>
      <c r="C96" s="127" t="s">
        <v>223</v>
      </c>
      <c r="D96" s="71">
        <f>'23-6-26'!I96</f>
        <v>2000000</v>
      </c>
      <c r="E96" s="68"/>
      <c r="F96" s="69"/>
      <c r="G96" s="69"/>
      <c r="H96" s="71">
        <f t="shared" si="4"/>
        <v>0</v>
      </c>
      <c r="I96" s="71">
        <f t="shared" si="5"/>
        <v>2000000</v>
      </c>
      <c r="J96" s="69">
        <f t="shared" si="6"/>
        <v>0</v>
      </c>
    </row>
    <row r="97" s="45" customFormat="1" ht="12.75" customHeight="1" spans="1:10">
      <c r="A97" s="68">
        <v>89</v>
      </c>
      <c r="B97" s="69" t="s">
        <v>226</v>
      </c>
      <c r="C97" s="70"/>
      <c r="D97" s="71">
        <f>'23-6-26'!I97</f>
        <v>0</v>
      </c>
      <c r="E97" s="68"/>
      <c r="F97" s="69"/>
      <c r="G97" s="69">
        <v>3000000</v>
      </c>
      <c r="H97" s="71">
        <f t="shared" si="4"/>
        <v>3000000</v>
      </c>
      <c r="I97" s="71">
        <f t="shared" si="5"/>
        <v>0</v>
      </c>
      <c r="J97" s="69">
        <f t="shared" si="6"/>
        <v>300000</v>
      </c>
    </row>
    <row r="98" s="45" customFormat="1" ht="12.75" customHeight="1" spans="1:10">
      <c r="A98" s="68">
        <v>90</v>
      </c>
      <c r="B98" s="69" t="s">
        <v>227</v>
      </c>
      <c r="C98" s="70"/>
      <c r="D98" s="71">
        <f>'23-6-26'!I98</f>
        <v>0</v>
      </c>
      <c r="E98" s="68"/>
      <c r="F98" s="69"/>
      <c r="G98" s="69">
        <v>900000</v>
      </c>
      <c r="H98" s="71">
        <f t="shared" si="4"/>
        <v>900000</v>
      </c>
      <c r="I98" s="71">
        <f t="shared" si="5"/>
        <v>0</v>
      </c>
      <c r="J98" s="69">
        <f t="shared" si="6"/>
        <v>90000</v>
      </c>
    </row>
    <row r="99" s="45" customFormat="1" ht="12.75" customHeight="1" spans="1:10">
      <c r="A99" s="68">
        <v>91</v>
      </c>
      <c r="B99" s="69" t="s">
        <v>227</v>
      </c>
      <c r="C99" s="127" t="s">
        <v>228</v>
      </c>
      <c r="D99" s="71">
        <v>10000000</v>
      </c>
      <c r="E99" s="68"/>
      <c r="F99" s="69"/>
      <c r="G99" s="69"/>
      <c r="H99" s="71">
        <f t="shared" si="4"/>
        <v>0</v>
      </c>
      <c r="I99" s="71">
        <f t="shared" si="5"/>
        <v>10000000</v>
      </c>
      <c r="J99" s="69">
        <f t="shared" si="6"/>
        <v>0</v>
      </c>
    </row>
    <row r="100" s="45" customFormat="1" ht="12.75" customHeight="1" spans="1:10">
      <c r="A100" s="68"/>
      <c r="B100" s="69"/>
      <c r="C100" s="70"/>
      <c r="D100" s="71">
        <f>'23-6-26'!I100</f>
        <v>0</v>
      </c>
      <c r="E100" s="68"/>
      <c r="F100" s="69"/>
      <c r="G100" s="69"/>
      <c r="H100" s="71">
        <f t="shared" si="4"/>
        <v>0</v>
      </c>
      <c r="I100" s="71">
        <f t="shared" si="5"/>
        <v>0</v>
      </c>
      <c r="J100" s="69">
        <f t="shared" si="6"/>
        <v>0</v>
      </c>
    </row>
    <row r="101" s="45" customFormat="1" ht="12.75" customHeight="1" spans="1:10">
      <c r="A101" s="68"/>
      <c r="B101" s="69"/>
      <c r="C101" s="70"/>
      <c r="D101" s="71">
        <f>'23-6-26'!I101</f>
        <v>0</v>
      </c>
      <c r="E101" s="68"/>
      <c r="F101" s="69"/>
      <c r="G101" s="69"/>
      <c r="H101" s="71">
        <f t="shared" si="4"/>
        <v>0</v>
      </c>
      <c r="I101" s="71">
        <f t="shared" si="5"/>
        <v>0</v>
      </c>
      <c r="J101" s="69">
        <f t="shared" si="6"/>
        <v>0</v>
      </c>
    </row>
    <row r="102" s="45" customFormat="1" ht="12.75" customHeight="1" spans="1:10">
      <c r="A102" s="68"/>
      <c r="B102" s="69"/>
      <c r="C102" s="70"/>
      <c r="D102" s="71">
        <f>'16-6-26'!I102</f>
        <v>0</v>
      </c>
      <c r="E102" s="68"/>
      <c r="F102" s="69"/>
      <c r="G102" s="69"/>
      <c r="H102" s="71">
        <f t="shared" si="4"/>
        <v>0</v>
      </c>
      <c r="I102" s="71">
        <f t="shared" si="5"/>
        <v>0</v>
      </c>
      <c r="J102" s="69">
        <f t="shared" si="6"/>
        <v>0</v>
      </c>
    </row>
    <row r="103" s="45" customFormat="1" ht="12.75" customHeight="1" spans="1:10">
      <c r="A103" s="68"/>
      <c r="B103" s="69"/>
      <c r="C103" s="70"/>
      <c r="D103" s="71">
        <f>'16-6-26'!I103</f>
        <v>0</v>
      </c>
      <c r="E103" s="68"/>
      <c r="F103" s="69"/>
      <c r="G103" s="69"/>
      <c r="H103" s="71">
        <f t="shared" si="4"/>
        <v>0</v>
      </c>
      <c r="I103" s="71">
        <f t="shared" si="5"/>
        <v>0</v>
      </c>
      <c r="J103" s="69">
        <f t="shared" si="6"/>
        <v>0</v>
      </c>
    </row>
    <row r="104" s="45" customFormat="1" ht="12.75" customHeight="1" spans="1:10">
      <c r="A104" s="68"/>
      <c r="B104" s="69"/>
      <c r="C104" s="70"/>
      <c r="D104" s="71">
        <f>'16-6-26'!I104</f>
        <v>0</v>
      </c>
      <c r="E104" s="68"/>
      <c r="F104" s="69"/>
      <c r="G104" s="69"/>
      <c r="H104" s="71">
        <f t="shared" si="4"/>
        <v>0</v>
      </c>
      <c r="I104" s="71">
        <f t="shared" si="5"/>
        <v>0</v>
      </c>
      <c r="J104" s="69">
        <f t="shared" si="6"/>
        <v>0</v>
      </c>
    </row>
    <row r="105" s="45" customFormat="1" ht="12.75" customHeight="1" spans="1:10">
      <c r="A105" s="68"/>
      <c r="B105" s="69"/>
      <c r="C105" s="70"/>
      <c r="D105" s="71">
        <f>'16-6-26'!I105</f>
        <v>0</v>
      </c>
      <c r="E105" s="68"/>
      <c r="F105" s="69"/>
      <c r="G105" s="69"/>
      <c r="H105" s="71">
        <f t="shared" si="4"/>
        <v>0</v>
      </c>
      <c r="I105" s="71">
        <f t="shared" si="5"/>
        <v>0</v>
      </c>
      <c r="J105" s="69">
        <f t="shared" si="6"/>
        <v>0</v>
      </c>
    </row>
    <row r="106" s="45" customFormat="1" ht="12.75" customHeight="1" spans="1:10">
      <c r="A106" s="68"/>
      <c r="B106" s="69"/>
      <c r="C106" s="70"/>
      <c r="D106" s="71">
        <f>'16-6-26'!I106</f>
        <v>0</v>
      </c>
      <c r="E106" s="68"/>
      <c r="F106" s="69"/>
      <c r="G106" s="69"/>
      <c r="H106" s="71">
        <f t="shared" si="4"/>
        <v>0</v>
      </c>
      <c r="I106" s="71">
        <f t="shared" si="5"/>
        <v>0</v>
      </c>
      <c r="J106" s="69">
        <f t="shared" si="6"/>
        <v>0</v>
      </c>
    </row>
    <row r="107" s="45" customFormat="1" ht="12.75" customHeight="1" spans="1:10">
      <c r="A107" s="68"/>
      <c r="B107" s="69"/>
      <c r="C107" s="70"/>
      <c r="D107" s="71">
        <f>'16-6-26'!I107</f>
        <v>0</v>
      </c>
      <c r="E107" s="68"/>
      <c r="F107" s="69"/>
      <c r="G107" s="69"/>
      <c r="H107" s="71">
        <f t="shared" si="4"/>
        <v>0</v>
      </c>
      <c r="I107" s="71">
        <f t="shared" si="5"/>
        <v>0</v>
      </c>
      <c r="J107" s="69">
        <f t="shared" si="6"/>
        <v>0</v>
      </c>
    </row>
    <row r="108" s="45" customFormat="1" ht="12.75" customHeight="1" spans="1:10">
      <c r="A108" s="68"/>
      <c r="B108" s="69"/>
      <c r="C108" s="70"/>
      <c r="D108" s="71">
        <f>'16-6-26'!I108</f>
        <v>0</v>
      </c>
      <c r="E108" s="68"/>
      <c r="F108" s="69"/>
      <c r="G108" s="69"/>
      <c r="H108" s="71">
        <f t="shared" si="4"/>
        <v>0</v>
      </c>
      <c r="I108" s="71">
        <f t="shared" si="5"/>
        <v>0</v>
      </c>
      <c r="J108" s="69">
        <f t="shared" si="6"/>
        <v>0</v>
      </c>
    </row>
    <row r="109" s="45" customFormat="1" ht="12.75" customHeight="1" spans="1:10">
      <c r="A109" s="68"/>
      <c r="B109" s="69"/>
      <c r="C109" s="70"/>
      <c r="D109" s="71">
        <f>'16-6-26'!I109</f>
        <v>0</v>
      </c>
      <c r="E109" s="68"/>
      <c r="F109" s="69"/>
      <c r="G109" s="69"/>
      <c r="H109" s="71">
        <f t="shared" si="4"/>
        <v>0</v>
      </c>
      <c r="I109" s="71">
        <f t="shared" si="5"/>
        <v>0</v>
      </c>
      <c r="J109" s="69">
        <f t="shared" si="6"/>
        <v>0</v>
      </c>
    </row>
    <row r="110" s="45" customFormat="1" ht="12.75" customHeight="1" spans="1:10">
      <c r="A110" s="68"/>
      <c r="B110" s="69"/>
      <c r="C110" s="70"/>
      <c r="D110" s="71">
        <f>'16-6-26'!I110</f>
        <v>0</v>
      </c>
      <c r="E110" s="68"/>
      <c r="F110" s="69"/>
      <c r="G110" s="69"/>
      <c r="H110" s="71">
        <f t="shared" si="4"/>
        <v>0</v>
      </c>
      <c r="I110" s="71">
        <f t="shared" si="5"/>
        <v>0</v>
      </c>
      <c r="J110" s="69">
        <f t="shared" si="6"/>
        <v>0</v>
      </c>
    </row>
    <row r="111" s="45" customFormat="1" ht="12.75" customHeight="1" spans="1:10">
      <c r="A111" s="68"/>
      <c r="B111" s="69"/>
      <c r="C111" s="70"/>
      <c r="D111" s="71">
        <f>'16-6-26'!I111</f>
        <v>0</v>
      </c>
      <c r="E111" s="68"/>
      <c r="F111" s="69"/>
      <c r="G111" s="69"/>
      <c r="H111" s="71">
        <f t="shared" si="4"/>
        <v>0</v>
      </c>
      <c r="I111" s="71">
        <f t="shared" si="5"/>
        <v>0</v>
      </c>
      <c r="J111" s="69">
        <f t="shared" si="6"/>
        <v>0</v>
      </c>
    </row>
    <row r="112" s="45" customFormat="1" ht="12.75" customHeight="1" spans="1:10">
      <c r="A112" s="68"/>
      <c r="B112" s="69"/>
      <c r="C112" s="70"/>
      <c r="D112" s="71">
        <f>'16-6-26'!I112</f>
        <v>0</v>
      </c>
      <c r="E112" s="68"/>
      <c r="F112" s="69"/>
      <c r="G112" s="69"/>
      <c r="H112" s="71">
        <f t="shared" si="4"/>
        <v>0</v>
      </c>
      <c r="I112" s="71">
        <f t="shared" si="5"/>
        <v>0</v>
      </c>
      <c r="J112" s="69">
        <f t="shared" si="6"/>
        <v>0</v>
      </c>
    </row>
    <row r="113" s="45" customFormat="1" ht="12.75" customHeight="1" spans="1:10">
      <c r="A113" s="68"/>
      <c r="B113" s="69"/>
      <c r="C113" s="70"/>
      <c r="D113" s="71">
        <f>'16-6-26'!I113</f>
        <v>0</v>
      </c>
      <c r="E113" s="68"/>
      <c r="F113" s="69"/>
      <c r="G113" s="69"/>
      <c r="H113" s="71">
        <f t="shared" si="4"/>
        <v>0</v>
      </c>
      <c r="I113" s="71">
        <f t="shared" si="5"/>
        <v>0</v>
      </c>
      <c r="J113" s="69">
        <f t="shared" si="6"/>
        <v>0</v>
      </c>
    </row>
    <row r="114" s="45" customFormat="1" ht="12.75" customHeight="1" spans="1:10">
      <c r="A114" s="68"/>
      <c r="B114" s="69"/>
      <c r="C114" s="70"/>
      <c r="D114" s="71">
        <f>'16-6-26'!I114</f>
        <v>0</v>
      </c>
      <c r="E114" s="68"/>
      <c r="F114" s="69"/>
      <c r="G114" s="69"/>
      <c r="H114" s="71">
        <f t="shared" si="4"/>
        <v>0</v>
      </c>
      <c r="I114" s="71">
        <f t="shared" si="5"/>
        <v>0</v>
      </c>
      <c r="J114" s="69">
        <f t="shared" si="6"/>
        <v>0</v>
      </c>
    </row>
    <row r="115" s="45" customFormat="1" ht="12.75" customHeight="1" spans="1:10">
      <c r="A115" s="68"/>
      <c r="B115" s="69"/>
      <c r="C115" s="70"/>
      <c r="D115" s="71">
        <f>'16-6-26'!I115</f>
        <v>0</v>
      </c>
      <c r="E115" s="68"/>
      <c r="F115" s="69"/>
      <c r="G115" s="69"/>
      <c r="H115" s="71">
        <f t="shared" si="4"/>
        <v>0</v>
      </c>
      <c r="I115" s="71">
        <f t="shared" si="5"/>
        <v>0</v>
      </c>
      <c r="J115" s="69">
        <f t="shared" si="6"/>
        <v>0</v>
      </c>
    </row>
    <row r="116" s="45" customFormat="1" ht="12.75" customHeight="1" spans="1:10">
      <c r="A116" s="68"/>
      <c r="B116" s="69"/>
      <c r="C116" s="70"/>
      <c r="D116" s="71">
        <f>'16-6-26'!I116</f>
        <v>0</v>
      </c>
      <c r="E116" s="68"/>
      <c r="F116" s="69"/>
      <c r="G116" s="69"/>
      <c r="H116" s="71">
        <f t="shared" si="4"/>
        <v>0</v>
      </c>
      <c r="I116" s="71">
        <f t="shared" si="5"/>
        <v>0</v>
      </c>
      <c r="J116" s="69">
        <f t="shared" si="6"/>
        <v>0</v>
      </c>
    </row>
    <row r="117" s="45" customFormat="1" ht="12.75" customHeight="1" spans="1:10">
      <c r="A117" s="68"/>
      <c r="B117" s="69"/>
      <c r="C117" s="70"/>
      <c r="D117" s="71">
        <f>'16-6-26'!I117</f>
        <v>0</v>
      </c>
      <c r="E117" s="68"/>
      <c r="F117" s="69"/>
      <c r="G117" s="69"/>
      <c r="H117" s="71">
        <f t="shared" si="4"/>
        <v>0</v>
      </c>
      <c r="I117" s="71">
        <f t="shared" si="5"/>
        <v>0</v>
      </c>
      <c r="J117" s="69">
        <f t="shared" si="6"/>
        <v>0</v>
      </c>
    </row>
    <row r="118" s="45" customFormat="1" ht="12.75" customHeight="1" spans="1:10">
      <c r="A118" s="68"/>
      <c r="B118" s="69"/>
      <c r="C118" s="70"/>
      <c r="D118" s="71">
        <f>'16-6-26'!I118</f>
        <v>0</v>
      </c>
      <c r="E118" s="68"/>
      <c r="F118" s="69"/>
      <c r="G118" s="69"/>
      <c r="H118" s="71">
        <f t="shared" si="4"/>
        <v>0</v>
      </c>
      <c r="I118" s="71">
        <f t="shared" si="5"/>
        <v>0</v>
      </c>
      <c r="J118" s="69">
        <f t="shared" si="6"/>
        <v>0</v>
      </c>
    </row>
    <row r="119" s="45" customFormat="1" ht="12.75" customHeight="1" spans="1:10">
      <c r="A119" s="68"/>
      <c r="B119" s="69"/>
      <c r="C119" s="70"/>
      <c r="D119" s="71">
        <f>'16-6-26'!I119</f>
        <v>0</v>
      </c>
      <c r="E119" s="68"/>
      <c r="F119" s="69"/>
      <c r="G119" s="69"/>
      <c r="H119" s="71">
        <f t="shared" si="4"/>
        <v>0</v>
      </c>
      <c r="I119" s="71">
        <f t="shared" si="5"/>
        <v>0</v>
      </c>
      <c r="J119" s="69">
        <f t="shared" si="6"/>
        <v>0</v>
      </c>
    </row>
    <row r="120" s="45" customFormat="1" ht="12.75" customHeight="1" spans="1:10">
      <c r="A120" s="68"/>
      <c r="B120" s="69"/>
      <c r="C120" s="70"/>
      <c r="D120" s="71">
        <f>'16-6-26'!I120</f>
        <v>0</v>
      </c>
      <c r="E120" s="68"/>
      <c r="F120" s="69"/>
      <c r="G120" s="69"/>
      <c r="H120" s="71">
        <f t="shared" si="4"/>
        <v>0</v>
      </c>
      <c r="I120" s="71">
        <f t="shared" si="5"/>
        <v>0</v>
      </c>
      <c r="J120" s="69">
        <f t="shared" si="6"/>
        <v>0</v>
      </c>
    </row>
    <row r="121" s="45" customFormat="1" ht="12.75" customHeight="1" spans="1:10">
      <c r="A121" s="68"/>
      <c r="B121" s="69"/>
      <c r="C121" s="70"/>
      <c r="D121" s="71">
        <f>'16-6-26'!I121</f>
        <v>0</v>
      </c>
      <c r="E121" s="68"/>
      <c r="F121" s="69"/>
      <c r="G121" s="69"/>
      <c r="H121" s="71">
        <f t="shared" si="4"/>
        <v>0</v>
      </c>
      <c r="I121" s="71">
        <f t="shared" si="5"/>
        <v>0</v>
      </c>
      <c r="J121" s="69">
        <f t="shared" si="6"/>
        <v>0</v>
      </c>
    </row>
    <row r="122" s="45" customFormat="1" ht="12.75" customHeight="1" spans="1:10">
      <c r="A122" s="68"/>
      <c r="B122" s="69"/>
      <c r="C122" s="70"/>
      <c r="D122" s="71">
        <f>'16-6-26'!I122</f>
        <v>0</v>
      </c>
      <c r="E122" s="68"/>
      <c r="F122" s="69"/>
      <c r="G122" s="69"/>
      <c r="H122" s="71">
        <f t="shared" si="4"/>
        <v>0</v>
      </c>
      <c r="I122" s="71">
        <f t="shared" si="5"/>
        <v>0</v>
      </c>
      <c r="J122" s="69">
        <f t="shared" si="6"/>
        <v>0</v>
      </c>
    </row>
    <row r="123" s="45" customFormat="1" ht="12.75" customHeight="1" spans="1:10">
      <c r="A123" s="68"/>
      <c r="B123" s="69"/>
      <c r="C123" s="70"/>
      <c r="D123" s="71">
        <f>'16-6-26'!I123</f>
        <v>0</v>
      </c>
      <c r="E123" s="68"/>
      <c r="F123" s="69"/>
      <c r="G123" s="69"/>
      <c r="H123" s="71">
        <f t="shared" si="4"/>
        <v>0</v>
      </c>
      <c r="I123" s="71">
        <f t="shared" si="5"/>
        <v>0</v>
      </c>
      <c r="J123" s="69">
        <f t="shared" si="6"/>
        <v>0</v>
      </c>
    </row>
    <row r="124" s="45" customFormat="1" ht="12.75" customHeight="1" spans="1:10">
      <c r="A124" s="68"/>
      <c r="B124" s="69"/>
      <c r="C124" s="70"/>
      <c r="D124" s="71">
        <f>'16-6-26'!I124</f>
        <v>0</v>
      </c>
      <c r="E124" s="68"/>
      <c r="F124" s="69"/>
      <c r="G124" s="69"/>
      <c r="H124" s="71">
        <f t="shared" si="4"/>
        <v>0</v>
      </c>
      <c r="I124" s="71">
        <f t="shared" si="5"/>
        <v>0</v>
      </c>
      <c r="J124" s="69">
        <f t="shared" si="6"/>
        <v>0</v>
      </c>
    </row>
    <row r="125" s="45" customFormat="1" ht="12.75" customHeight="1" spans="1:10">
      <c r="A125" s="68"/>
      <c r="B125" s="69"/>
      <c r="C125" s="70"/>
      <c r="D125" s="71">
        <f>'16-6-26'!I125</f>
        <v>0</v>
      </c>
      <c r="E125" s="68"/>
      <c r="F125" s="69"/>
      <c r="G125" s="69"/>
      <c r="H125" s="71">
        <f t="shared" si="4"/>
        <v>0</v>
      </c>
      <c r="I125" s="71">
        <f t="shared" si="5"/>
        <v>0</v>
      </c>
      <c r="J125" s="69">
        <f t="shared" si="6"/>
        <v>0</v>
      </c>
    </row>
    <row r="126" s="45" customFormat="1" ht="12.75" customHeight="1" spans="1:10">
      <c r="A126" s="68"/>
      <c r="B126" s="69"/>
      <c r="C126" s="70"/>
      <c r="D126" s="71">
        <f>'16-6-26'!I126</f>
        <v>0</v>
      </c>
      <c r="E126" s="68"/>
      <c r="F126" s="69"/>
      <c r="G126" s="69"/>
      <c r="H126" s="71">
        <f t="shared" si="4"/>
        <v>0</v>
      </c>
      <c r="I126" s="71">
        <f t="shared" si="5"/>
        <v>0</v>
      </c>
      <c r="J126" s="69">
        <f t="shared" si="6"/>
        <v>0</v>
      </c>
    </row>
    <row r="127" s="45" customFormat="1" ht="12.75" customHeight="1" spans="1:10">
      <c r="A127" s="68"/>
      <c r="B127" s="69"/>
      <c r="C127" s="70"/>
      <c r="D127" s="71">
        <f>'16-6-26'!I127</f>
        <v>0</v>
      </c>
      <c r="E127" s="68"/>
      <c r="F127" s="69"/>
      <c r="G127" s="69"/>
      <c r="H127" s="71">
        <f t="shared" si="4"/>
        <v>0</v>
      </c>
      <c r="I127" s="71">
        <f t="shared" si="5"/>
        <v>0</v>
      </c>
      <c r="J127" s="69">
        <f t="shared" si="6"/>
        <v>0</v>
      </c>
    </row>
    <row r="128" s="45" customFormat="1" ht="12.75" customHeight="1" spans="1:10">
      <c r="A128" s="68"/>
      <c r="B128" s="69"/>
      <c r="C128" s="70"/>
      <c r="D128" s="71">
        <f>'16-6-26'!I128</f>
        <v>0</v>
      </c>
      <c r="E128" s="68"/>
      <c r="F128" s="69"/>
      <c r="G128" s="69"/>
      <c r="H128" s="71">
        <f t="shared" si="4"/>
        <v>0</v>
      </c>
      <c r="I128" s="71">
        <f t="shared" si="5"/>
        <v>0</v>
      </c>
      <c r="J128" s="69">
        <f t="shared" si="6"/>
        <v>0</v>
      </c>
    </row>
    <row r="129" s="45" customFormat="1" ht="12.75" customHeight="1" spans="1:10">
      <c r="A129" s="68"/>
      <c r="B129" s="69"/>
      <c r="C129" s="70"/>
      <c r="D129" s="71">
        <f>'16-6-26'!I129</f>
        <v>0</v>
      </c>
      <c r="E129" s="68"/>
      <c r="F129" s="69"/>
      <c r="G129" s="69"/>
      <c r="H129" s="71">
        <f t="shared" si="4"/>
        <v>0</v>
      </c>
      <c r="I129" s="71">
        <f t="shared" si="5"/>
        <v>0</v>
      </c>
      <c r="J129" s="69">
        <f t="shared" si="6"/>
        <v>0</v>
      </c>
    </row>
    <row r="130" s="45" customFormat="1" ht="12.75" customHeight="1" spans="1:10">
      <c r="A130" s="68"/>
      <c r="B130" s="69"/>
      <c r="C130" s="70"/>
      <c r="D130" s="71">
        <f>'16-6-26'!I130</f>
        <v>0</v>
      </c>
      <c r="E130" s="68"/>
      <c r="F130" s="69"/>
      <c r="G130" s="69"/>
      <c r="H130" s="71">
        <f t="shared" si="4"/>
        <v>0</v>
      </c>
      <c r="I130" s="71">
        <f t="shared" si="5"/>
        <v>0</v>
      </c>
      <c r="J130" s="69">
        <f t="shared" si="6"/>
        <v>0</v>
      </c>
    </row>
    <row r="131" s="45" customFormat="1" ht="12.75" customHeight="1" spans="1:10">
      <c r="A131" s="68"/>
      <c r="B131" s="69"/>
      <c r="C131" s="70"/>
      <c r="D131" s="71">
        <f>'16-6-26'!I131</f>
        <v>0</v>
      </c>
      <c r="E131" s="68"/>
      <c r="F131" s="69"/>
      <c r="G131" s="69"/>
      <c r="H131" s="71">
        <f t="shared" si="4"/>
        <v>0</v>
      </c>
      <c r="I131" s="71">
        <f t="shared" si="5"/>
        <v>0</v>
      </c>
      <c r="J131" s="69">
        <f t="shared" si="6"/>
        <v>0</v>
      </c>
    </row>
    <row r="132" s="45" customFormat="1" ht="12.75" customHeight="1" spans="1:10">
      <c r="A132" s="68"/>
      <c r="B132" s="69"/>
      <c r="C132" s="70"/>
      <c r="D132" s="71">
        <f>'16-6-26'!I132</f>
        <v>0</v>
      </c>
      <c r="E132" s="68"/>
      <c r="F132" s="69"/>
      <c r="G132" s="69"/>
      <c r="H132" s="71">
        <f t="shared" si="4"/>
        <v>0</v>
      </c>
      <c r="I132" s="71">
        <f t="shared" si="5"/>
        <v>0</v>
      </c>
      <c r="J132" s="69">
        <f t="shared" si="6"/>
        <v>0</v>
      </c>
    </row>
    <row r="133" s="45" customFormat="1" ht="12.75" customHeight="1" spans="1:10">
      <c r="A133" s="68"/>
      <c r="B133" s="69"/>
      <c r="C133" s="70"/>
      <c r="D133" s="71">
        <f>'16-6-26'!I133</f>
        <v>0</v>
      </c>
      <c r="E133" s="68"/>
      <c r="F133" s="69"/>
      <c r="G133" s="69"/>
      <c r="H133" s="71">
        <f t="shared" si="4"/>
        <v>0</v>
      </c>
      <c r="I133" s="71">
        <f t="shared" si="5"/>
        <v>0</v>
      </c>
      <c r="J133" s="69">
        <f t="shared" si="6"/>
        <v>0</v>
      </c>
    </row>
    <row r="134" s="45" customFormat="1" ht="12.75" customHeight="1" spans="1:10">
      <c r="A134" s="68"/>
      <c r="B134" s="69"/>
      <c r="C134" s="70"/>
      <c r="D134" s="71">
        <f>'16-6-26'!I134</f>
        <v>0</v>
      </c>
      <c r="E134" s="68"/>
      <c r="F134" s="69"/>
      <c r="G134" s="69"/>
      <c r="H134" s="71">
        <f t="shared" si="4"/>
        <v>0</v>
      </c>
      <c r="I134" s="71">
        <f t="shared" si="5"/>
        <v>0</v>
      </c>
      <c r="J134" s="69">
        <f t="shared" si="6"/>
        <v>0</v>
      </c>
    </row>
    <row r="135" s="45" customFormat="1" ht="12.75" customHeight="1" spans="1:10">
      <c r="A135" s="68"/>
      <c r="B135" s="69"/>
      <c r="C135" s="70"/>
      <c r="D135" s="71">
        <f>'16-6-26'!I135</f>
        <v>0</v>
      </c>
      <c r="E135" s="68"/>
      <c r="F135" s="69"/>
      <c r="G135" s="69"/>
      <c r="H135" s="71">
        <f t="shared" si="4"/>
        <v>0</v>
      </c>
      <c r="I135" s="71">
        <f t="shared" si="5"/>
        <v>0</v>
      </c>
      <c r="J135" s="69">
        <f t="shared" si="6"/>
        <v>0</v>
      </c>
    </row>
    <row r="136" s="45" customFormat="1" ht="12.75" customHeight="1" spans="1:10">
      <c r="A136" s="68"/>
      <c r="B136" s="69"/>
      <c r="C136" s="70"/>
      <c r="D136" s="71">
        <f>'16-6-26'!I136</f>
        <v>0</v>
      </c>
      <c r="E136" s="68"/>
      <c r="F136" s="69"/>
      <c r="G136" s="69"/>
      <c r="H136" s="71">
        <f t="shared" si="4"/>
        <v>0</v>
      </c>
      <c r="I136" s="71">
        <f t="shared" si="5"/>
        <v>0</v>
      </c>
      <c r="J136" s="69">
        <f t="shared" si="6"/>
        <v>0</v>
      </c>
    </row>
    <row r="137" s="45" customFormat="1" ht="12.75" customHeight="1" spans="1:10">
      <c r="A137" s="68"/>
      <c r="B137" s="69"/>
      <c r="C137" s="70"/>
      <c r="D137" s="71">
        <f>'16-6-26'!I137</f>
        <v>0</v>
      </c>
      <c r="E137" s="68"/>
      <c r="F137" s="69"/>
      <c r="G137" s="69"/>
      <c r="H137" s="71">
        <f t="shared" ref="H137:H187" si="7">SUM(F137:G137)</f>
        <v>0</v>
      </c>
      <c r="I137" s="71">
        <f t="shared" ref="I137:I187" si="8">D137-F137</f>
        <v>0</v>
      </c>
      <c r="J137" s="69">
        <f t="shared" ref="J137:J187" si="9">1/10*G137</f>
        <v>0</v>
      </c>
    </row>
    <row r="138" s="45" customFormat="1" ht="12.75" customHeight="1" spans="1:10">
      <c r="A138" s="68"/>
      <c r="B138" s="69"/>
      <c r="C138" s="70"/>
      <c r="D138" s="71">
        <f>'16-6-26'!I138</f>
        <v>0</v>
      </c>
      <c r="E138" s="68"/>
      <c r="F138" s="69"/>
      <c r="G138" s="69"/>
      <c r="H138" s="71">
        <f t="shared" si="7"/>
        <v>0</v>
      </c>
      <c r="I138" s="71">
        <f t="shared" si="8"/>
        <v>0</v>
      </c>
      <c r="J138" s="69">
        <f t="shared" si="9"/>
        <v>0</v>
      </c>
    </row>
    <row r="139" s="45" customFormat="1" ht="12.75" customHeight="1" spans="1:10">
      <c r="A139" s="68"/>
      <c r="B139" s="69"/>
      <c r="C139" s="70"/>
      <c r="D139" s="71">
        <f>'16-6-26'!I139</f>
        <v>0</v>
      </c>
      <c r="E139" s="68"/>
      <c r="F139" s="69"/>
      <c r="G139" s="69"/>
      <c r="H139" s="71">
        <f t="shared" si="7"/>
        <v>0</v>
      </c>
      <c r="I139" s="71">
        <f t="shared" si="8"/>
        <v>0</v>
      </c>
      <c r="J139" s="69">
        <f t="shared" si="9"/>
        <v>0</v>
      </c>
    </row>
    <row r="140" s="45" customFormat="1" ht="12.75" customHeight="1" spans="1:10">
      <c r="A140" s="68"/>
      <c r="B140" s="69"/>
      <c r="C140" s="70"/>
      <c r="D140" s="71">
        <f>'16-6-26'!I140</f>
        <v>0</v>
      </c>
      <c r="E140" s="68"/>
      <c r="F140" s="69"/>
      <c r="G140" s="69"/>
      <c r="H140" s="71">
        <f t="shared" si="7"/>
        <v>0</v>
      </c>
      <c r="I140" s="71">
        <f t="shared" si="8"/>
        <v>0</v>
      </c>
      <c r="J140" s="69">
        <f t="shared" si="9"/>
        <v>0</v>
      </c>
    </row>
    <row r="141" s="45" customFormat="1" ht="12.75" customHeight="1" spans="1:10">
      <c r="A141" s="68"/>
      <c r="B141" s="69"/>
      <c r="C141" s="70"/>
      <c r="D141" s="71">
        <f>'16-6-26'!I141</f>
        <v>0</v>
      </c>
      <c r="E141" s="68"/>
      <c r="F141" s="69"/>
      <c r="G141" s="69"/>
      <c r="H141" s="71">
        <f t="shared" si="7"/>
        <v>0</v>
      </c>
      <c r="I141" s="71">
        <f t="shared" si="8"/>
        <v>0</v>
      </c>
      <c r="J141" s="69">
        <f t="shared" si="9"/>
        <v>0</v>
      </c>
    </row>
    <row r="142" s="45" customFormat="1" ht="12.75" customHeight="1" spans="1:10">
      <c r="A142" s="68"/>
      <c r="B142" s="69"/>
      <c r="C142" s="70"/>
      <c r="D142" s="71">
        <f>'16-6-26'!I142</f>
        <v>0</v>
      </c>
      <c r="E142" s="68"/>
      <c r="F142" s="69"/>
      <c r="G142" s="69"/>
      <c r="H142" s="71">
        <f t="shared" si="7"/>
        <v>0</v>
      </c>
      <c r="I142" s="71">
        <f t="shared" si="8"/>
        <v>0</v>
      </c>
      <c r="J142" s="69">
        <f t="shared" si="9"/>
        <v>0</v>
      </c>
    </row>
    <row r="143" s="45" customFormat="1" ht="12.75" customHeight="1" spans="1:10">
      <c r="A143" s="68"/>
      <c r="B143" s="69"/>
      <c r="C143" s="70"/>
      <c r="D143" s="71">
        <f>'16-6-26'!I143</f>
        <v>0</v>
      </c>
      <c r="E143" s="68"/>
      <c r="F143" s="69"/>
      <c r="G143" s="69"/>
      <c r="H143" s="71">
        <f t="shared" si="7"/>
        <v>0</v>
      </c>
      <c r="I143" s="71">
        <f t="shared" si="8"/>
        <v>0</v>
      </c>
      <c r="J143" s="69">
        <f t="shared" si="9"/>
        <v>0</v>
      </c>
    </row>
    <row r="144" s="45" customFormat="1" ht="12.75" customHeight="1" spans="1:10">
      <c r="A144" s="68"/>
      <c r="B144" s="69"/>
      <c r="C144" s="70"/>
      <c r="D144" s="71">
        <f>'16-6-26'!I144</f>
        <v>0</v>
      </c>
      <c r="E144" s="68"/>
      <c r="F144" s="69"/>
      <c r="G144" s="69"/>
      <c r="H144" s="71">
        <f t="shared" si="7"/>
        <v>0</v>
      </c>
      <c r="I144" s="71">
        <f t="shared" si="8"/>
        <v>0</v>
      </c>
      <c r="J144" s="69">
        <f t="shared" si="9"/>
        <v>0</v>
      </c>
    </row>
    <row r="145" s="45" customFormat="1" ht="12.75" customHeight="1" spans="1:10">
      <c r="A145" s="68"/>
      <c r="B145" s="69"/>
      <c r="C145" s="70"/>
      <c r="D145" s="71">
        <f>'16-6-26'!I145</f>
        <v>0</v>
      </c>
      <c r="E145" s="68"/>
      <c r="F145" s="69"/>
      <c r="G145" s="69"/>
      <c r="H145" s="71">
        <f t="shared" si="7"/>
        <v>0</v>
      </c>
      <c r="I145" s="71">
        <f t="shared" si="8"/>
        <v>0</v>
      </c>
      <c r="J145" s="69">
        <f t="shared" si="9"/>
        <v>0</v>
      </c>
    </row>
    <row r="146" s="45" customFormat="1" ht="12.75" customHeight="1" spans="1:10">
      <c r="A146" s="68"/>
      <c r="B146" s="69"/>
      <c r="C146" s="70"/>
      <c r="D146" s="71">
        <f>'16-6-26'!I146</f>
        <v>0</v>
      </c>
      <c r="E146" s="68"/>
      <c r="F146" s="69"/>
      <c r="G146" s="69"/>
      <c r="H146" s="71">
        <f t="shared" si="7"/>
        <v>0</v>
      </c>
      <c r="I146" s="71">
        <f t="shared" si="8"/>
        <v>0</v>
      </c>
      <c r="J146" s="69">
        <f t="shared" si="9"/>
        <v>0</v>
      </c>
    </row>
    <row r="147" s="45" customFormat="1" ht="12.75" customHeight="1" spans="1:10">
      <c r="A147" s="68"/>
      <c r="B147" s="69"/>
      <c r="C147" s="70"/>
      <c r="D147" s="71">
        <f>'16-6-26'!I147</f>
        <v>0</v>
      </c>
      <c r="E147" s="68"/>
      <c r="F147" s="69"/>
      <c r="G147" s="69"/>
      <c r="H147" s="71">
        <f t="shared" si="7"/>
        <v>0</v>
      </c>
      <c r="I147" s="71">
        <f t="shared" si="8"/>
        <v>0</v>
      </c>
      <c r="J147" s="69">
        <f t="shared" si="9"/>
        <v>0</v>
      </c>
    </row>
    <row r="148" s="45" customFormat="1" ht="12.75" customHeight="1" spans="1:10">
      <c r="A148" s="68"/>
      <c r="B148" s="69"/>
      <c r="C148" s="70"/>
      <c r="D148" s="71">
        <f>'16-6-26'!I148</f>
        <v>0</v>
      </c>
      <c r="E148" s="68"/>
      <c r="F148" s="69"/>
      <c r="G148" s="69"/>
      <c r="H148" s="71">
        <f t="shared" si="7"/>
        <v>0</v>
      </c>
      <c r="I148" s="71">
        <f t="shared" si="8"/>
        <v>0</v>
      </c>
      <c r="J148" s="69">
        <f t="shared" si="9"/>
        <v>0</v>
      </c>
    </row>
    <row r="149" s="45" customFormat="1" ht="12.75" customHeight="1" spans="1:10">
      <c r="A149" s="68"/>
      <c r="B149" s="69"/>
      <c r="C149" s="70"/>
      <c r="D149" s="71">
        <f>'16-6-26'!I149</f>
        <v>0</v>
      </c>
      <c r="E149" s="68"/>
      <c r="F149" s="69"/>
      <c r="G149" s="69"/>
      <c r="H149" s="71">
        <f t="shared" si="7"/>
        <v>0</v>
      </c>
      <c r="I149" s="71">
        <f t="shared" si="8"/>
        <v>0</v>
      </c>
      <c r="J149" s="69">
        <f t="shared" si="9"/>
        <v>0</v>
      </c>
    </row>
    <row r="150" s="45" customFormat="1" ht="12.75" customHeight="1" spans="1:10">
      <c r="A150" s="68"/>
      <c r="B150" s="69"/>
      <c r="C150" s="70"/>
      <c r="D150" s="71">
        <f>'16-6-26'!I150</f>
        <v>0</v>
      </c>
      <c r="E150" s="68"/>
      <c r="F150" s="69"/>
      <c r="G150" s="69"/>
      <c r="H150" s="71">
        <f t="shared" si="7"/>
        <v>0</v>
      </c>
      <c r="I150" s="71">
        <f t="shared" si="8"/>
        <v>0</v>
      </c>
      <c r="J150" s="69">
        <f t="shared" si="9"/>
        <v>0</v>
      </c>
    </row>
    <row r="151" s="45" customFormat="1" ht="12.75" customHeight="1" spans="1:10">
      <c r="A151" s="68"/>
      <c r="B151" s="69"/>
      <c r="C151" s="70"/>
      <c r="D151" s="71">
        <f>'16-6-26'!I151</f>
        <v>0</v>
      </c>
      <c r="E151" s="68"/>
      <c r="F151" s="69"/>
      <c r="G151" s="69"/>
      <c r="H151" s="71">
        <f t="shared" si="7"/>
        <v>0</v>
      </c>
      <c r="I151" s="71">
        <f t="shared" si="8"/>
        <v>0</v>
      </c>
      <c r="J151" s="69">
        <f t="shared" si="9"/>
        <v>0</v>
      </c>
    </row>
    <row r="152" s="45" customFormat="1" ht="12.75" customHeight="1" spans="1:10">
      <c r="A152" s="68"/>
      <c r="B152" s="69"/>
      <c r="C152" s="70"/>
      <c r="D152" s="71">
        <f>'16-6-26'!I152</f>
        <v>0</v>
      </c>
      <c r="E152" s="68"/>
      <c r="F152" s="69"/>
      <c r="G152" s="69"/>
      <c r="H152" s="71">
        <f t="shared" si="7"/>
        <v>0</v>
      </c>
      <c r="I152" s="71">
        <f t="shared" si="8"/>
        <v>0</v>
      </c>
      <c r="J152" s="69">
        <f t="shared" si="9"/>
        <v>0</v>
      </c>
    </row>
    <row r="153" s="45" customFormat="1" ht="12.75" customHeight="1" spans="1:10">
      <c r="A153" s="68"/>
      <c r="B153" s="69"/>
      <c r="C153" s="70"/>
      <c r="D153" s="71">
        <f>'16-6-26'!I153</f>
        <v>0</v>
      </c>
      <c r="E153" s="68"/>
      <c r="F153" s="69"/>
      <c r="G153" s="69"/>
      <c r="H153" s="71">
        <f t="shared" si="7"/>
        <v>0</v>
      </c>
      <c r="I153" s="71">
        <f t="shared" si="8"/>
        <v>0</v>
      </c>
      <c r="J153" s="69">
        <f t="shared" si="9"/>
        <v>0</v>
      </c>
    </row>
    <row r="154" s="45" customFormat="1" ht="12.75" customHeight="1" spans="1:10">
      <c r="A154" s="68"/>
      <c r="B154" s="69"/>
      <c r="C154" s="70"/>
      <c r="D154" s="71">
        <f>'16-6-26'!I154</f>
        <v>0</v>
      </c>
      <c r="E154" s="68"/>
      <c r="F154" s="69"/>
      <c r="G154" s="69"/>
      <c r="H154" s="71">
        <f t="shared" si="7"/>
        <v>0</v>
      </c>
      <c r="I154" s="71">
        <f t="shared" si="8"/>
        <v>0</v>
      </c>
      <c r="J154" s="69">
        <f t="shared" si="9"/>
        <v>0</v>
      </c>
    </row>
    <row r="155" s="45" customFormat="1" ht="12.75" customHeight="1" spans="1:10">
      <c r="A155" s="68"/>
      <c r="B155" s="69"/>
      <c r="C155" s="70"/>
      <c r="D155" s="71">
        <f>'16-6-26'!I155</f>
        <v>0</v>
      </c>
      <c r="E155" s="68"/>
      <c r="F155" s="69"/>
      <c r="G155" s="69"/>
      <c r="H155" s="71">
        <f t="shared" si="7"/>
        <v>0</v>
      </c>
      <c r="I155" s="71">
        <f t="shared" si="8"/>
        <v>0</v>
      </c>
      <c r="J155" s="69">
        <f t="shared" si="9"/>
        <v>0</v>
      </c>
    </row>
    <row r="156" s="45" customFormat="1" ht="12.75" customHeight="1" spans="1:10">
      <c r="A156" s="68"/>
      <c r="B156" s="69"/>
      <c r="C156" s="70"/>
      <c r="D156" s="71">
        <f>'16-6-26'!I156</f>
        <v>0</v>
      </c>
      <c r="E156" s="68"/>
      <c r="F156" s="69"/>
      <c r="G156" s="69"/>
      <c r="H156" s="71">
        <f t="shared" si="7"/>
        <v>0</v>
      </c>
      <c r="I156" s="71">
        <f t="shared" si="8"/>
        <v>0</v>
      </c>
      <c r="J156" s="69">
        <f t="shared" si="9"/>
        <v>0</v>
      </c>
    </row>
    <row r="157" s="45" customFormat="1" ht="12.75" customHeight="1" spans="1:10">
      <c r="A157" s="68"/>
      <c r="B157" s="69"/>
      <c r="C157" s="70"/>
      <c r="D157" s="71">
        <f>'16-6-26'!I157</f>
        <v>0</v>
      </c>
      <c r="E157" s="68"/>
      <c r="F157" s="69"/>
      <c r="G157" s="69"/>
      <c r="H157" s="71">
        <f t="shared" si="7"/>
        <v>0</v>
      </c>
      <c r="I157" s="71">
        <f t="shared" si="8"/>
        <v>0</v>
      </c>
      <c r="J157" s="69">
        <f t="shared" si="9"/>
        <v>0</v>
      </c>
    </row>
    <row r="158" s="45" customFormat="1" ht="12.75" customHeight="1" spans="1:10">
      <c r="A158" s="68"/>
      <c r="B158" s="69"/>
      <c r="C158" s="70"/>
      <c r="D158" s="71">
        <f>'16-6-26'!I158</f>
        <v>0</v>
      </c>
      <c r="E158" s="68"/>
      <c r="F158" s="69"/>
      <c r="G158" s="69"/>
      <c r="H158" s="71">
        <f t="shared" si="7"/>
        <v>0</v>
      </c>
      <c r="I158" s="71">
        <f t="shared" si="8"/>
        <v>0</v>
      </c>
      <c r="J158" s="69">
        <f t="shared" si="9"/>
        <v>0</v>
      </c>
    </row>
    <row r="159" s="45" customFormat="1" ht="12.75" customHeight="1" spans="1:10">
      <c r="A159" s="68"/>
      <c r="B159" s="69"/>
      <c r="C159" s="70"/>
      <c r="D159" s="71">
        <f>'16-6-26'!I159</f>
        <v>0</v>
      </c>
      <c r="E159" s="68"/>
      <c r="F159" s="69"/>
      <c r="G159" s="69"/>
      <c r="H159" s="71">
        <f t="shared" si="7"/>
        <v>0</v>
      </c>
      <c r="I159" s="71">
        <f t="shared" si="8"/>
        <v>0</v>
      </c>
      <c r="J159" s="69">
        <f t="shared" si="9"/>
        <v>0</v>
      </c>
    </row>
    <row r="160" s="45" customFormat="1" ht="12.75" customHeight="1" spans="1:10">
      <c r="A160" s="68"/>
      <c r="B160" s="69"/>
      <c r="C160" s="70"/>
      <c r="D160" s="71">
        <f>'16-6-26'!I160</f>
        <v>0</v>
      </c>
      <c r="E160" s="68"/>
      <c r="F160" s="69"/>
      <c r="G160" s="69"/>
      <c r="H160" s="71">
        <f t="shared" si="7"/>
        <v>0</v>
      </c>
      <c r="I160" s="71">
        <f t="shared" si="8"/>
        <v>0</v>
      </c>
      <c r="J160" s="69">
        <f t="shared" si="9"/>
        <v>0</v>
      </c>
    </row>
    <row r="161" s="45" customFormat="1" ht="12.75" customHeight="1" spans="1:10">
      <c r="A161" s="68"/>
      <c r="B161" s="69"/>
      <c r="C161" s="70"/>
      <c r="D161" s="71">
        <f>'16-6-26'!I161</f>
        <v>0</v>
      </c>
      <c r="E161" s="68"/>
      <c r="F161" s="69"/>
      <c r="G161" s="69"/>
      <c r="H161" s="71">
        <f t="shared" si="7"/>
        <v>0</v>
      </c>
      <c r="I161" s="71">
        <f t="shared" si="8"/>
        <v>0</v>
      </c>
      <c r="J161" s="69">
        <f t="shared" si="9"/>
        <v>0</v>
      </c>
    </row>
    <row r="162" s="45" customFormat="1" ht="12.75" customHeight="1" spans="1:10">
      <c r="A162" s="68"/>
      <c r="B162" s="69"/>
      <c r="C162" s="70"/>
      <c r="D162" s="71">
        <f>'16-6-26'!I162</f>
        <v>0</v>
      </c>
      <c r="E162" s="68"/>
      <c r="F162" s="69"/>
      <c r="G162" s="69"/>
      <c r="H162" s="71">
        <f t="shared" si="7"/>
        <v>0</v>
      </c>
      <c r="I162" s="71">
        <f t="shared" si="8"/>
        <v>0</v>
      </c>
      <c r="J162" s="69">
        <f t="shared" si="9"/>
        <v>0</v>
      </c>
    </row>
    <row r="163" s="45" customFormat="1" ht="12.75" customHeight="1" spans="1:10">
      <c r="A163" s="68"/>
      <c r="B163" s="69"/>
      <c r="C163" s="70"/>
      <c r="D163" s="71">
        <f>'16-6-26'!I163</f>
        <v>0</v>
      </c>
      <c r="E163" s="68"/>
      <c r="F163" s="69"/>
      <c r="G163" s="69"/>
      <c r="H163" s="71">
        <f t="shared" si="7"/>
        <v>0</v>
      </c>
      <c r="I163" s="71">
        <f t="shared" si="8"/>
        <v>0</v>
      </c>
      <c r="J163" s="69">
        <f t="shared" si="9"/>
        <v>0</v>
      </c>
    </row>
    <row r="164" s="45" customFormat="1" ht="12.75" customHeight="1" spans="1:10">
      <c r="A164" s="68"/>
      <c r="B164" s="69"/>
      <c r="C164" s="70"/>
      <c r="D164" s="71">
        <f>'16-6-26'!I164</f>
        <v>0</v>
      </c>
      <c r="E164" s="68"/>
      <c r="F164" s="69"/>
      <c r="G164" s="69"/>
      <c r="H164" s="71">
        <f t="shared" si="7"/>
        <v>0</v>
      </c>
      <c r="I164" s="71">
        <f t="shared" si="8"/>
        <v>0</v>
      </c>
      <c r="J164" s="69">
        <f t="shared" si="9"/>
        <v>0</v>
      </c>
    </row>
    <row r="165" s="45" customFormat="1" ht="12.75" customHeight="1" spans="1:10">
      <c r="A165" s="68"/>
      <c r="B165" s="69"/>
      <c r="C165" s="70"/>
      <c r="D165" s="71">
        <f>'16-6-26'!I165</f>
        <v>0</v>
      </c>
      <c r="E165" s="68"/>
      <c r="F165" s="69"/>
      <c r="G165" s="69"/>
      <c r="H165" s="71">
        <f t="shared" si="7"/>
        <v>0</v>
      </c>
      <c r="I165" s="71">
        <f t="shared" si="8"/>
        <v>0</v>
      </c>
      <c r="J165" s="69">
        <f t="shared" si="9"/>
        <v>0</v>
      </c>
    </row>
    <row r="166" s="45" customFormat="1" ht="12.75" customHeight="1" spans="1:10">
      <c r="A166" s="68"/>
      <c r="B166" s="69"/>
      <c r="C166" s="70"/>
      <c r="D166" s="71">
        <f>'16-6-26'!I166</f>
        <v>0</v>
      </c>
      <c r="E166" s="68"/>
      <c r="F166" s="69"/>
      <c r="G166" s="69"/>
      <c r="H166" s="71">
        <f t="shared" si="7"/>
        <v>0</v>
      </c>
      <c r="I166" s="71">
        <f t="shared" si="8"/>
        <v>0</v>
      </c>
      <c r="J166" s="69">
        <f t="shared" si="9"/>
        <v>0</v>
      </c>
    </row>
    <row r="167" s="45" customFormat="1" ht="12.75" customHeight="1" spans="1:10">
      <c r="A167" s="68"/>
      <c r="B167" s="69"/>
      <c r="C167" s="70"/>
      <c r="D167" s="71">
        <f>'16-6-26'!I167</f>
        <v>0</v>
      </c>
      <c r="E167" s="68"/>
      <c r="F167" s="69"/>
      <c r="G167" s="69"/>
      <c r="H167" s="71">
        <f t="shared" si="7"/>
        <v>0</v>
      </c>
      <c r="I167" s="71">
        <f t="shared" si="8"/>
        <v>0</v>
      </c>
      <c r="J167" s="69">
        <f t="shared" si="9"/>
        <v>0</v>
      </c>
    </row>
    <row r="168" s="45" customFormat="1" ht="12.75" customHeight="1" spans="1:10">
      <c r="A168" s="68"/>
      <c r="B168" s="69"/>
      <c r="C168" s="70"/>
      <c r="D168" s="71">
        <f>'16-6-26'!I168</f>
        <v>0</v>
      </c>
      <c r="E168" s="68"/>
      <c r="F168" s="69"/>
      <c r="G168" s="69"/>
      <c r="H168" s="71">
        <f t="shared" si="7"/>
        <v>0</v>
      </c>
      <c r="I168" s="71">
        <f t="shared" si="8"/>
        <v>0</v>
      </c>
      <c r="J168" s="69">
        <f t="shared" si="9"/>
        <v>0</v>
      </c>
    </row>
    <row r="169" s="45" customFormat="1" ht="12.75" customHeight="1" spans="1:10">
      <c r="A169" s="68"/>
      <c r="B169" s="69"/>
      <c r="C169" s="70"/>
      <c r="D169" s="71">
        <f>'16-6-26'!I169</f>
        <v>0</v>
      </c>
      <c r="E169" s="68"/>
      <c r="F169" s="69"/>
      <c r="G169" s="69"/>
      <c r="H169" s="71">
        <f t="shared" si="7"/>
        <v>0</v>
      </c>
      <c r="I169" s="71">
        <f t="shared" si="8"/>
        <v>0</v>
      </c>
      <c r="J169" s="69">
        <f t="shared" si="9"/>
        <v>0</v>
      </c>
    </row>
    <row r="170" s="45" customFormat="1" ht="12.75" customHeight="1" spans="1:10">
      <c r="A170" s="68"/>
      <c r="B170" s="69"/>
      <c r="C170" s="70"/>
      <c r="D170" s="71">
        <f>'16-6-26'!I170</f>
        <v>0</v>
      </c>
      <c r="E170" s="68"/>
      <c r="F170" s="69"/>
      <c r="G170" s="69"/>
      <c r="H170" s="71">
        <f t="shared" si="7"/>
        <v>0</v>
      </c>
      <c r="I170" s="71">
        <f t="shared" si="8"/>
        <v>0</v>
      </c>
      <c r="J170" s="69">
        <f t="shared" si="9"/>
        <v>0</v>
      </c>
    </row>
    <row r="171" s="45" customFormat="1" ht="12.75" customHeight="1" spans="1:10">
      <c r="A171" s="68"/>
      <c r="B171" s="69"/>
      <c r="C171" s="70"/>
      <c r="D171" s="71">
        <f>'16-6-26'!I171</f>
        <v>0</v>
      </c>
      <c r="E171" s="68"/>
      <c r="F171" s="69"/>
      <c r="G171" s="69"/>
      <c r="H171" s="71">
        <f t="shared" si="7"/>
        <v>0</v>
      </c>
      <c r="I171" s="71">
        <f t="shared" si="8"/>
        <v>0</v>
      </c>
      <c r="J171" s="69">
        <f t="shared" si="9"/>
        <v>0</v>
      </c>
    </row>
    <row r="172" s="45" customFormat="1" ht="12.75" customHeight="1" spans="1:10">
      <c r="A172" s="68"/>
      <c r="B172" s="69"/>
      <c r="C172" s="70"/>
      <c r="D172" s="71">
        <f>'16-6-26'!I172</f>
        <v>0</v>
      </c>
      <c r="E172" s="68"/>
      <c r="F172" s="69"/>
      <c r="G172" s="69"/>
      <c r="H172" s="71">
        <f t="shared" si="7"/>
        <v>0</v>
      </c>
      <c r="I172" s="71">
        <f t="shared" si="8"/>
        <v>0</v>
      </c>
      <c r="J172" s="69">
        <f t="shared" si="9"/>
        <v>0</v>
      </c>
    </row>
    <row r="173" s="45" customFormat="1" ht="12.75" customHeight="1" spans="1:10">
      <c r="A173" s="68"/>
      <c r="B173" s="69"/>
      <c r="C173" s="70"/>
      <c r="D173" s="71">
        <f>'16-6-26'!I173</f>
        <v>0</v>
      </c>
      <c r="E173" s="68"/>
      <c r="F173" s="69"/>
      <c r="G173" s="69"/>
      <c r="H173" s="71">
        <f t="shared" si="7"/>
        <v>0</v>
      </c>
      <c r="I173" s="71">
        <f t="shared" si="8"/>
        <v>0</v>
      </c>
      <c r="J173" s="69">
        <f t="shared" si="9"/>
        <v>0</v>
      </c>
    </row>
    <row r="174" s="45" customFormat="1" ht="12.75" customHeight="1" spans="1:10">
      <c r="A174" s="68"/>
      <c r="B174" s="69"/>
      <c r="C174" s="70"/>
      <c r="D174" s="71">
        <f>'16-6-26'!I174</f>
        <v>0</v>
      </c>
      <c r="E174" s="68"/>
      <c r="F174" s="69"/>
      <c r="G174" s="69"/>
      <c r="H174" s="71">
        <f t="shared" si="7"/>
        <v>0</v>
      </c>
      <c r="I174" s="71">
        <f t="shared" si="8"/>
        <v>0</v>
      </c>
      <c r="J174" s="69">
        <f t="shared" si="9"/>
        <v>0</v>
      </c>
    </row>
    <row r="175" s="45" customFormat="1" ht="12.75" customHeight="1" spans="1:10">
      <c r="A175" s="68"/>
      <c r="B175" s="69"/>
      <c r="C175" s="70"/>
      <c r="D175" s="71">
        <f>'16-6-26'!I175</f>
        <v>0</v>
      </c>
      <c r="E175" s="68"/>
      <c r="F175" s="69"/>
      <c r="G175" s="69"/>
      <c r="H175" s="71">
        <f t="shared" si="7"/>
        <v>0</v>
      </c>
      <c r="I175" s="71">
        <f t="shared" si="8"/>
        <v>0</v>
      </c>
      <c r="J175" s="69">
        <f t="shared" si="9"/>
        <v>0</v>
      </c>
    </row>
    <row r="176" s="45" customFormat="1" ht="12.75" customHeight="1" spans="1:10">
      <c r="A176" s="68"/>
      <c r="B176" s="69"/>
      <c r="C176" s="70"/>
      <c r="D176" s="71">
        <f>'16-6-26'!I176</f>
        <v>0</v>
      </c>
      <c r="E176" s="68"/>
      <c r="F176" s="69"/>
      <c r="G176" s="69"/>
      <c r="H176" s="71">
        <f t="shared" si="7"/>
        <v>0</v>
      </c>
      <c r="I176" s="71">
        <f t="shared" si="8"/>
        <v>0</v>
      </c>
      <c r="J176" s="69">
        <f t="shared" si="9"/>
        <v>0</v>
      </c>
    </row>
    <row r="177" s="45" customFormat="1" ht="12.75" customHeight="1" spans="1:11">
      <c r="A177" s="68"/>
      <c r="B177" s="69"/>
      <c r="C177" s="70"/>
      <c r="D177" s="71">
        <f>'16-6-26'!I177</f>
        <v>0</v>
      </c>
      <c r="E177" s="68"/>
      <c r="F177" s="69"/>
      <c r="G177" s="69"/>
      <c r="H177" s="71">
        <f t="shared" si="7"/>
        <v>0</v>
      </c>
      <c r="I177" s="71">
        <f t="shared" si="8"/>
        <v>0</v>
      </c>
      <c r="J177" s="69">
        <f t="shared" si="9"/>
        <v>0</v>
      </c>
    </row>
    <row r="178" s="45" customFormat="1" ht="12.75" customHeight="1" spans="1:11">
      <c r="A178" s="68"/>
      <c r="B178" s="69"/>
      <c r="C178" s="70"/>
      <c r="D178" s="71">
        <f>'16-6-26'!I178</f>
        <v>0</v>
      </c>
      <c r="E178" s="68"/>
      <c r="F178" s="69"/>
      <c r="G178" s="69"/>
      <c r="H178" s="71">
        <f t="shared" si="7"/>
        <v>0</v>
      </c>
      <c r="I178" s="71">
        <f t="shared" si="8"/>
        <v>0</v>
      </c>
      <c r="J178" s="69">
        <f t="shared" si="9"/>
        <v>0</v>
      </c>
    </row>
    <row r="179" s="45" customFormat="1" ht="12.75" customHeight="1" spans="1:11">
      <c r="A179" s="68"/>
      <c r="B179" s="69"/>
      <c r="C179" s="70"/>
      <c r="D179" s="71">
        <f>'16-6-26'!I179</f>
        <v>0</v>
      </c>
      <c r="E179" s="68"/>
      <c r="F179" s="69"/>
      <c r="G179" s="69"/>
      <c r="H179" s="71">
        <f t="shared" si="7"/>
        <v>0</v>
      </c>
      <c r="I179" s="71">
        <f t="shared" si="8"/>
        <v>0</v>
      </c>
      <c r="J179" s="69">
        <f t="shared" si="9"/>
        <v>0</v>
      </c>
    </row>
    <row r="180" s="45" customFormat="1" ht="12.75" customHeight="1" spans="1:11">
      <c r="A180" s="68"/>
      <c r="B180" s="69"/>
      <c r="C180" s="70"/>
      <c r="D180" s="71">
        <f>'16-6-26'!I180</f>
        <v>0</v>
      </c>
      <c r="E180" s="68"/>
      <c r="F180" s="69"/>
      <c r="G180" s="69"/>
      <c r="H180" s="71">
        <f t="shared" si="7"/>
        <v>0</v>
      </c>
      <c r="I180" s="71">
        <f t="shared" si="8"/>
        <v>0</v>
      </c>
      <c r="J180" s="69">
        <f t="shared" si="9"/>
        <v>0</v>
      </c>
    </row>
    <row r="181" s="45" customFormat="1" ht="12.75" customHeight="1" spans="1:11">
      <c r="A181" s="68"/>
      <c r="B181" s="69"/>
      <c r="C181" s="70"/>
      <c r="D181" s="71">
        <f>'16-6-26'!I181</f>
        <v>0</v>
      </c>
      <c r="E181" s="68"/>
      <c r="F181" s="69"/>
      <c r="G181" s="69"/>
      <c r="H181" s="71">
        <f t="shared" si="7"/>
        <v>0</v>
      </c>
      <c r="I181" s="71">
        <f t="shared" si="8"/>
        <v>0</v>
      </c>
      <c r="J181" s="69">
        <f t="shared" si="9"/>
        <v>0</v>
      </c>
    </row>
    <row r="182" s="45" customFormat="1" ht="12.75" customHeight="1" spans="1:11">
      <c r="A182" s="68"/>
      <c r="B182" s="69"/>
      <c r="C182" s="70"/>
      <c r="D182" s="71">
        <f>'16-6-26'!I182</f>
        <v>0</v>
      </c>
      <c r="E182" s="68"/>
      <c r="F182" s="69"/>
      <c r="G182" s="69"/>
      <c r="H182" s="71">
        <f t="shared" si="7"/>
        <v>0</v>
      </c>
      <c r="I182" s="71">
        <f t="shared" si="8"/>
        <v>0</v>
      </c>
      <c r="J182" s="69">
        <f t="shared" si="9"/>
        <v>0</v>
      </c>
    </row>
    <row r="183" s="45" customFormat="1" ht="12.75" customHeight="1" spans="1:11">
      <c r="A183" s="68"/>
      <c r="B183" s="69"/>
      <c r="C183" s="70"/>
      <c r="D183" s="71">
        <f>'16-6-26'!I183</f>
        <v>0</v>
      </c>
      <c r="E183" s="68"/>
      <c r="F183" s="69"/>
      <c r="G183" s="69"/>
      <c r="H183" s="71">
        <f t="shared" si="7"/>
        <v>0</v>
      </c>
      <c r="I183" s="71">
        <f t="shared" si="8"/>
        <v>0</v>
      </c>
      <c r="J183" s="69">
        <f t="shared" si="9"/>
        <v>0</v>
      </c>
    </row>
    <row r="184" s="45" customFormat="1" ht="12.75" customHeight="1" spans="1:11">
      <c r="A184" s="68"/>
      <c r="B184" s="69"/>
      <c r="C184" s="70"/>
      <c r="D184" s="71">
        <f>'16-6-26'!I184</f>
        <v>0</v>
      </c>
      <c r="E184" s="68"/>
      <c r="F184" s="69"/>
      <c r="G184" s="69"/>
      <c r="H184" s="71">
        <f t="shared" si="7"/>
        <v>0</v>
      </c>
      <c r="I184" s="71">
        <f t="shared" si="8"/>
        <v>0</v>
      </c>
      <c r="J184" s="69">
        <f t="shared" si="9"/>
        <v>0</v>
      </c>
    </row>
    <row r="185" s="45" customFormat="1" ht="12.75" customHeight="1" spans="1:11">
      <c r="A185" s="68"/>
      <c r="B185" s="69"/>
      <c r="C185" s="70"/>
      <c r="D185" s="71">
        <f>'16-6-26'!I185</f>
        <v>0</v>
      </c>
      <c r="E185" s="68"/>
      <c r="F185" s="69"/>
      <c r="G185" s="69"/>
      <c r="H185" s="71">
        <f t="shared" si="7"/>
        <v>0</v>
      </c>
      <c r="I185" s="71">
        <f t="shared" si="8"/>
        <v>0</v>
      </c>
      <c r="J185" s="69">
        <f t="shared" si="9"/>
        <v>0</v>
      </c>
    </row>
    <row r="186" s="45" customFormat="1" ht="12.75" customHeight="1" spans="1:11">
      <c r="A186" s="68"/>
      <c r="B186" s="69"/>
      <c r="C186" s="70"/>
      <c r="D186" s="71">
        <f>'16-6-26'!I186</f>
        <v>0</v>
      </c>
      <c r="E186" s="68"/>
      <c r="F186" s="69"/>
      <c r="G186" s="69"/>
      <c r="H186" s="71">
        <f t="shared" si="7"/>
        <v>0</v>
      </c>
      <c r="I186" s="71">
        <f t="shared" si="8"/>
        <v>0</v>
      </c>
      <c r="J186" s="69">
        <f t="shared" si="9"/>
        <v>0</v>
      </c>
    </row>
    <row r="187" s="45" customFormat="1" ht="12.75" spans="1:11">
      <c r="A187" s="68"/>
      <c r="B187" s="69"/>
      <c r="C187" s="74"/>
      <c r="D187" s="71">
        <f>'16-6-26'!I187</f>
        <v>0</v>
      </c>
      <c r="E187" s="68"/>
      <c r="F187" s="69"/>
      <c r="G187" s="69"/>
      <c r="H187" s="71">
        <f t="shared" si="7"/>
        <v>0</v>
      </c>
      <c r="I187" s="71">
        <f t="shared" si="8"/>
        <v>0</v>
      </c>
      <c r="J187" s="69">
        <f t="shared" si="9"/>
        <v>0</v>
      </c>
    </row>
    <row r="188" s="45" customFormat="1" ht="12.75" spans="1:11">
      <c r="A188" s="75"/>
      <c r="B188" s="76" t="s">
        <v>124</v>
      </c>
      <c r="C188" s="77"/>
      <c r="D188" s="78">
        <f t="shared" ref="D188:J188" si="10">SUM(D9:D187)</f>
        <v>474707000</v>
      </c>
      <c r="E188" s="79">
        <f t="shared" si="10"/>
        <v>96</v>
      </c>
      <c r="F188" s="78">
        <f t="shared" si="10"/>
        <v>4050000</v>
      </c>
      <c r="G188" s="78">
        <f t="shared" si="10"/>
        <v>5670000</v>
      </c>
      <c r="H188" s="78">
        <f t="shared" si="10"/>
        <v>9720000</v>
      </c>
      <c r="I188" s="78">
        <f t="shared" si="10"/>
        <v>470657000</v>
      </c>
      <c r="J188" s="78">
        <f t="shared" si="10"/>
        <v>567000</v>
      </c>
    </row>
    <row r="189" s="45" customFormat="1" ht="12.75" spans="1:11">
      <c r="A189" s="80"/>
      <c r="B189" s="80"/>
      <c r="C189" s="81"/>
      <c r="E189" s="47"/>
    </row>
    <row r="190" s="45" customFormat="1" customHeight="1" spans="1:11">
      <c r="A190" s="82"/>
      <c r="B190" s="80" t="s">
        <v>125</v>
      </c>
      <c r="C190" s="83" t="s">
        <v>126</v>
      </c>
      <c r="D190" s="84"/>
      <c r="E190" s="47"/>
      <c r="K190" s="82"/>
    </row>
    <row r="191" s="45" customFormat="1" customHeight="1" spans="1:11">
      <c r="A191" s="82"/>
      <c r="B191" s="80" t="s">
        <v>127</v>
      </c>
      <c r="C191" s="83" t="s">
        <v>128</v>
      </c>
      <c r="D191" s="80">
        <f>G188</f>
        <v>5670000</v>
      </c>
      <c r="E191" s="47"/>
      <c r="F191" s="129" t="s">
        <v>229</v>
      </c>
      <c r="G191" s="80"/>
      <c r="H191" s="80"/>
      <c r="I191" s="80"/>
      <c r="K191" s="82"/>
    </row>
    <row r="192" s="45" customFormat="1" customHeight="1" spans="1:11">
      <c r="A192" s="82"/>
      <c r="B192" s="80" t="s">
        <v>130</v>
      </c>
      <c r="C192" s="83" t="s">
        <v>128</v>
      </c>
      <c r="D192" s="80">
        <f>D191/20</f>
        <v>283500</v>
      </c>
      <c r="E192" s="47"/>
      <c r="F192" s="80" t="s">
        <v>131</v>
      </c>
      <c r="G192" s="80"/>
      <c r="H192" s="80"/>
      <c r="I192" s="80"/>
      <c r="K192" s="82" t="s">
        <v>197</v>
      </c>
    </row>
    <row r="193" s="45" customFormat="1" customHeight="1" spans="1:11">
      <c r="A193" s="82"/>
      <c r="B193" s="80" t="s">
        <v>132</v>
      </c>
      <c r="C193" s="83" t="s">
        <v>133</v>
      </c>
      <c r="D193" s="80"/>
      <c r="E193" s="47"/>
      <c r="F193" s="80" t="s">
        <v>134</v>
      </c>
      <c r="G193" s="86"/>
      <c r="H193" s="80" t="s">
        <v>135</v>
      </c>
      <c r="K193" s="82"/>
    </row>
    <row r="194" s="45" customFormat="1" customHeight="1" spans="1:11">
      <c r="A194" s="82"/>
      <c r="B194" s="80" t="s">
        <v>136</v>
      </c>
      <c r="C194" s="83" t="s">
        <v>128</v>
      </c>
      <c r="D194" s="80">
        <f>11*D192</f>
        <v>3118500</v>
      </c>
      <c r="E194" s="47"/>
      <c r="F194" s="80"/>
      <c r="G194" s="86"/>
      <c r="H194" s="80"/>
      <c r="K194" s="82"/>
    </row>
    <row r="195" s="45" customFormat="1" customHeight="1" spans="1:11">
      <c r="A195" s="82"/>
      <c r="B195" s="80" t="s">
        <v>137</v>
      </c>
      <c r="C195" s="83" t="s">
        <v>128</v>
      </c>
      <c r="D195" s="80">
        <f>1/2*D192</f>
        <v>141750</v>
      </c>
      <c r="E195" s="47"/>
      <c r="F195" s="80"/>
      <c r="G195" s="86"/>
      <c r="H195" s="80"/>
      <c r="K195" s="82"/>
    </row>
    <row r="196" s="45" customFormat="1" customHeight="1" spans="1:11">
      <c r="A196" s="82"/>
      <c r="B196" s="80" t="s">
        <v>138</v>
      </c>
      <c r="C196" s="83" t="s">
        <v>128</v>
      </c>
      <c r="D196" s="80">
        <f>1/2*D192</f>
        <v>141750</v>
      </c>
      <c r="E196" s="47"/>
      <c r="F196" s="80"/>
      <c r="G196" s="86"/>
      <c r="H196" s="80"/>
      <c r="K196" s="82"/>
    </row>
    <row r="197" s="45" customFormat="1" customHeight="1" spans="1:11">
      <c r="B197" s="80" t="s">
        <v>139</v>
      </c>
      <c r="C197" s="83" t="s">
        <v>128</v>
      </c>
      <c r="D197" s="80">
        <f>1/2*D192</f>
        <v>141750</v>
      </c>
      <c r="E197" s="47"/>
      <c r="F197" s="80"/>
      <c r="G197" s="86"/>
      <c r="H197" s="80"/>
    </row>
    <row r="198" s="45" customFormat="1" customHeight="1" spans="1:11">
      <c r="B198" s="80" t="s">
        <v>140</v>
      </c>
      <c r="C198" s="83" t="s">
        <v>128</v>
      </c>
      <c r="D198" s="80">
        <f>1/2*D192</f>
        <v>141750</v>
      </c>
      <c r="E198" s="47"/>
      <c r="F198" s="80" t="s">
        <v>141</v>
      </c>
      <c r="G198" s="86"/>
      <c r="H198" s="80" t="s">
        <v>142</v>
      </c>
    </row>
    <row r="199" s="45" customFormat="1" customHeight="1" spans="1:11">
      <c r="B199" s="80" t="s">
        <v>10</v>
      </c>
      <c r="C199" s="83" t="s">
        <v>128</v>
      </c>
      <c r="D199" s="80">
        <f>2*D192</f>
        <v>567000</v>
      </c>
      <c r="E199" s="47"/>
      <c r="G199" s="80"/>
      <c r="H199" s="80"/>
      <c r="I199" s="80"/>
    </row>
    <row r="200" s="45" customFormat="1" customHeight="1" spans="1:11">
      <c r="B200" s="80" t="s">
        <v>143</v>
      </c>
      <c r="C200" s="83" t="s">
        <v>128</v>
      </c>
      <c r="D200" s="80">
        <f>5*D192</f>
        <v>1417500</v>
      </c>
      <c r="E200" s="47"/>
    </row>
    <row r="201" s="45" customFormat="1" customHeight="1" spans="1:11">
      <c r="B201" s="87" t="s">
        <v>124</v>
      </c>
      <c r="C201" s="88" t="s">
        <v>128</v>
      </c>
      <c r="D201" s="87">
        <f>SUM(D194:D200)</f>
        <v>5670000</v>
      </c>
      <c r="E201" s="47"/>
    </row>
    <row r="206" s="45" customFormat="1" ht="12.75" spans="1:11">
      <c r="C206" s="46"/>
      <c r="D206" s="89"/>
      <c r="E206" s="47"/>
      <c r="F206" s="89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zoomScale="130" zoomScaleNormal="130" topLeftCell="A44" workbookViewId="0">
      <selection activeCell="F17" sqref="F17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8.8952380952381" style="1" customWidth="1"/>
    <col min="9" max="9" width="11.0952380952381" style="1" customWidth="1"/>
    <col min="10" max="10" width="7.14285714285714" style="1" customWidth="1"/>
    <col min="11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230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'30-6-26'!I9</f>
        <v>5500000</v>
      </c>
      <c r="E9" s="24"/>
      <c r="F9" s="25"/>
      <c r="G9" s="25"/>
      <c r="H9" s="27">
        <f t="shared" ref="H9:H32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'30-6-26'!I10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'30-6-26'!I11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'30-6-26'!I12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'30-6-26'!I13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'30-6-26'!I14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'30-6-26'!I15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'30-6-26'!I16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'30-6-26'!I17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'30-6-26'!I18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'30-6-26'!I19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'30-6-26'!I20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'30-6-26'!I21</f>
        <v>12680000</v>
      </c>
      <c r="E21" s="24">
        <v>5</v>
      </c>
      <c r="F21" s="25">
        <v>830000</v>
      </c>
      <c r="G21" s="25">
        <v>320000</v>
      </c>
      <c r="H21" s="27">
        <f t="shared" si="0"/>
        <v>1150000</v>
      </c>
      <c r="I21" s="27">
        <f t="shared" si="1"/>
        <v>11850000</v>
      </c>
      <c r="J21" s="25">
        <f t="shared" si="2"/>
        <v>32000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'30-6-26'!I22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'30-6-26'!I23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'30-6-26'!I24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'30-6-26'!I25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'30-6-26'!I26</f>
        <v>3800000</v>
      </c>
      <c r="E26" s="24"/>
      <c r="F26" s="25"/>
      <c r="G26" s="25"/>
      <c r="H26" s="27">
        <f t="shared" si="0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'30-6-26'!I27</f>
        <v>490000</v>
      </c>
      <c r="E27" s="24"/>
      <c r="F27" s="25"/>
      <c r="G27" s="25"/>
      <c r="H27" s="27">
        <f t="shared" si="0"/>
        <v>0</v>
      </c>
      <c r="I27" s="27">
        <f t="shared" si="1"/>
        <v>490000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'30-6-26'!I28</f>
        <v>0</v>
      </c>
      <c r="E28" s="24"/>
      <c r="F28" s="25"/>
      <c r="G28" s="25"/>
      <c r="H28" s="27">
        <f t="shared" si="0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'30-6-26'!I29</f>
        <v>0</v>
      </c>
      <c r="E29" s="24"/>
      <c r="F29" s="25"/>
      <c r="G29" s="25"/>
      <c r="H29" s="27">
        <f t="shared" si="0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'30-6-26'!I30</f>
        <v>2500000</v>
      </c>
      <c r="E30" s="24"/>
      <c r="F30" s="25"/>
      <c r="G30" s="25"/>
      <c r="H30" s="27">
        <f t="shared" si="0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'30-6-26'!I31</f>
        <v>250000</v>
      </c>
      <c r="E31" s="24"/>
      <c r="F31" s="25"/>
      <c r="G31" s="25"/>
      <c r="H31" s="27">
        <f t="shared" si="0"/>
        <v>0</v>
      </c>
      <c r="I31" s="27">
        <f t="shared" si="1"/>
        <v>250000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'30-6-26'!I32</f>
        <v>12000000</v>
      </c>
      <c r="E32" s="24"/>
      <c r="F32" s="25"/>
      <c r="G32" s="25"/>
      <c r="H32" s="27">
        <f t="shared" si="0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'30-6-26'!I33</f>
        <v>450000</v>
      </c>
      <c r="E33" s="24"/>
      <c r="F33" s="25"/>
      <c r="G33" s="25"/>
      <c r="H33" s="27">
        <f t="shared" ref="H33:H64" si="3">SUM(F33:G33)</f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'30-6-26'!I34</f>
        <v>2400000</v>
      </c>
      <c r="E34" s="24"/>
      <c r="F34" s="25"/>
      <c r="G34" s="25"/>
      <c r="H34" s="27">
        <f t="shared" si="3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'30-6-26'!I35</f>
        <v>3250000</v>
      </c>
      <c r="E35" s="24"/>
      <c r="F35" s="25"/>
      <c r="G35" s="25"/>
      <c r="H35" s="27">
        <f t="shared" si="3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'30-6-26'!I36</f>
        <v>3600000</v>
      </c>
      <c r="E36" s="24"/>
      <c r="F36" s="25"/>
      <c r="G36" s="25"/>
      <c r="H36" s="27">
        <f t="shared" si="3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'30-6-26'!I37</f>
        <v>1250000</v>
      </c>
      <c r="E37" s="24"/>
      <c r="F37" s="25"/>
      <c r="G37" s="25"/>
      <c r="H37" s="27">
        <f t="shared" si="3"/>
        <v>0</v>
      </c>
      <c r="I37" s="27">
        <f t="shared" si="1"/>
        <v>1250000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'30-6-26'!I38</f>
        <v>5800000</v>
      </c>
      <c r="E38" s="24"/>
      <c r="F38" s="25"/>
      <c r="G38" s="25"/>
      <c r="H38" s="27">
        <f t="shared" si="3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'30-6-26'!I39</f>
        <v>13690000</v>
      </c>
      <c r="E39" s="24">
        <v>9</v>
      </c>
      <c r="F39" s="25">
        <v>630000</v>
      </c>
      <c r="G39" s="25">
        <v>370000</v>
      </c>
      <c r="H39" s="27">
        <f t="shared" si="3"/>
        <v>1000000</v>
      </c>
      <c r="I39" s="27">
        <f t="shared" si="1"/>
        <v>13060000</v>
      </c>
      <c r="J39" s="25">
        <f t="shared" si="2"/>
        <v>37000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'30-6-26'!I40</f>
        <v>0</v>
      </c>
      <c r="E40" s="24"/>
      <c r="F40" s="25"/>
      <c r="G40" s="25"/>
      <c r="H40" s="27">
        <f t="shared" si="3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'30-6-26'!I41</f>
        <v>1200000</v>
      </c>
      <c r="E41" s="24"/>
      <c r="F41" s="25"/>
      <c r="G41" s="25"/>
      <c r="H41" s="27">
        <f t="shared" si="3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'30-6-26'!I42</f>
        <v>900000</v>
      </c>
      <c r="E42" s="24"/>
      <c r="F42" s="25"/>
      <c r="G42" s="25"/>
      <c r="H42" s="27">
        <f t="shared" si="3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'30-6-26'!I43</f>
        <v>3750000</v>
      </c>
      <c r="E43" s="24"/>
      <c r="F43" s="25"/>
      <c r="G43" s="25"/>
      <c r="H43" s="27">
        <f t="shared" si="3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'30-6-26'!I44</f>
        <v>10320000</v>
      </c>
      <c r="E44" s="24"/>
      <c r="F44" s="25"/>
      <c r="G44" s="25"/>
      <c r="H44" s="27">
        <f t="shared" si="3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'30-6-26'!I45</f>
        <v>10500000</v>
      </c>
      <c r="E45" s="24"/>
      <c r="F45" s="25"/>
      <c r="G45" s="25"/>
      <c r="H45" s="27">
        <f t="shared" si="3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'30-6-26'!I46</f>
        <v>0</v>
      </c>
      <c r="E46" s="24"/>
      <c r="F46" s="25"/>
      <c r="G46" s="25"/>
      <c r="H46" s="27">
        <f t="shared" si="3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'30-6-26'!I47</f>
        <v>9000000</v>
      </c>
      <c r="E47" s="24"/>
      <c r="F47" s="25"/>
      <c r="G47" s="25"/>
      <c r="H47" s="27">
        <f t="shared" si="3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'30-6-26'!I48</f>
        <v>400000</v>
      </c>
      <c r="E48" s="24"/>
      <c r="F48" s="25"/>
      <c r="G48" s="25"/>
      <c r="H48" s="27">
        <f t="shared" si="3"/>
        <v>0</v>
      </c>
      <c r="I48" s="27">
        <f t="shared" si="1"/>
        <v>400000</v>
      </c>
      <c r="J48" s="25">
        <f t="shared" si="2"/>
        <v>0</v>
      </c>
    </row>
    <row r="49" s="1" customFormat="1" ht="12.75" spans="1:10">
      <c r="A49" s="24">
        <v>41</v>
      </c>
      <c r="B49" s="25" t="s">
        <v>90</v>
      </c>
      <c r="C49" s="133" t="s">
        <v>91</v>
      </c>
      <c r="D49" s="27">
        <f>'30-6-26'!I49</f>
        <v>9340000</v>
      </c>
      <c r="E49" s="24"/>
      <c r="F49" s="25"/>
      <c r="G49" s="25"/>
      <c r="H49" s="27">
        <f t="shared" si="3"/>
        <v>0</v>
      </c>
      <c r="I49" s="27">
        <f t="shared" si="1"/>
        <v>9340000</v>
      </c>
      <c r="J49" s="25">
        <f t="shared" si="2"/>
        <v>0</v>
      </c>
    </row>
    <row r="50" s="1" customFormat="1" ht="12.75" spans="1:10">
      <c r="A50" s="24">
        <v>42</v>
      </c>
      <c r="B50" s="25" t="s">
        <v>92</v>
      </c>
      <c r="C50" s="133" t="s">
        <v>93</v>
      </c>
      <c r="D50" s="27">
        <f>'30-6-26'!I50</f>
        <v>0</v>
      </c>
      <c r="E50" s="24"/>
      <c r="F50" s="25"/>
      <c r="G50" s="25"/>
      <c r="H50" s="27">
        <f t="shared" si="3"/>
        <v>0</v>
      </c>
      <c r="I50" s="27">
        <f t="shared" si="1"/>
        <v>0</v>
      </c>
      <c r="J50" s="25">
        <f t="shared" si="2"/>
        <v>0</v>
      </c>
    </row>
    <row r="51" s="1" customFormat="1" ht="12.75" spans="1:10">
      <c r="A51" s="24">
        <v>43</v>
      </c>
      <c r="B51" s="25" t="s">
        <v>94</v>
      </c>
      <c r="C51" s="26" t="s">
        <v>95</v>
      </c>
      <c r="D51" s="27">
        <f>'30-6-26'!I51</f>
        <v>14700000</v>
      </c>
      <c r="E51" s="24"/>
      <c r="F51" s="25"/>
      <c r="G51" s="25"/>
      <c r="H51" s="27">
        <f t="shared" si="3"/>
        <v>0</v>
      </c>
      <c r="I51" s="27">
        <f t="shared" si="1"/>
        <v>14700000</v>
      </c>
      <c r="J51" s="25">
        <f t="shared" si="2"/>
        <v>0</v>
      </c>
    </row>
    <row r="52" s="1" customFormat="1" ht="12.75" spans="1:10">
      <c r="A52" s="24">
        <v>44</v>
      </c>
      <c r="B52" s="25" t="s">
        <v>96</v>
      </c>
      <c r="C52" s="26" t="s">
        <v>97</v>
      </c>
      <c r="D52" s="27">
        <f>'30-6-26'!I52</f>
        <v>24600000</v>
      </c>
      <c r="E52" s="24"/>
      <c r="F52" s="25"/>
      <c r="G52" s="25"/>
      <c r="H52" s="27">
        <f t="shared" si="3"/>
        <v>0</v>
      </c>
      <c r="I52" s="27">
        <f t="shared" si="1"/>
        <v>24600000</v>
      </c>
      <c r="J52" s="25">
        <f t="shared" si="2"/>
        <v>0</v>
      </c>
    </row>
    <row r="53" s="1" customFormat="1" ht="12.75" spans="1:10">
      <c r="A53" s="24">
        <v>45</v>
      </c>
      <c r="B53" s="25" t="s">
        <v>98</v>
      </c>
      <c r="C53" s="133" t="s">
        <v>99</v>
      </c>
      <c r="D53" s="27">
        <f>'30-6-26'!I53</f>
        <v>0</v>
      </c>
      <c r="E53" s="24"/>
      <c r="F53" s="25"/>
      <c r="G53" s="25"/>
      <c r="H53" s="27">
        <f t="shared" si="3"/>
        <v>0</v>
      </c>
      <c r="I53" s="27">
        <f t="shared" si="1"/>
        <v>0</v>
      </c>
      <c r="J53" s="25">
        <f t="shared" si="2"/>
        <v>0</v>
      </c>
    </row>
    <row r="54" s="1" customFormat="1" ht="12.75" spans="1:10">
      <c r="A54" s="24">
        <v>46</v>
      </c>
      <c r="B54" s="25" t="s">
        <v>100</v>
      </c>
      <c r="C54" s="133" t="s">
        <v>99</v>
      </c>
      <c r="D54" s="27">
        <f>'30-6-26'!I54</f>
        <v>4200000</v>
      </c>
      <c r="E54" s="24"/>
      <c r="F54" s="25"/>
      <c r="G54" s="25"/>
      <c r="H54" s="27">
        <f t="shared" si="3"/>
        <v>0</v>
      </c>
      <c r="I54" s="27">
        <f t="shared" si="1"/>
        <v>4200000</v>
      </c>
      <c r="J54" s="25">
        <f t="shared" si="2"/>
        <v>0</v>
      </c>
    </row>
    <row r="55" s="1" customFormat="1" ht="12.75" spans="1:10">
      <c r="A55" s="24">
        <v>47</v>
      </c>
      <c r="B55" s="25" t="s">
        <v>101</v>
      </c>
      <c r="C55" s="133" t="s">
        <v>102</v>
      </c>
      <c r="D55" s="27">
        <f>'30-6-26'!I55</f>
        <v>7460000</v>
      </c>
      <c r="E55" s="24"/>
      <c r="F55" s="25"/>
      <c r="G55" s="25"/>
      <c r="H55" s="27">
        <f t="shared" si="3"/>
        <v>0</v>
      </c>
      <c r="I55" s="27">
        <f t="shared" si="1"/>
        <v>7460000</v>
      </c>
      <c r="J55" s="25">
        <f t="shared" si="2"/>
        <v>0</v>
      </c>
    </row>
    <row r="56" s="1" customFormat="1" ht="12.75" spans="1:10">
      <c r="A56" s="24">
        <v>48</v>
      </c>
      <c r="B56" s="25" t="s">
        <v>103</v>
      </c>
      <c r="C56" s="133" t="s">
        <v>102</v>
      </c>
      <c r="D56" s="27">
        <f>'30-6-26'!I56</f>
        <v>0</v>
      </c>
      <c r="E56" s="24"/>
      <c r="F56" s="25"/>
      <c r="G56" s="25"/>
      <c r="H56" s="27">
        <f t="shared" si="3"/>
        <v>0</v>
      </c>
      <c r="I56" s="27">
        <f t="shared" si="1"/>
        <v>0</v>
      </c>
      <c r="J56" s="25">
        <f t="shared" si="2"/>
        <v>0</v>
      </c>
    </row>
    <row r="57" s="1" customFormat="1" ht="12.75" spans="1:10">
      <c r="A57" s="24">
        <v>49</v>
      </c>
      <c r="B57" s="25" t="s">
        <v>104</v>
      </c>
      <c r="C57" s="133" t="s">
        <v>102</v>
      </c>
      <c r="D57" s="27">
        <f>'30-6-26'!I57</f>
        <v>20000000</v>
      </c>
      <c r="E57" s="24"/>
      <c r="F57" s="25"/>
      <c r="G57" s="25"/>
      <c r="H57" s="27">
        <f t="shared" si="3"/>
        <v>0</v>
      </c>
      <c r="I57" s="27">
        <f t="shared" si="1"/>
        <v>20000000</v>
      </c>
      <c r="J57" s="25">
        <f t="shared" si="2"/>
        <v>0</v>
      </c>
    </row>
    <row r="58" s="1" customFormat="1" ht="12.75" spans="1:10">
      <c r="A58" s="24">
        <v>50</v>
      </c>
      <c r="B58" s="25" t="s">
        <v>105</v>
      </c>
      <c r="C58" s="26" t="s">
        <v>106</v>
      </c>
      <c r="D58" s="27">
        <f>'30-6-26'!I58</f>
        <v>0</v>
      </c>
      <c r="E58" s="24"/>
      <c r="F58" s="25"/>
      <c r="G58" s="25"/>
      <c r="H58" s="27">
        <f t="shared" si="3"/>
        <v>0</v>
      </c>
      <c r="I58" s="27">
        <f t="shared" si="1"/>
        <v>0</v>
      </c>
      <c r="J58" s="25">
        <f t="shared" si="2"/>
        <v>0</v>
      </c>
    </row>
    <row r="59" s="1" customFormat="1" ht="12.75" spans="1:10">
      <c r="A59" s="24">
        <v>51</v>
      </c>
      <c r="B59" s="25" t="s">
        <v>107</v>
      </c>
      <c r="C59" s="133" t="s">
        <v>108</v>
      </c>
      <c r="D59" s="27">
        <f>'30-6-26'!I59</f>
        <v>0</v>
      </c>
      <c r="E59" s="24"/>
      <c r="F59" s="25"/>
      <c r="G59" s="25"/>
      <c r="H59" s="27">
        <f t="shared" si="3"/>
        <v>0</v>
      </c>
      <c r="I59" s="27">
        <f t="shared" si="1"/>
        <v>0</v>
      </c>
      <c r="J59" s="25">
        <f t="shared" si="2"/>
        <v>0</v>
      </c>
    </row>
    <row r="60" s="1" customFormat="1" ht="12.75" spans="1:10">
      <c r="A60" s="24">
        <v>52</v>
      </c>
      <c r="B60" s="25" t="s">
        <v>109</v>
      </c>
      <c r="C60" s="133" t="s">
        <v>110</v>
      </c>
      <c r="D60" s="27">
        <f>'30-6-26'!I60</f>
        <v>0</v>
      </c>
      <c r="E60" s="24"/>
      <c r="F60" s="25"/>
      <c r="G60" s="25"/>
      <c r="H60" s="27">
        <f t="shared" si="3"/>
        <v>0</v>
      </c>
      <c r="I60" s="27">
        <f t="shared" si="1"/>
        <v>0</v>
      </c>
      <c r="J60" s="25">
        <f t="shared" si="2"/>
        <v>0</v>
      </c>
    </row>
    <row r="61" s="1" customFormat="1" ht="12.75" spans="1:10">
      <c r="A61" s="24">
        <v>53</v>
      </c>
      <c r="B61" s="25" t="s">
        <v>111</v>
      </c>
      <c r="C61" s="26" t="s">
        <v>112</v>
      </c>
      <c r="D61" s="27">
        <f>'30-6-26'!I61</f>
        <v>230000</v>
      </c>
      <c r="E61" s="24"/>
      <c r="F61" s="25"/>
      <c r="G61" s="25"/>
      <c r="H61" s="27">
        <f t="shared" si="3"/>
        <v>0</v>
      </c>
      <c r="I61" s="27">
        <f t="shared" si="1"/>
        <v>230000</v>
      </c>
      <c r="J61" s="25">
        <f t="shared" si="2"/>
        <v>0</v>
      </c>
    </row>
    <row r="62" s="1" customFormat="1" ht="12.75" spans="1:10">
      <c r="A62" s="24">
        <v>54</v>
      </c>
      <c r="B62" s="25" t="s">
        <v>113</v>
      </c>
      <c r="C62" s="133" t="s">
        <v>114</v>
      </c>
      <c r="D62" s="27">
        <f>'30-6-26'!I62</f>
        <v>0</v>
      </c>
      <c r="E62" s="24"/>
      <c r="F62" s="25"/>
      <c r="G62" s="25"/>
      <c r="H62" s="27">
        <f t="shared" si="3"/>
        <v>0</v>
      </c>
      <c r="I62" s="27">
        <f t="shared" si="1"/>
        <v>0</v>
      </c>
      <c r="J62" s="25">
        <f t="shared" si="2"/>
        <v>0</v>
      </c>
    </row>
    <row r="63" s="1" customFormat="1" ht="12.75" spans="1:10">
      <c r="A63" s="24">
        <v>55</v>
      </c>
      <c r="B63" s="25" t="s">
        <v>115</v>
      </c>
      <c r="C63" s="133" t="s">
        <v>116</v>
      </c>
      <c r="D63" s="27">
        <f>'30-6-26'!I63</f>
        <v>0</v>
      </c>
      <c r="E63" s="24"/>
      <c r="F63" s="25"/>
      <c r="G63" s="25"/>
      <c r="H63" s="27">
        <f t="shared" si="3"/>
        <v>0</v>
      </c>
      <c r="I63" s="27">
        <f t="shared" si="1"/>
        <v>0</v>
      </c>
      <c r="J63" s="25">
        <f t="shared" si="2"/>
        <v>0</v>
      </c>
    </row>
    <row r="64" s="1" customFormat="1" ht="12.75" spans="1:10">
      <c r="A64" s="24">
        <v>56</v>
      </c>
      <c r="B64" s="25" t="s">
        <v>117</v>
      </c>
      <c r="C64" s="133" t="s">
        <v>118</v>
      </c>
      <c r="D64" s="27">
        <f>'30-6-26'!I64</f>
        <v>0</v>
      </c>
      <c r="E64" s="24"/>
      <c r="F64" s="25"/>
      <c r="G64" s="25"/>
      <c r="H64" s="27">
        <f t="shared" si="3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'30-6-26'!I65</f>
        <v>5862000</v>
      </c>
      <c r="E65" s="24"/>
      <c r="F65" s="25"/>
      <c r="G65" s="25"/>
      <c r="H65" s="27">
        <f t="shared" ref="H65:H99" si="4">SUM(F65:G65)</f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'30-6-26'!I66</f>
        <v>0</v>
      </c>
      <c r="E66" s="24"/>
      <c r="F66" s="25"/>
      <c r="G66" s="25"/>
      <c r="H66" s="27">
        <f t="shared" si="4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'30-6-26'!I67</f>
        <v>0</v>
      </c>
      <c r="E67" s="24"/>
      <c r="F67" s="25"/>
      <c r="G67" s="25"/>
      <c r="H67" s="27">
        <f t="shared" si="4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'30-6-26'!I68</f>
        <v>400000</v>
      </c>
      <c r="E68" s="24"/>
      <c r="F68" s="25"/>
      <c r="G68" s="25"/>
      <c r="H68" s="27">
        <f t="shared" si="4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'30-6-26'!I69</f>
        <v>50000000</v>
      </c>
      <c r="E69" s="24"/>
      <c r="F69" s="25"/>
      <c r="G69" s="25"/>
      <c r="H69" s="27">
        <f t="shared" si="4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'30-6-26'!I70</f>
        <v>1000000</v>
      </c>
      <c r="E70" s="24"/>
      <c r="F70" s="25"/>
      <c r="G70" s="25"/>
      <c r="H70" s="27">
        <f t="shared" si="4"/>
        <v>0</v>
      </c>
      <c r="I70" s="27">
        <f t="shared" si="1"/>
        <v>1000000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'30-6-26'!I71</f>
        <v>1000000</v>
      </c>
      <c r="E71" s="24"/>
      <c r="F71" s="25"/>
      <c r="G71" s="25"/>
      <c r="H71" s="27">
        <f t="shared" si="4"/>
        <v>0</v>
      </c>
      <c r="I71" s="27">
        <f t="shared" si="1"/>
        <v>1000000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'30-6-26'!I72</f>
        <v>1600000</v>
      </c>
      <c r="E72" s="24"/>
      <c r="F72" s="25"/>
      <c r="G72" s="25"/>
      <c r="H72" s="27">
        <f t="shared" si="4"/>
        <v>0</v>
      </c>
      <c r="I72" s="27">
        <f t="shared" si="1"/>
        <v>1600000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'30-6-26'!I73</f>
        <v>0</v>
      </c>
      <c r="E73" s="25"/>
      <c r="F73" s="25"/>
      <c r="G73" s="25"/>
      <c r="H73" s="27">
        <f t="shared" si="4"/>
        <v>0</v>
      </c>
      <c r="I73" s="27">
        <f t="shared" ref="I73:I136" si="5">D73-F73</f>
        <v>0</v>
      </c>
      <c r="J73" s="25">
        <f t="shared" ref="J73:J136" si="6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'30-6-26'!I74</f>
        <v>0</v>
      </c>
      <c r="E74" s="24"/>
      <c r="F74" s="25"/>
      <c r="G74" s="25"/>
      <c r="H74" s="27">
        <f t="shared" si="4"/>
        <v>0</v>
      </c>
      <c r="I74" s="27">
        <f t="shared" si="5"/>
        <v>0</v>
      </c>
      <c r="J74" s="25">
        <f t="shared" si="6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'30-6-26'!I75</f>
        <v>2100000</v>
      </c>
      <c r="E75" s="24"/>
      <c r="F75" s="25"/>
      <c r="G75" s="25"/>
      <c r="H75" s="27">
        <f t="shared" si="4"/>
        <v>0</v>
      </c>
      <c r="I75" s="27">
        <f t="shared" si="5"/>
        <v>2100000</v>
      </c>
      <c r="J75" s="25">
        <f t="shared" si="6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'30-6-26'!I76</f>
        <v>770000</v>
      </c>
      <c r="E76" s="24"/>
      <c r="F76" s="25"/>
      <c r="G76" s="25"/>
      <c r="H76" s="27">
        <f t="shared" si="4"/>
        <v>0</v>
      </c>
      <c r="I76" s="27">
        <f t="shared" si="5"/>
        <v>770000</v>
      </c>
      <c r="J76" s="25">
        <f t="shared" si="6"/>
        <v>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'30-6-26'!I77</f>
        <v>4250000</v>
      </c>
      <c r="E77" s="24"/>
      <c r="F77" s="25"/>
      <c r="G77" s="25"/>
      <c r="H77" s="27">
        <f t="shared" si="4"/>
        <v>0</v>
      </c>
      <c r="I77" s="27">
        <f t="shared" si="5"/>
        <v>4250000</v>
      </c>
      <c r="J77" s="25">
        <f t="shared" si="6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'30-6-26'!I78</f>
        <v>8000000</v>
      </c>
      <c r="E78" s="24"/>
      <c r="F78" s="25"/>
      <c r="G78" s="25"/>
      <c r="H78" s="27">
        <f t="shared" si="4"/>
        <v>0</v>
      </c>
      <c r="I78" s="27">
        <f t="shared" si="5"/>
        <v>8000000</v>
      </c>
      <c r="J78" s="25">
        <f t="shared" si="6"/>
        <v>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'30-6-26'!I79</f>
        <v>1500000</v>
      </c>
      <c r="E79" s="24"/>
      <c r="F79" s="25"/>
      <c r="G79" s="25"/>
      <c r="H79" s="27">
        <f t="shared" si="4"/>
        <v>0</v>
      </c>
      <c r="I79" s="27">
        <f t="shared" si="5"/>
        <v>1500000</v>
      </c>
      <c r="J79" s="25">
        <f t="shared" si="6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'30-6-26'!I80</f>
        <v>600000</v>
      </c>
      <c r="E80" s="24"/>
      <c r="F80" s="25"/>
      <c r="G80" s="25"/>
      <c r="H80" s="27">
        <f t="shared" si="4"/>
        <v>0</v>
      </c>
      <c r="I80" s="27">
        <f t="shared" si="5"/>
        <v>600000</v>
      </c>
      <c r="J80" s="25">
        <f t="shared" si="6"/>
        <v>0</v>
      </c>
    </row>
    <row r="81" s="1" customFormat="1" ht="12.75" customHeight="1" spans="1:10">
      <c r="A81" s="24">
        <v>73</v>
      </c>
      <c r="B81" s="25" t="s">
        <v>178</v>
      </c>
      <c r="C81" s="133" t="s">
        <v>176</v>
      </c>
      <c r="D81" s="27">
        <f>'30-6-26'!I81</f>
        <v>5600000</v>
      </c>
      <c r="E81" s="24"/>
      <c r="F81" s="25"/>
      <c r="G81" s="25"/>
      <c r="H81" s="27">
        <f t="shared" si="4"/>
        <v>0</v>
      </c>
      <c r="I81" s="27">
        <f t="shared" si="5"/>
        <v>5600000</v>
      </c>
      <c r="J81" s="25">
        <f t="shared" si="6"/>
        <v>0</v>
      </c>
    </row>
    <row r="82" s="1" customFormat="1" ht="12.75" customHeight="1" spans="1:10">
      <c r="A82" s="24">
        <v>74</v>
      </c>
      <c r="B82" s="25" t="s">
        <v>183</v>
      </c>
      <c r="C82" s="133" t="s">
        <v>184</v>
      </c>
      <c r="D82" s="27">
        <f>'30-6-26'!I82</f>
        <v>600000</v>
      </c>
      <c r="E82" s="25"/>
      <c r="F82" s="25"/>
      <c r="G82" s="25"/>
      <c r="H82" s="27">
        <f t="shared" si="4"/>
        <v>0</v>
      </c>
      <c r="I82" s="27">
        <f t="shared" si="5"/>
        <v>600000</v>
      </c>
      <c r="J82" s="25">
        <f t="shared" si="6"/>
        <v>0</v>
      </c>
    </row>
    <row r="83" s="1" customFormat="1" ht="12.75" customHeight="1" spans="1:10">
      <c r="A83" s="24">
        <v>75</v>
      </c>
      <c r="B83" s="25" t="s">
        <v>51</v>
      </c>
      <c r="C83" s="26" t="s">
        <v>189</v>
      </c>
      <c r="D83" s="27">
        <f>'30-6-26'!I83</f>
        <v>500000</v>
      </c>
      <c r="E83" s="24"/>
      <c r="F83" s="25"/>
      <c r="G83" s="25"/>
      <c r="H83" s="27">
        <f t="shared" si="4"/>
        <v>0</v>
      </c>
      <c r="I83" s="27">
        <f t="shared" si="5"/>
        <v>500000</v>
      </c>
      <c r="J83" s="25">
        <f t="shared" si="6"/>
        <v>0</v>
      </c>
    </row>
    <row r="84" s="1" customFormat="1" ht="12.75" customHeight="1" spans="1:10">
      <c r="A84" s="24">
        <v>76</v>
      </c>
      <c r="B84" s="25" t="s">
        <v>117</v>
      </c>
      <c r="C84" s="26" t="s">
        <v>189</v>
      </c>
      <c r="D84" s="27">
        <f>'30-6-26'!I84</f>
        <v>0</v>
      </c>
      <c r="E84" s="24"/>
      <c r="F84" s="25"/>
      <c r="G84" s="25"/>
      <c r="H84" s="27">
        <f t="shared" si="4"/>
        <v>0</v>
      </c>
      <c r="I84" s="27">
        <f t="shared" si="5"/>
        <v>0</v>
      </c>
      <c r="J84" s="25">
        <f t="shared" si="6"/>
        <v>0</v>
      </c>
    </row>
    <row r="85" s="1" customFormat="1" ht="12.75" customHeight="1" spans="1:10">
      <c r="A85" s="24">
        <v>77</v>
      </c>
      <c r="B85" s="25" t="s">
        <v>122</v>
      </c>
      <c r="C85" s="133" t="s">
        <v>199</v>
      </c>
      <c r="D85" s="27">
        <f>'30-6-26'!I85</f>
        <v>5000000</v>
      </c>
      <c r="E85" s="24"/>
      <c r="F85" s="25"/>
      <c r="G85" s="25"/>
      <c r="H85" s="27">
        <f t="shared" si="4"/>
        <v>0</v>
      </c>
      <c r="I85" s="27">
        <f t="shared" si="5"/>
        <v>5000000</v>
      </c>
      <c r="J85" s="25">
        <f t="shared" si="6"/>
        <v>0</v>
      </c>
    </row>
    <row r="86" s="1" customFormat="1" ht="12.75" customHeight="1" spans="1:10">
      <c r="A86" s="24">
        <v>78</v>
      </c>
      <c r="B86" s="25" t="s">
        <v>200</v>
      </c>
      <c r="C86" s="133" t="s">
        <v>201</v>
      </c>
      <c r="D86" s="27">
        <f>'30-6-26'!I86</f>
        <v>900000</v>
      </c>
      <c r="E86" s="24"/>
      <c r="F86" s="25"/>
      <c r="G86" s="25"/>
      <c r="H86" s="27">
        <f t="shared" si="4"/>
        <v>0</v>
      </c>
      <c r="I86" s="27">
        <f t="shared" si="5"/>
        <v>900000</v>
      </c>
      <c r="J86" s="25">
        <f t="shared" si="6"/>
        <v>0</v>
      </c>
    </row>
    <row r="87" s="1" customFormat="1" ht="12.75" customHeight="1" spans="1:10">
      <c r="A87" s="24">
        <v>79</v>
      </c>
      <c r="B87" s="25" t="s">
        <v>202</v>
      </c>
      <c r="C87" s="133" t="s">
        <v>201</v>
      </c>
      <c r="D87" s="27">
        <f>'30-6-26'!I87</f>
        <v>500000</v>
      </c>
      <c r="E87" s="24"/>
      <c r="F87" s="25"/>
      <c r="G87" s="25"/>
      <c r="H87" s="27">
        <f t="shared" si="4"/>
        <v>0</v>
      </c>
      <c r="I87" s="27">
        <f t="shared" si="5"/>
        <v>500000</v>
      </c>
      <c r="J87" s="25">
        <f t="shared" si="6"/>
        <v>0</v>
      </c>
    </row>
    <row r="88" s="1" customFormat="1" ht="12.75" customHeight="1" spans="1:10">
      <c r="A88" s="24">
        <v>80</v>
      </c>
      <c r="B88" s="25" t="s">
        <v>105</v>
      </c>
      <c r="C88" s="133" t="s">
        <v>203</v>
      </c>
      <c r="D88" s="27">
        <f>'30-6-26'!I88</f>
        <v>2700000</v>
      </c>
      <c r="E88" s="24">
        <v>2</v>
      </c>
      <c r="F88" s="25">
        <v>300000</v>
      </c>
      <c r="G88" s="25">
        <v>60000</v>
      </c>
      <c r="H88" s="27">
        <f t="shared" si="4"/>
        <v>360000</v>
      </c>
      <c r="I88" s="27">
        <f t="shared" si="5"/>
        <v>2400000</v>
      </c>
      <c r="J88" s="25">
        <f t="shared" si="6"/>
        <v>6000</v>
      </c>
    </row>
    <row r="89" s="1" customFormat="1" ht="12.75" customHeight="1" spans="1:10">
      <c r="A89" s="24">
        <v>81</v>
      </c>
      <c r="B89" s="25" t="s">
        <v>206</v>
      </c>
      <c r="C89" s="133" t="s">
        <v>207</v>
      </c>
      <c r="D89" s="27">
        <f>'30-6-26'!I89</f>
        <v>8000000</v>
      </c>
      <c r="E89" s="24">
        <v>2</v>
      </c>
      <c r="F89" s="25">
        <v>2000000</v>
      </c>
      <c r="G89" s="25">
        <v>200000</v>
      </c>
      <c r="H89" s="27">
        <f t="shared" si="4"/>
        <v>2200000</v>
      </c>
      <c r="I89" s="27">
        <f t="shared" si="5"/>
        <v>6000000</v>
      </c>
      <c r="J89" s="25">
        <f t="shared" si="6"/>
        <v>20000</v>
      </c>
    </row>
    <row r="90" s="1" customFormat="1" ht="12.75" customHeight="1" spans="1:10">
      <c r="A90" s="24">
        <v>82</v>
      </c>
      <c r="B90" s="25" t="s">
        <v>208</v>
      </c>
      <c r="C90" s="133" t="s">
        <v>207</v>
      </c>
      <c r="D90" s="27">
        <f>'30-6-26'!I90</f>
        <v>1800000</v>
      </c>
      <c r="E90" s="24">
        <v>2</v>
      </c>
      <c r="F90" s="25">
        <v>200000</v>
      </c>
      <c r="G90" s="25">
        <v>40000</v>
      </c>
      <c r="H90" s="27">
        <f t="shared" si="4"/>
        <v>240000</v>
      </c>
      <c r="I90" s="27">
        <f t="shared" si="5"/>
        <v>1600000</v>
      </c>
      <c r="J90" s="25">
        <f t="shared" si="6"/>
        <v>4000</v>
      </c>
    </row>
    <row r="91" s="1" customFormat="1" ht="12.75" customHeight="1" spans="1:10">
      <c r="A91" s="24">
        <v>83</v>
      </c>
      <c r="B91" s="25" t="s">
        <v>211</v>
      </c>
      <c r="C91" s="133" t="s">
        <v>212</v>
      </c>
      <c r="D91" s="27">
        <f>'30-6-26'!I91</f>
        <v>4500000</v>
      </c>
      <c r="E91" s="24"/>
      <c r="F91" s="25"/>
      <c r="G91" s="25"/>
      <c r="H91" s="27">
        <f t="shared" si="4"/>
        <v>0</v>
      </c>
      <c r="I91" s="27">
        <f t="shared" si="5"/>
        <v>4500000</v>
      </c>
      <c r="J91" s="25">
        <f t="shared" si="6"/>
        <v>0</v>
      </c>
    </row>
    <row r="92" s="1" customFormat="1" ht="12.75" customHeight="1" spans="1:10">
      <c r="A92" s="24">
        <v>84</v>
      </c>
      <c r="B92" s="25" t="s">
        <v>121</v>
      </c>
      <c r="C92" s="133" t="s">
        <v>215</v>
      </c>
      <c r="D92" s="27">
        <f>'30-6-26'!I92</f>
        <v>400000</v>
      </c>
      <c r="E92" s="24"/>
      <c r="F92" s="25"/>
      <c r="G92" s="25"/>
      <c r="H92" s="27">
        <f t="shared" si="4"/>
        <v>0</v>
      </c>
      <c r="I92" s="27">
        <f t="shared" si="5"/>
        <v>400000</v>
      </c>
      <c r="J92" s="25">
        <f t="shared" si="6"/>
        <v>0</v>
      </c>
    </row>
    <row r="93" s="1" customFormat="1" ht="12.75" customHeight="1" spans="1:10">
      <c r="A93" s="24">
        <v>85</v>
      </c>
      <c r="B93" s="25" t="s">
        <v>117</v>
      </c>
      <c r="C93" s="133" t="s">
        <v>215</v>
      </c>
      <c r="D93" s="27">
        <f>'30-6-26'!I93</f>
        <v>1500000</v>
      </c>
      <c r="E93" s="24">
        <v>1</v>
      </c>
      <c r="F93" s="25">
        <v>150000</v>
      </c>
      <c r="G93" s="25">
        <v>30000</v>
      </c>
      <c r="H93" s="27">
        <f t="shared" si="4"/>
        <v>180000</v>
      </c>
      <c r="I93" s="27">
        <f t="shared" si="5"/>
        <v>1350000</v>
      </c>
      <c r="J93" s="25">
        <f t="shared" si="6"/>
        <v>3000</v>
      </c>
    </row>
    <row r="94" s="1" customFormat="1" ht="12.75" customHeight="1" spans="1:10">
      <c r="A94" s="24">
        <v>86</v>
      </c>
      <c r="B94" s="25" t="s">
        <v>163</v>
      </c>
      <c r="C94" s="133" t="s">
        <v>215</v>
      </c>
      <c r="D94" s="27">
        <f>'30-6-26'!I94</f>
        <v>15000000</v>
      </c>
      <c r="E94" s="24"/>
      <c r="F94" s="25"/>
      <c r="G94" s="25"/>
      <c r="H94" s="27">
        <f t="shared" si="4"/>
        <v>0</v>
      </c>
      <c r="I94" s="27">
        <f t="shared" si="5"/>
        <v>15000000</v>
      </c>
      <c r="J94" s="25">
        <f t="shared" si="6"/>
        <v>0</v>
      </c>
    </row>
    <row r="95" s="1" customFormat="1" ht="12.75" customHeight="1" spans="1:10">
      <c r="A95" s="24">
        <v>87</v>
      </c>
      <c r="B95" s="25" t="s">
        <v>85</v>
      </c>
      <c r="C95" s="133" t="s">
        <v>220</v>
      </c>
      <c r="D95" s="27">
        <f>'30-6-26'!I95</f>
        <v>2000000</v>
      </c>
      <c r="E95" s="24"/>
      <c r="F95" s="25"/>
      <c r="G95" s="25"/>
      <c r="H95" s="27">
        <f t="shared" si="4"/>
        <v>0</v>
      </c>
      <c r="I95" s="27">
        <f t="shared" si="5"/>
        <v>2000000</v>
      </c>
      <c r="J95" s="25">
        <f t="shared" si="6"/>
        <v>0</v>
      </c>
    </row>
    <row r="96" s="1" customFormat="1" ht="12.75" customHeight="1" spans="1:10">
      <c r="A96" s="24">
        <v>88</v>
      </c>
      <c r="B96" s="25" t="s">
        <v>103</v>
      </c>
      <c r="C96" s="133" t="s">
        <v>223</v>
      </c>
      <c r="D96" s="27">
        <f>'30-6-26'!I96</f>
        <v>2000000</v>
      </c>
      <c r="E96" s="24"/>
      <c r="F96" s="25"/>
      <c r="G96" s="25"/>
      <c r="H96" s="27">
        <f t="shared" si="4"/>
        <v>0</v>
      </c>
      <c r="I96" s="27">
        <f t="shared" si="5"/>
        <v>2000000</v>
      </c>
      <c r="J96" s="25">
        <f t="shared" si="6"/>
        <v>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'30-6-26'!I97</f>
        <v>0</v>
      </c>
      <c r="E97" s="24"/>
      <c r="F97" s="25"/>
      <c r="G97" s="25"/>
      <c r="H97" s="27">
        <f t="shared" si="4"/>
        <v>0</v>
      </c>
      <c r="I97" s="27">
        <f t="shared" si="5"/>
        <v>0</v>
      </c>
      <c r="J97" s="25">
        <f t="shared" si="6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'30-6-26'!I98</f>
        <v>0</v>
      </c>
      <c r="E98" s="24"/>
      <c r="F98" s="25"/>
      <c r="G98" s="25"/>
      <c r="H98" s="27">
        <f t="shared" si="4"/>
        <v>0</v>
      </c>
      <c r="I98" s="27">
        <f t="shared" si="5"/>
        <v>0</v>
      </c>
      <c r="J98" s="25">
        <f t="shared" si="6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'30-6-26'!I99</f>
        <v>10000000</v>
      </c>
      <c r="E99" s="24"/>
      <c r="F99" s="25"/>
      <c r="G99" s="25"/>
      <c r="H99" s="27">
        <f t="shared" si="4"/>
        <v>0</v>
      </c>
      <c r="I99" s="27">
        <f t="shared" si="5"/>
        <v>10000000</v>
      </c>
      <c r="J99" s="25">
        <f t="shared" si="6"/>
        <v>0</v>
      </c>
    </row>
    <row r="100" s="1" customFormat="1" ht="12.75" customHeight="1" spans="1:10">
      <c r="A100" s="24"/>
      <c r="B100" s="25"/>
      <c r="C100" s="26"/>
      <c r="D100" s="27">
        <f>'30-6-26'!I100</f>
        <v>0</v>
      </c>
      <c r="E100" s="24"/>
      <c r="F100" s="25"/>
      <c r="G100" s="25"/>
      <c r="H100" s="27">
        <f t="shared" ref="H73:H136" si="7">SUM(F100:G100)</f>
        <v>0</v>
      </c>
      <c r="I100" s="27">
        <f t="shared" si="5"/>
        <v>0</v>
      </c>
      <c r="J100" s="25">
        <f t="shared" si="6"/>
        <v>0</v>
      </c>
    </row>
    <row r="101" s="1" customFormat="1" ht="12.75" customHeight="1" spans="1:10">
      <c r="A101" s="24"/>
      <c r="B101" s="25"/>
      <c r="C101" s="26"/>
      <c r="D101" s="27">
        <f>'30-6-26'!I101</f>
        <v>0</v>
      </c>
      <c r="E101" s="24"/>
      <c r="F101" s="25"/>
      <c r="G101" s="25"/>
      <c r="H101" s="27">
        <f t="shared" si="7"/>
        <v>0</v>
      </c>
      <c r="I101" s="27">
        <f t="shared" si="5"/>
        <v>0</v>
      </c>
      <c r="J101" s="25">
        <f t="shared" si="6"/>
        <v>0</v>
      </c>
    </row>
    <row r="102" s="1" customFormat="1" ht="12.75" customHeight="1" spans="1:10">
      <c r="A102" s="24"/>
      <c r="B102" s="25"/>
      <c r="C102" s="26"/>
      <c r="D102" s="27">
        <f>'30-6-26'!I102</f>
        <v>0</v>
      </c>
      <c r="E102" s="24"/>
      <c r="F102" s="25"/>
      <c r="G102" s="25"/>
      <c r="H102" s="27">
        <f t="shared" si="7"/>
        <v>0</v>
      </c>
      <c r="I102" s="27">
        <f t="shared" si="5"/>
        <v>0</v>
      </c>
      <c r="J102" s="25">
        <f t="shared" si="6"/>
        <v>0</v>
      </c>
    </row>
    <row r="103" s="1" customFormat="1" ht="12.75" customHeight="1" spans="1:10">
      <c r="A103" s="24"/>
      <c r="B103" s="25"/>
      <c r="C103" s="26"/>
      <c r="D103" s="27">
        <f>'30-6-26'!I103</f>
        <v>0</v>
      </c>
      <c r="E103" s="24"/>
      <c r="F103" s="25"/>
      <c r="G103" s="25"/>
      <c r="H103" s="27">
        <f t="shared" si="7"/>
        <v>0</v>
      </c>
      <c r="I103" s="27">
        <f t="shared" si="5"/>
        <v>0</v>
      </c>
      <c r="J103" s="25">
        <f t="shared" si="6"/>
        <v>0</v>
      </c>
    </row>
    <row r="104" s="1" customFormat="1" ht="12.75" customHeight="1" spans="1:10">
      <c r="A104" s="24"/>
      <c r="B104" s="25"/>
      <c r="C104" s="26"/>
      <c r="D104" s="27">
        <f>'30-6-26'!I104</f>
        <v>0</v>
      </c>
      <c r="E104" s="24"/>
      <c r="F104" s="25"/>
      <c r="G104" s="25"/>
      <c r="H104" s="27">
        <f t="shared" si="7"/>
        <v>0</v>
      </c>
      <c r="I104" s="27">
        <f t="shared" si="5"/>
        <v>0</v>
      </c>
      <c r="J104" s="25">
        <f t="shared" si="6"/>
        <v>0</v>
      </c>
    </row>
    <row r="105" s="1" customFormat="1" ht="12.75" customHeight="1" spans="1:10">
      <c r="A105" s="24"/>
      <c r="B105" s="25"/>
      <c r="C105" s="26"/>
      <c r="D105" s="27">
        <f>'30-6-26'!I105</f>
        <v>0</v>
      </c>
      <c r="E105" s="24"/>
      <c r="F105" s="25"/>
      <c r="G105" s="25"/>
      <c r="H105" s="27">
        <f t="shared" si="7"/>
        <v>0</v>
      </c>
      <c r="I105" s="27">
        <f t="shared" si="5"/>
        <v>0</v>
      </c>
      <c r="J105" s="25">
        <f t="shared" si="6"/>
        <v>0</v>
      </c>
    </row>
    <row r="106" s="1" customFormat="1" ht="12.75" customHeight="1" spans="1:10">
      <c r="A106" s="24"/>
      <c r="B106" s="25"/>
      <c r="C106" s="26"/>
      <c r="D106" s="27">
        <f>'16-6-26'!I106</f>
        <v>0</v>
      </c>
      <c r="E106" s="24"/>
      <c r="F106" s="25"/>
      <c r="G106" s="25"/>
      <c r="H106" s="27">
        <f t="shared" si="7"/>
        <v>0</v>
      </c>
      <c r="I106" s="27">
        <f t="shared" si="5"/>
        <v>0</v>
      </c>
      <c r="J106" s="25">
        <f t="shared" si="6"/>
        <v>0</v>
      </c>
    </row>
    <row r="107" s="1" customFormat="1" ht="12.75" customHeight="1" spans="1:10">
      <c r="A107" s="24"/>
      <c r="B107" s="25"/>
      <c r="C107" s="26"/>
      <c r="D107" s="27">
        <f>'16-6-26'!I107</f>
        <v>0</v>
      </c>
      <c r="E107" s="24"/>
      <c r="F107" s="25"/>
      <c r="G107" s="25"/>
      <c r="H107" s="27">
        <f t="shared" si="7"/>
        <v>0</v>
      </c>
      <c r="I107" s="27">
        <f t="shared" si="5"/>
        <v>0</v>
      </c>
      <c r="J107" s="25">
        <f t="shared" si="6"/>
        <v>0</v>
      </c>
    </row>
    <row r="108" s="1" customFormat="1" ht="12.75" customHeight="1" spans="1:10">
      <c r="A108" s="24"/>
      <c r="B108" s="25"/>
      <c r="C108" s="26"/>
      <c r="D108" s="27">
        <f>'16-6-26'!I108</f>
        <v>0</v>
      </c>
      <c r="E108" s="24"/>
      <c r="F108" s="25"/>
      <c r="G108" s="25"/>
      <c r="H108" s="27">
        <f t="shared" si="7"/>
        <v>0</v>
      </c>
      <c r="I108" s="27">
        <f t="shared" si="5"/>
        <v>0</v>
      </c>
      <c r="J108" s="25">
        <f t="shared" si="6"/>
        <v>0</v>
      </c>
    </row>
    <row r="109" s="1" customFormat="1" ht="12.75" customHeight="1" spans="1:10">
      <c r="A109" s="24"/>
      <c r="B109" s="25"/>
      <c r="C109" s="26"/>
      <c r="D109" s="27">
        <f>'16-6-26'!I109</f>
        <v>0</v>
      </c>
      <c r="E109" s="24"/>
      <c r="F109" s="25"/>
      <c r="G109" s="25"/>
      <c r="H109" s="27">
        <f t="shared" si="7"/>
        <v>0</v>
      </c>
      <c r="I109" s="27">
        <f t="shared" si="5"/>
        <v>0</v>
      </c>
      <c r="J109" s="25">
        <f t="shared" si="6"/>
        <v>0</v>
      </c>
    </row>
    <row r="110" s="1" customFormat="1" ht="12.75" customHeight="1" spans="1:10">
      <c r="A110" s="24"/>
      <c r="B110" s="25"/>
      <c r="C110" s="26"/>
      <c r="D110" s="27">
        <f>'16-6-26'!I110</f>
        <v>0</v>
      </c>
      <c r="E110" s="24"/>
      <c r="F110" s="25"/>
      <c r="G110" s="25"/>
      <c r="H110" s="27">
        <f t="shared" si="7"/>
        <v>0</v>
      </c>
      <c r="I110" s="27">
        <f t="shared" si="5"/>
        <v>0</v>
      </c>
      <c r="J110" s="25">
        <f t="shared" si="6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7"/>
        <v>0</v>
      </c>
      <c r="I111" s="27">
        <f t="shared" si="5"/>
        <v>0</v>
      </c>
      <c r="J111" s="25">
        <f t="shared" si="6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7"/>
        <v>0</v>
      </c>
      <c r="I112" s="27">
        <f t="shared" si="5"/>
        <v>0</v>
      </c>
      <c r="J112" s="25">
        <f t="shared" si="6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7"/>
        <v>0</v>
      </c>
      <c r="I113" s="27">
        <f t="shared" si="5"/>
        <v>0</v>
      </c>
      <c r="J113" s="25">
        <f t="shared" si="6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7"/>
        <v>0</v>
      </c>
      <c r="I114" s="27">
        <f t="shared" si="5"/>
        <v>0</v>
      </c>
      <c r="J114" s="25">
        <f t="shared" si="6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7"/>
        <v>0</v>
      </c>
      <c r="I115" s="27">
        <f t="shared" si="5"/>
        <v>0</v>
      </c>
      <c r="J115" s="25">
        <f t="shared" si="6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7"/>
        <v>0</v>
      </c>
      <c r="I116" s="27">
        <f t="shared" si="5"/>
        <v>0</v>
      </c>
      <c r="J116" s="25">
        <f t="shared" si="6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7"/>
        <v>0</v>
      </c>
      <c r="I117" s="27">
        <f t="shared" si="5"/>
        <v>0</v>
      </c>
      <c r="J117" s="25">
        <f t="shared" si="6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7"/>
        <v>0</v>
      </c>
      <c r="I118" s="27">
        <f t="shared" si="5"/>
        <v>0</v>
      </c>
      <c r="J118" s="25">
        <f t="shared" si="6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7"/>
        <v>0</v>
      </c>
      <c r="I119" s="27">
        <f t="shared" si="5"/>
        <v>0</v>
      </c>
      <c r="J119" s="25">
        <f t="shared" si="6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7"/>
        <v>0</v>
      </c>
      <c r="I120" s="27">
        <f t="shared" si="5"/>
        <v>0</v>
      </c>
      <c r="J120" s="25">
        <f t="shared" si="6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7"/>
        <v>0</v>
      </c>
      <c r="I121" s="27">
        <f t="shared" si="5"/>
        <v>0</v>
      </c>
      <c r="J121" s="25">
        <f t="shared" si="6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7"/>
        <v>0</v>
      </c>
      <c r="I122" s="27">
        <f t="shared" si="5"/>
        <v>0</v>
      </c>
      <c r="J122" s="25">
        <f t="shared" si="6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7"/>
        <v>0</v>
      </c>
      <c r="I123" s="27">
        <f t="shared" si="5"/>
        <v>0</v>
      </c>
      <c r="J123" s="25">
        <f t="shared" si="6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7"/>
        <v>0</v>
      </c>
      <c r="I124" s="27">
        <f t="shared" si="5"/>
        <v>0</v>
      </c>
      <c r="J124" s="25">
        <f t="shared" si="6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7"/>
        <v>0</v>
      </c>
      <c r="I125" s="27">
        <f t="shared" si="5"/>
        <v>0</v>
      </c>
      <c r="J125" s="25">
        <f t="shared" si="6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7"/>
        <v>0</v>
      </c>
      <c r="I126" s="27">
        <f t="shared" si="5"/>
        <v>0</v>
      </c>
      <c r="J126" s="25">
        <f t="shared" si="6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7"/>
        <v>0</v>
      </c>
      <c r="I127" s="27">
        <f t="shared" si="5"/>
        <v>0</v>
      </c>
      <c r="J127" s="25">
        <f t="shared" si="6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7"/>
        <v>0</v>
      </c>
      <c r="I128" s="27">
        <f t="shared" si="5"/>
        <v>0</v>
      </c>
      <c r="J128" s="25">
        <f t="shared" si="6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7"/>
        <v>0</v>
      </c>
      <c r="I129" s="27">
        <f t="shared" si="5"/>
        <v>0</v>
      </c>
      <c r="J129" s="25">
        <f t="shared" si="6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7"/>
        <v>0</v>
      </c>
      <c r="I130" s="27">
        <f t="shared" si="5"/>
        <v>0</v>
      </c>
      <c r="J130" s="25">
        <f t="shared" si="6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7"/>
        <v>0</v>
      </c>
      <c r="I131" s="27">
        <f t="shared" si="5"/>
        <v>0</v>
      </c>
      <c r="J131" s="25">
        <f t="shared" si="6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7"/>
        <v>0</v>
      </c>
      <c r="I132" s="27">
        <f t="shared" si="5"/>
        <v>0</v>
      </c>
      <c r="J132" s="25">
        <f t="shared" si="6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7"/>
        <v>0</v>
      </c>
      <c r="I133" s="27">
        <f t="shared" si="5"/>
        <v>0</v>
      </c>
      <c r="J133" s="25">
        <f t="shared" si="6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7"/>
        <v>0</v>
      </c>
      <c r="I134" s="27">
        <f t="shared" si="5"/>
        <v>0</v>
      </c>
      <c r="J134" s="25">
        <f t="shared" si="6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7"/>
        <v>0</v>
      </c>
      <c r="I135" s="27">
        <f t="shared" si="5"/>
        <v>0</v>
      </c>
      <c r="J135" s="25">
        <f t="shared" si="6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7"/>
        <v>0</v>
      </c>
      <c r="I136" s="27">
        <f t="shared" si="5"/>
        <v>0</v>
      </c>
      <c r="J136" s="25">
        <f t="shared" si="6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8">SUM(F137:G137)</f>
        <v>0</v>
      </c>
      <c r="I137" s="27">
        <f t="shared" ref="I137:I187" si="9">D137-F137</f>
        <v>0</v>
      </c>
      <c r="J137" s="25">
        <f t="shared" ref="J137:J187" si="10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8"/>
        <v>0</v>
      </c>
      <c r="I138" s="27">
        <f t="shared" si="9"/>
        <v>0</v>
      </c>
      <c r="J138" s="25">
        <f t="shared" si="10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8"/>
        <v>0</v>
      </c>
      <c r="I139" s="27">
        <f t="shared" si="9"/>
        <v>0</v>
      </c>
      <c r="J139" s="25">
        <f t="shared" si="10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8"/>
        <v>0</v>
      </c>
      <c r="I140" s="27">
        <f t="shared" si="9"/>
        <v>0</v>
      </c>
      <c r="J140" s="25">
        <f t="shared" si="10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8"/>
        <v>0</v>
      </c>
      <c r="I141" s="27">
        <f t="shared" si="9"/>
        <v>0</v>
      </c>
      <c r="J141" s="25">
        <f t="shared" si="10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8"/>
        <v>0</v>
      </c>
      <c r="I142" s="27">
        <f t="shared" si="9"/>
        <v>0</v>
      </c>
      <c r="J142" s="25">
        <f t="shared" si="10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8"/>
        <v>0</v>
      </c>
      <c r="I143" s="27">
        <f t="shared" si="9"/>
        <v>0</v>
      </c>
      <c r="J143" s="25">
        <f t="shared" si="10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8"/>
        <v>0</v>
      </c>
      <c r="I144" s="27">
        <f t="shared" si="9"/>
        <v>0</v>
      </c>
      <c r="J144" s="25">
        <f t="shared" si="10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8"/>
        <v>0</v>
      </c>
      <c r="I145" s="27">
        <f t="shared" si="9"/>
        <v>0</v>
      </c>
      <c r="J145" s="25">
        <f t="shared" si="10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8"/>
        <v>0</v>
      </c>
      <c r="I146" s="27">
        <f t="shared" si="9"/>
        <v>0</v>
      </c>
      <c r="J146" s="25">
        <f t="shared" si="10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8"/>
        <v>0</v>
      </c>
      <c r="I147" s="27">
        <f t="shared" si="9"/>
        <v>0</v>
      </c>
      <c r="J147" s="25">
        <f t="shared" si="10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8"/>
        <v>0</v>
      </c>
      <c r="I148" s="27">
        <f t="shared" si="9"/>
        <v>0</v>
      </c>
      <c r="J148" s="25">
        <f t="shared" si="10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8"/>
        <v>0</v>
      </c>
      <c r="I149" s="27">
        <f t="shared" si="9"/>
        <v>0</v>
      </c>
      <c r="J149" s="25">
        <f t="shared" si="10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8"/>
        <v>0</v>
      </c>
      <c r="I150" s="27">
        <f t="shared" si="9"/>
        <v>0</v>
      </c>
      <c r="J150" s="25">
        <f t="shared" si="10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8"/>
        <v>0</v>
      </c>
      <c r="I151" s="27">
        <f t="shared" si="9"/>
        <v>0</v>
      </c>
      <c r="J151" s="25">
        <f t="shared" si="10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8"/>
        <v>0</v>
      </c>
      <c r="I152" s="27">
        <f t="shared" si="9"/>
        <v>0</v>
      </c>
      <c r="J152" s="25">
        <f t="shared" si="10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8"/>
        <v>0</v>
      </c>
      <c r="I153" s="27">
        <f t="shared" si="9"/>
        <v>0</v>
      </c>
      <c r="J153" s="25">
        <f t="shared" si="10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8"/>
        <v>0</v>
      </c>
      <c r="I154" s="27">
        <f t="shared" si="9"/>
        <v>0</v>
      </c>
      <c r="J154" s="25">
        <f t="shared" si="10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8"/>
        <v>0</v>
      </c>
      <c r="I155" s="27">
        <f t="shared" si="9"/>
        <v>0</v>
      </c>
      <c r="J155" s="25">
        <f t="shared" si="10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8"/>
        <v>0</v>
      </c>
      <c r="I156" s="27">
        <f t="shared" si="9"/>
        <v>0</v>
      </c>
      <c r="J156" s="25">
        <f t="shared" si="10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8"/>
        <v>0</v>
      </c>
      <c r="I157" s="27">
        <f t="shared" si="9"/>
        <v>0</v>
      </c>
      <c r="J157" s="25">
        <f t="shared" si="10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8"/>
        <v>0</v>
      </c>
      <c r="I158" s="27">
        <f t="shared" si="9"/>
        <v>0</v>
      </c>
      <c r="J158" s="25">
        <f t="shared" si="10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8"/>
        <v>0</v>
      </c>
      <c r="I159" s="27">
        <f t="shared" si="9"/>
        <v>0</v>
      </c>
      <c r="J159" s="25">
        <f t="shared" si="10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8"/>
        <v>0</v>
      </c>
      <c r="I160" s="27">
        <f t="shared" si="9"/>
        <v>0</v>
      </c>
      <c r="J160" s="25">
        <f t="shared" si="10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8"/>
        <v>0</v>
      </c>
      <c r="I161" s="27">
        <f t="shared" si="9"/>
        <v>0</v>
      </c>
      <c r="J161" s="25">
        <f t="shared" si="10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8"/>
        <v>0</v>
      </c>
      <c r="I162" s="27">
        <f t="shared" si="9"/>
        <v>0</v>
      </c>
      <c r="J162" s="25">
        <f t="shared" si="10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8"/>
        <v>0</v>
      </c>
      <c r="I163" s="27">
        <f t="shared" si="9"/>
        <v>0</v>
      </c>
      <c r="J163" s="25">
        <f t="shared" si="10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8"/>
        <v>0</v>
      </c>
      <c r="I164" s="27">
        <f t="shared" si="9"/>
        <v>0</v>
      </c>
      <c r="J164" s="25">
        <f t="shared" si="10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8"/>
        <v>0</v>
      </c>
      <c r="I165" s="27">
        <f t="shared" si="9"/>
        <v>0</v>
      </c>
      <c r="J165" s="25">
        <f t="shared" si="10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8"/>
        <v>0</v>
      </c>
      <c r="I166" s="27">
        <f t="shared" si="9"/>
        <v>0</v>
      </c>
      <c r="J166" s="25">
        <f t="shared" si="10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8"/>
        <v>0</v>
      </c>
      <c r="I167" s="27">
        <f t="shared" si="9"/>
        <v>0</v>
      </c>
      <c r="J167" s="25">
        <f t="shared" si="10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8"/>
        <v>0</v>
      </c>
      <c r="I168" s="27">
        <f t="shared" si="9"/>
        <v>0</v>
      </c>
      <c r="J168" s="25">
        <f t="shared" si="10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8"/>
        <v>0</v>
      </c>
      <c r="I169" s="27">
        <f t="shared" si="9"/>
        <v>0</v>
      </c>
      <c r="J169" s="25">
        <f t="shared" si="10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8"/>
        <v>0</v>
      </c>
      <c r="I170" s="27">
        <f t="shared" si="9"/>
        <v>0</v>
      </c>
      <c r="J170" s="25">
        <f t="shared" si="10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8"/>
        <v>0</v>
      </c>
      <c r="I171" s="27">
        <f t="shared" si="9"/>
        <v>0</v>
      </c>
      <c r="J171" s="25">
        <f t="shared" si="10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8"/>
        <v>0</v>
      </c>
      <c r="I172" s="27">
        <f t="shared" si="9"/>
        <v>0</v>
      </c>
      <c r="J172" s="25">
        <f t="shared" si="10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8"/>
        <v>0</v>
      </c>
      <c r="I173" s="27">
        <f t="shared" si="9"/>
        <v>0</v>
      </c>
      <c r="J173" s="25">
        <f t="shared" si="10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8"/>
        <v>0</v>
      </c>
      <c r="I174" s="27">
        <f t="shared" si="9"/>
        <v>0</v>
      </c>
      <c r="J174" s="25">
        <f t="shared" si="10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8"/>
        <v>0</v>
      </c>
      <c r="I175" s="27">
        <f t="shared" si="9"/>
        <v>0</v>
      </c>
      <c r="J175" s="25">
        <f t="shared" si="10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8"/>
        <v>0</v>
      </c>
      <c r="I176" s="27">
        <f t="shared" si="9"/>
        <v>0</v>
      </c>
      <c r="J176" s="25">
        <f t="shared" si="10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8"/>
        <v>0</v>
      </c>
      <c r="I177" s="27">
        <f t="shared" si="9"/>
        <v>0</v>
      </c>
      <c r="J177" s="25">
        <f t="shared" si="10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8"/>
        <v>0</v>
      </c>
      <c r="I178" s="27">
        <f t="shared" si="9"/>
        <v>0</v>
      </c>
      <c r="J178" s="25">
        <f t="shared" si="10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8"/>
        <v>0</v>
      </c>
      <c r="I179" s="27">
        <f t="shared" si="9"/>
        <v>0</v>
      </c>
      <c r="J179" s="25">
        <f t="shared" si="10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8"/>
        <v>0</v>
      </c>
      <c r="I180" s="27">
        <f t="shared" si="9"/>
        <v>0</v>
      </c>
      <c r="J180" s="25">
        <f t="shared" si="10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8"/>
        <v>0</v>
      </c>
      <c r="I181" s="27">
        <f t="shared" si="9"/>
        <v>0</v>
      </c>
      <c r="J181" s="25">
        <f t="shared" si="10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8"/>
        <v>0</v>
      </c>
      <c r="I182" s="27">
        <f t="shared" si="9"/>
        <v>0</v>
      </c>
      <c r="J182" s="25">
        <f t="shared" si="10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8"/>
        <v>0</v>
      </c>
      <c r="I183" s="27">
        <f t="shared" si="9"/>
        <v>0</v>
      </c>
      <c r="J183" s="25">
        <f t="shared" si="10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8"/>
        <v>0</v>
      </c>
      <c r="I184" s="27">
        <f t="shared" si="9"/>
        <v>0</v>
      </c>
      <c r="J184" s="25">
        <f t="shared" si="10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8"/>
        <v>0</v>
      </c>
      <c r="I185" s="27">
        <f t="shared" si="9"/>
        <v>0</v>
      </c>
      <c r="J185" s="25">
        <f t="shared" si="10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8"/>
        <v>0</v>
      </c>
      <c r="I186" s="27">
        <f t="shared" si="9"/>
        <v>0</v>
      </c>
      <c r="J186" s="25">
        <f t="shared" si="10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8"/>
        <v>0</v>
      </c>
      <c r="I187" s="27">
        <f t="shared" si="9"/>
        <v>0</v>
      </c>
      <c r="J187" s="25">
        <f t="shared" si="10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1">SUM(D9:D187)</f>
        <v>470657000</v>
      </c>
      <c r="E188" s="34">
        <f t="shared" si="11"/>
        <v>21</v>
      </c>
      <c r="F188" s="33">
        <f t="shared" si="11"/>
        <v>4110000</v>
      </c>
      <c r="G188" s="33">
        <f t="shared" si="11"/>
        <v>1020000</v>
      </c>
      <c r="H188" s="33">
        <f t="shared" si="11"/>
        <v>5130000</v>
      </c>
      <c r="I188" s="33">
        <f t="shared" si="11"/>
        <v>466547000</v>
      </c>
      <c r="J188" s="33">
        <f t="shared" si="11"/>
        <v>102000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1020000</v>
      </c>
      <c r="E191" s="3"/>
      <c r="F191" s="135" t="s">
        <v>231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51000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561000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25500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25500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25500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25500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102000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255000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1020000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zoomScale="130" zoomScaleNormal="130" workbookViewId="0">
      <selection activeCell="A1" sqref="$A1:$XFD1048576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43809523809524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232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'7-7-2026'!I9</f>
        <v>5500000</v>
      </c>
      <c r="E9" s="24"/>
      <c r="F9" s="25"/>
      <c r="G9" s="25"/>
      <c r="H9" s="27">
        <f t="shared" ref="H9:H20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'7-7-2026'!I10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'7-7-2026'!I11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'7-7-2026'!I12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'7-7-2026'!I13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'7-7-2026'!I14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'7-7-2026'!I15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'7-7-2026'!I16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'7-7-2026'!I17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'7-7-2026'!I18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'7-7-2026'!I19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'7-7-2026'!I20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'7-7-2026'!I21</f>
        <v>11850000</v>
      </c>
      <c r="E21" s="24"/>
      <c r="F21" s="25"/>
      <c r="G21" s="25"/>
      <c r="H21" s="27">
        <f t="shared" ref="H21:H52" si="3">SUM(F21:G21)</f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'7-7-2026'!I22</f>
        <v>0</v>
      </c>
      <c r="E22" s="24"/>
      <c r="F22" s="25"/>
      <c r="G22" s="25"/>
      <c r="H22" s="27">
        <f t="shared" si="3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'7-7-2026'!I23</f>
        <v>1500000</v>
      </c>
      <c r="E23" s="24"/>
      <c r="F23" s="25"/>
      <c r="G23" s="25"/>
      <c r="H23" s="27">
        <f t="shared" si="3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'7-7-2026'!I24</f>
        <v>600000</v>
      </c>
      <c r="E24" s="24"/>
      <c r="F24" s="25"/>
      <c r="G24" s="25"/>
      <c r="H24" s="27">
        <f t="shared" si="3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'7-7-2026'!I25</f>
        <v>21400000</v>
      </c>
      <c r="E25" s="24"/>
      <c r="F25" s="25"/>
      <c r="G25" s="25"/>
      <c r="H25" s="27">
        <f t="shared" si="3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'7-7-2026'!I26</f>
        <v>3800000</v>
      </c>
      <c r="E26" s="24"/>
      <c r="F26" s="25"/>
      <c r="G26" s="25"/>
      <c r="H26" s="27">
        <f t="shared" si="3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'7-7-2026'!I27</f>
        <v>490000</v>
      </c>
      <c r="E27" s="24"/>
      <c r="F27" s="25"/>
      <c r="G27" s="25"/>
      <c r="H27" s="27">
        <f t="shared" si="3"/>
        <v>0</v>
      </c>
      <c r="I27" s="27">
        <f t="shared" si="1"/>
        <v>490000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'7-7-2026'!I28</f>
        <v>0</v>
      </c>
      <c r="E28" s="24"/>
      <c r="F28" s="25"/>
      <c r="G28" s="25"/>
      <c r="H28" s="27">
        <f t="shared" si="3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'7-7-2026'!I29</f>
        <v>0</v>
      </c>
      <c r="E29" s="24"/>
      <c r="F29" s="25"/>
      <c r="G29" s="25"/>
      <c r="H29" s="27">
        <f t="shared" si="3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'7-7-2026'!I30</f>
        <v>2500000</v>
      </c>
      <c r="E30" s="24"/>
      <c r="F30" s="25"/>
      <c r="G30" s="25"/>
      <c r="H30" s="27">
        <f t="shared" si="3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'7-7-2026'!I31</f>
        <v>250000</v>
      </c>
      <c r="E31" s="24"/>
      <c r="F31" s="25"/>
      <c r="G31" s="25"/>
      <c r="H31" s="27">
        <f t="shared" si="3"/>
        <v>0</v>
      </c>
      <c r="I31" s="27">
        <f t="shared" si="1"/>
        <v>250000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'7-7-2026'!I32</f>
        <v>12000000</v>
      </c>
      <c r="E32" s="24"/>
      <c r="F32" s="25"/>
      <c r="G32" s="25"/>
      <c r="H32" s="27">
        <f t="shared" si="3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'7-7-2026'!I33</f>
        <v>450000</v>
      </c>
      <c r="E33" s="24"/>
      <c r="F33" s="25"/>
      <c r="G33" s="25"/>
      <c r="H33" s="27">
        <f t="shared" si="3"/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'7-7-2026'!I34</f>
        <v>2400000</v>
      </c>
      <c r="E34" s="24"/>
      <c r="F34" s="25"/>
      <c r="G34" s="25"/>
      <c r="H34" s="27">
        <f t="shared" si="3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'7-7-2026'!I35</f>
        <v>3250000</v>
      </c>
      <c r="E35" s="24"/>
      <c r="F35" s="25"/>
      <c r="G35" s="25"/>
      <c r="H35" s="27">
        <f t="shared" si="3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'7-7-2026'!I36</f>
        <v>3600000</v>
      </c>
      <c r="E36" s="24"/>
      <c r="F36" s="25"/>
      <c r="G36" s="25"/>
      <c r="H36" s="27">
        <f t="shared" si="3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'7-7-2026'!I37</f>
        <v>1250000</v>
      </c>
      <c r="E37" s="24"/>
      <c r="F37" s="25"/>
      <c r="G37" s="25"/>
      <c r="H37" s="27">
        <f t="shared" si="3"/>
        <v>0</v>
      </c>
      <c r="I37" s="27">
        <f t="shared" si="1"/>
        <v>1250000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'7-7-2026'!I38</f>
        <v>5800000</v>
      </c>
      <c r="E38" s="24"/>
      <c r="F38" s="25"/>
      <c r="G38" s="25"/>
      <c r="H38" s="27">
        <f t="shared" si="3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'7-7-2026'!I39</f>
        <v>13060000</v>
      </c>
      <c r="E39" s="24"/>
      <c r="F39" s="25"/>
      <c r="G39" s="25"/>
      <c r="H39" s="27">
        <f t="shared" si="3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'7-7-2026'!I40</f>
        <v>0</v>
      </c>
      <c r="E40" s="24"/>
      <c r="F40" s="25"/>
      <c r="G40" s="25"/>
      <c r="H40" s="27">
        <f t="shared" si="3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'7-7-2026'!I41</f>
        <v>1200000</v>
      </c>
      <c r="E41" s="24"/>
      <c r="F41" s="25"/>
      <c r="G41" s="25"/>
      <c r="H41" s="27">
        <f t="shared" si="3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'7-7-2026'!I42</f>
        <v>900000</v>
      </c>
      <c r="E42" s="24"/>
      <c r="F42" s="25"/>
      <c r="G42" s="25"/>
      <c r="H42" s="27">
        <f t="shared" si="3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'7-7-2026'!I43</f>
        <v>3750000</v>
      </c>
      <c r="E43" s="24"/>
      <c r="F43" s="25"/>
      <c r="G43" s="25"/>
      <c r="H43" s="27">
        <f t="shared" si="3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'7-7-2026'!I44</f>
        <v>10320000</v>
      </c>
      <c r="E44" s="24"/>
      <c r="F44" s="25"/>
      <c r="G44" s="25"/>
      <c r="H44" s="27">
        <f t="shared" si="3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'7-7-2026'!I45</f>
        <v>10500000</v>
      </c>
      <c r="E45" s="24"/>
      <c r="F45" s="25"/>
      <c r="G45" s="25"/>
      <c r="H45" s="27">
        <f t="shared" si="3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'7-7-2026'!I46</f>
        <v>0</v>
      </c>
      <c r="E46" s="24"/>
      <c r="F46" s="25"/>
      <c r="G46" s="25"/>
      <c r="H46" s="27">
        <f t="shared" si="3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'7-7-2026'!I47</f>
        <v>9000000</v>
      </c>
      <c r="E47" s="24"/>
      <c r="F47" s="25"/>
      <c r="G47" s="25"/>
      <c r="H47" s="27">
        <f t="shared" si="3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'7-7-2026'!I48</f>
        <v>400000</v>
      </c>
      <c r="E48" s="24"/>
      <c r="F48" s="25"/>
      <c r="G48" s="25"/>
      <c r="H48" s="27">
        <f t="shared" si="3"/>
        <v>0</v>
      </c>
      <c r="I48" s="27">
        <f t="shared" si="1"/>
        <v>400000</v>
      </c>
      <c r="J48" s="25">
        <f t="shared" si="2"/>
        <v>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'7-7-2026'!I49</f>
        <v>9340000</v>
      </c>
      <c r="E49" s="24"/>
      <c r="F49" s="25">
        <v>9340000</v>
      </c>
      <c r="G49" s="25">
        <v>1680000</v>
      </c>
      <c r="H49" s="27">
        <f t="shared" si="3"/>
        <v>11020000</v>
      </c>
      <c r="I49" s="27">
        <f t="shared" si="1"/>
        <v>0</v>
      </c>
      <c r="J49" s="25">
        <f t="shared" si="2"/>
        <v>168000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'7-7-2026'!I50</f>
        <v>0</v>
      </c>
      <c r="E50" s="24"/>
      <c r="F50" s="25"/>
      <c r="G50" s="25"/>
      <c r="H50" s="27">
        <f t="shared" si="3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'7-7-2026'!I51</f>
        <v>14700000</v>
      </c>
      <c r="E51" s="24"/>
      <c r="F51" s="25"/>
      <c r="G51" s="25"/>
      <c r="H51" s="27">
        <f t="shared" si="3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'7-7-2026'!I52</f>
        <v>24600000</v>
      </c>
      <c r="E52" s="24"/>
      <c r="F52" s="25"/>
      <c r="G52" s="25"/>
      <c r="H52" s="27">
        <f t="shared" si="3"/>
        <v>0</v>
      </c>
      <c r="I52" s="27">
        <f t="shared" si="1"/>
        <v>24600000</v>
      </c>
      <c r="J52" s="25">
        <f t="shared" si="2"/>
        <v>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'7-7-2026'!I53</f>
        <v>0</v>
      </c>
      <c r="E53" s="24"/>
      <c r="F53" s="25"/>
      <c r="G53" s="25"/>
      <c r="H53" s="27">
        <f t="shared" ref="H53:H84" si="4">SUM(F53:G53)</f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'7-7-2026'!I54</f>
        <v>4200000</v>
      </c>
      <c r="E54" s="24"/>
      <c r="F54" s="25"/>
      <c r="G54" s="25"/>
      <c r="H54" s="27">
        <f t="shared" si="4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'7-7-2026'!I55</f>
        <v>7460000</v>
      </c>
      <c r="E55" s="24"/>
      <c r="F55" s="25"/>
      <c r="G55" s="25"/>
      <c r="H55" s="27">
        <f t="shared" si="4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'7-7-2026'!I56</f>
        <v>0</v>
      </c>
      <c r="E56" s="24"/>
      <c r="F56" s="25"/>
      <c r="G56" s="25"/>
      <c r="H56" s="27">
        <f t="shared" si="4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'7-7-2026'!I57</f>
        <v>20000000</v>
      </c>
      <c r="E57" s="24"/>
      <c r="F57" s="25"/>
      <c r="G57" s="25"/>
      <c r="H57" s="27">
        <f t="shared" si="4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'7-7-2026'!I58</f>
        <v>0</v>
      </c>
      <c r="E58" s="24"/>
      <c r="F58" s="25"/>
      <c r="G58" s="25"/>
      <c r="H58" s="27">
        <f t="shared" si="4"/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'7-7-2026'!I59</f>
        <v>0</v>
      </c>
      <c r="E59" s="24"/>
      <c r="F59" s="25"/>
      <c r="G59" s="25"/>
      <c r="H59" s="27">
        <f t="shared" si="4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'7-7-2026'!I60</f>
        <v>0</v>
      </c>
      <c r="E60" s="24"/>
      <c r="F60" s="25"/>
      <c r="G60" s="25"/>
      <c r="H60" s="27">
        <f t="shared" si="4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'7-7-2026'!I61</f>
        <v>230000</v>
      </c>
      <c r="E61" s="24"/>
      <c r="F61" s="25"/>
      <c r="G61" s="25"/>
      <c r="H61" s="27">
        <f t="shared" si="4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'7-7-2026'!I62</f>
        <v>0</v>
      </c>
      <c r="E62" s="24"/>
      <c r="F62" s="25"/>
      <c r="G62" s="25"/>
      <c r="H62" s="27">
        <f t="shared" si="4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'7-7-2026'!I63</f>
        <v>0</v>
      </c>
      <c r="E63" s="24"/>
      <c r="F63" s="25"/>
      <c r="G63" s="25"/>
      <c r="H63" s="27">
        <f t="shared" si="4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'7-7-2026'!I64</f>
        <v>0</v>
      </c>
      <c r="E64" s="24"/>
      <c r="F64" s="25"/>
      <c r="G64" s="25"/>
      <c r="H64" s="27">
        <f t="shared" si="4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'7-7-2026'!I65</f>
        <v>5862000</v>
      </c>
      <c r="E65" s="24"/>
      <c r="F65" s="25"/>
      <c r="G65" s="25"/>
      <c r="H65" s="27">
        <f t="shared" si="4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'7-7-2026'!I66</f>
        <v>0</v>
      </c>
      <c r="E66" s="24"/>
      <c r="F66" s="25"/>
      <c r="G66" s="25"/>
      <c r="H66" s="27">
        <f t="shared" si="4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'7-7-2026'!I67</f>
        <v>0</v>
      </c>
      <c r="E67" s="24"/>
      <c r="F67" s="25"/>
      <c r="G67" s="25"/>
      <c r="H67" s="27">
        <f t="shared" si="4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'7-7-2026'!I68</f>
        <v>400000</v>
      </c>
      <c r="E68" s="24"/>
      <c r="F68" s="25"/>
      <c r="G68" s="25"/>
      <c r="H68" s="27">
        <f t="shared" si="4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'7-7-2026'!I69</f>
        <v>50000000</v>
      </c>
      <c r="E69" s="24"/>
      <c r="F69" s="25"/>
      <c r="G69" s="25"/>
      <c r="H69" s="27">
        <f t="shared" si="4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'7-7-2026'!I70</f>
        <v>1000000</v>
      </c>
      <c r="E70" s="24"/>
      <c r="F70" s="25"/>
      <c r="G70" s="25"/>
      <c r="H70" s="27">
        <f t="shared" si="4"/>
        <v>0</v>
      </c>
      <c r="I70" s="27">
        <f t="shared" si="1"/>
        <v>1000000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'7-7-2026'!I71</f>
        <v>1000000</v>
      </c>
      <c r="E71" s="24"/>
      <c r="F71" s="25"/>
      <c r="G71" s="25"/>
      <c r="H71" s="27">
        <f t="shared" si="4"/>
        <v>0</v>
      </c>
      <c r="I71" s="27">
        <f t="shared" si="1"/>
        <v>1000000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'7-7-2026'!I72</f>
        <v>1600000</v>
      </c>
      <c r="E72" s="24"/>
      <c r="F72" s="25"/>
      <c r="G72" s="25"/>
      <c r="H72" s="27">
        <f t="shared" si="4"/>
        <v>0</v>
      </c>
      <c r="I72" s="27">
        <f t="shared" si="1"/>
        <v>1600000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'7-7-2026'!I73</f>
        <v>0</v>
      </c>
      <c r="E73" s="25"/>
      <c r="F73" s="25"/>
      <c r="G73" s="25"/>
      <c r="H73" s="27">
        <f t="shared" si="4"/>
        <v>0</v>
      </c>
      <c r="I73" s="27">
        <f t="shared" ref="I73:I136" si="5">D73-F73</f>
        <v>0</v>
      </c>
      <c r="J73" s="25">
        <f t="shared" ref="J73:J136" si="6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'7-7-2026'!I74</f>
        <v>0</v>
      </c>
      <c r="E74" s="24"/>
      <c r="F74" s="25"/>
      <c r="G74" s="25"/>
      <c r="H74" s="27">
        <f t="shared" si="4"/>
        <v>0</v>
      </c>
      <c r="I74" s="27">
        <f t="shared" si="5"/>
        <v>0</v>
      </c>
      <c r="J74" s="25">
        <f t="shared" si="6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'7-7-2026'!I75</f>
        <v>2100000</v>
      </c>
      <c r="E75" s="24"/>
      <c r="F75" s="25"/>
      <c r="G75" s="25"/>
      <c r="H75" s="27">
        <f t="shared" si="4"/>
        <v>0</v>
      </c>
      <c r="I75" s="27">
        <f t="shared" si="5"/>
        <v>2100000</v>
      </c>
      <c r="J75" s="25">
        <f t="shared" si="6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'7-7-2026'!I76</f>
        <v>770000</v>
      </c>
      <c r="E76" s="24">
        <v>4</v>
      </c>
      <c r="F76" s="25">
        <v>110000</v>
      </c>
      <c r="G76" s="25">
        <v>22000</v>
      </c>
      <c r="H76" s="27">
        <f t="shared" si="4"/>
        <v>132000</v>
      </c>
      <c r="I76" s="27">
        <f t="shared" si="5"/>
        <v>660000</v>
      </c>
      <c r="J76" s="25">
        <f t="shared" si="6"/>
        <v>2200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'7-7-2026'!I77</f>
        <v>4250000</v>
      </c>
      <c r="E77" s="24"/>
      <c r="F77" s="25"/>
      <c r="G77" s="25"/>
      <c r="H77" s="27">
        <f t="shared" si="4"/>
        <v>0</v>
      </c>
      <c r="I77" s="27">
        <f t="shared" si="5"/>
        <v>4250000</v>
      </c>
      <c r="J77" s="25">
        <f t="shared" si="6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'7-7-2026'!I78</f>
        <v>8000000</v>
      </c>
      <c r="E78" s="24"/>
      <c r="F78" s="25"/>
      <c r="G78" s="25"/>
      <c r="H78" s="27">
        <f t="shared" si="4"/>
        <v>0</v>
      </c>
      <c r="I78" s="27">
        <f t="shared" si="5"/>
        <v>8000000</v>
      </c>
      <c r="J78" s="25">
        <f t="shared" si="6"/>
        <v>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'7-7-2026'!I79</f>
        <v>1500000</v>
      </c>
      <c r="E79" s="24"/>
      <c r="F79" s="25"/>
      <c r="G79" s="25"/>
      <c r="H79" s="27">
        <f t="shared" si="4"/>
        <v>0</v>
      </c>
      <c r="I79" s="27">
        <f t="shared" si="5"/>
        <v>1500000</v>
      </c>
      <c r="J79" s="25">
        <f t="shared" si="6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'7-7-2026'!I80</f>
        <v>600000</v>
      </c>
      <c r="E80" s="24"/>
      <c r="F80" s="25"/>
      <c r="G80" s="25"/>
      <c r="H80" s="27">
        <f t="shared" si="4"/>
        <v>0</v>
      </c>
      <c r="I80" s="27">
        <f t="shared" si="5"/>
        <v>600000</v>
      </c>
      <c r="J80" s="25">
        <f t="shared" si="6"/>
        <v>0</v>
      </c>
    </row>
    <row r="81" s="1" customFormat="1" ht="12.75" customHeight="1" spans="1:10">
      <c r="A81" s="24">
        <v>73</v>
      </c>
      <c r="B81" s="25" t="s">
        <v>178</v>
      </c>
      <c r="C81" s="133" t="s">
        <v>176</v>
      </c>
      <c r="D81" s="27">
        <f>'7-7-2026'!I81</f>
        <v>5600000</v>
      </c>
      <c r="E81" s="24"/>
      <c r="F81" s="25"/>
      <c r="G81" s="25"/>
      <c r="H81" s="27">
        <f t="shared" si="4"/>
        <v>0</v>
      </c>
      <c r="I81" s="27">
        <f t="shared" si="5"/>
        <v>5600000</v>
      </c>
      <c r="J81" s="25">
        <f t="shared" si="6"/>
        <v>0</v>
      </c>
    </row>
    <row r="82" s="1" customFormat="1" ht="12.75" customHeight="1" spans="1:10">
      <c r="A82" s="24">
        <v>74</v>
      </c>
      <c r="B82" s="25" t="s">
        <v>183</v>
      </c>
      <c r="C82" s="133" t="s">
        <v>184</v>
      </c>
      <c r="D82" s="27">
        <f>'7-7-2026'!I82</f>
        <v>600000</v>
      </c>
      <c r="E82" s="25"/>
      <c r="F82" s="25"/>
      <c r="G82" s="25"/>
      <c r="H82" s="27">
        <f t="shared" si="4"/>
        <v>0</v>
      </c>
      <c r="I82" s="27">
        <f t="shared" si="5"/>
        <v>600000</v>
      </c>
      <c r="J82" s="25">
        <f t="shared" si="6"/>
        <v>0</v>
      </c>
    </row>
    <row r="83" s="1" customFormat="1" ht="12.75" customHeight="1" spans="1:10">
      <c r="A83" s="24">
        <v>75</v>
      </c>
      <c r="B83" s="25" t="s">
        <v>51</v>
      </c>
      <c r="C83" s="26" t="s">
        <v>189</v>
      </c>
      <c r="D83" s="27">
        <f>'7-7-2026'!I83</f>
        <v>500000</v>
      </c>
      <c r="E83" s="24"/>
      <c r="F83" s="25"/>
      <c r="G83" s="25"/>
      <c r="H83" s="27">
        <f t="shared" si="4"/>
        <v>0</v>
      </c>
      <c r="I83" s="27">
        <f t="shared" si="5"/>
        <v>500000</v>
      </c>
      <c r="J83" s="25">
        <f t="shared" si="6"/>
        <v>0</v>
      </c>
    </row>
    <row r="84" s="1" customFormat="1" ht="12.75" customHeight="1" spans="1:10">
      <c r="A84" s="24">
        <v>76</v>
      </c>
      <c r="B84" s="25" t="s">
        <v>117</v>
      </c>
      <c r="C84" s="26" t="s">
        <v>189</v>
      </c>
      <c r="D84" s="27">
        <f>'7-7-2026'!I84</f>
        <v>0</v>
      </c>
      <c r="E84" s="24"/>
      <c r="F84" s="25"/>
      <c r="G84" s="25"/>
      <c r="H84" s="27">
        <f t="shared" si="4"/>
        <v>0</v>
      </c>
      <c r="I84" s="27">
        <f t="shared" si="5"/>
        <v>0</v>
      </c>
      <c r="J84" s="25">
        <f t="shared" si="6"/>
        <v>0</v>
      </c>
    </row>
    <row r="85" s="1" customFormat="1" ht="12.75" customHeight="1" spans="1:10">
      <c r="A85" s="24">
        <v>77</v>
      </c>
      <c r="B85" s="25" t="s">
        <v>122</v>
      </c>
      <c r="C85" s="133" t="s">
        <v>199</v>
      </c>
      <c r="D85" s="27">
        <f>'7-7-2026'!I85</f>
        <v>5000000</v>
      </c>
      <c r="E85" s="24"/>
      <c r="F85" s="25"/>
      <c r="G85" s="25"/>
      <c r="H85" s="27">
        <f t="shared" ref="H85:H100" si="7">SUM(F85:G85)</f>
        <v>0</v>
      </c>
      <c r="I85" s="27">
        <f t="shared" si="5"/>
        <v>5000000</v>
      </c>
      <c r="J85" s="25">
        <f t="shared" si="6"/>
        <v>0</v>
      </c>
    </row>
    <row r="86" s="1" customFormat="1" ht="12.75" customHeight="1" spans="1:10">
      <c r="A86" s="24">
        <v>78</v>
      </c>
      <c r="B86" s="25" t="s">
        <v>200</v>
      </c>
      <c r="C86" s="133" t="s">
        <v>201</v>
      </c>
      <c r="D86" s="27">
        <f>'7-7-2026'!I86</f>
        <v>900000</v>
      </c>
      <c r="E86" s="24"/>
      <c r="F86" s="25"/>
      <c r="G86" s="25"/>
      <c r="H86" s="27">
        <f t="shared" si="7"/>
        <v>0</v>
      </c>
      <c r="I86" s="27">
        <f t="shared" si="5"/>
        <v>900000</v>
      </c>
      <c r="J86" s="25">
        <f t="shared" si="6"/>
        <v>0</v>
      </c>
    </row>
    <row r="87" s="1" customFormat="1" ht="12.75" customHeight="1" spans="1:10">
      <c r="A87" s="24">
        <v>79</v>
      </c>
      <c r="B87" s="25" t="s">
        <v>202</v>
      </c>
      <c r="C87" s="133" t="s">
        <v>201</v>
      </c>
      <c r="D87" s="27">
        <f>'7-7-2026'!I87</f>
        <v>500000</v>
      </c>
      <c r="E87" s="24"/>
      <c r="F87" s="25"/>
      <c r="G87" s="25"/>
      <c r="H87" s="27">
        <f t="shared" si="7"/>
        <v>0</v>
      </c>
      <c r="I87" s="27">
        <f t="shared" si="5"/>
        <v>500000</v>
      </c>
      <c r="J87" s="25">
        <f t="shared" si="6"/>
        <v>0</v>
      </c>
    </row>
    <row r="88" s="1" customFormat="1" ht="12.75" customHeight="1" spans="1:10">
      <c r="A88" s="24">
        <v>80</v>
      </c>
      <c r="B88" s="25" t="s">
        <v>105</v>
      </c>
      <c r="C88" s="133" t="s">
        <v>203</v>
      </c>
      <c r="D88" s="27">
        <f>'7-7-2026'!I88</f>
        <v>2400000</v>
      </c>
      <c r="E88" s="24"/>
      <c r="F88" s="25"/>
      <c r="G88" s="25"/>
      <c r="H88" s="27">
        <f t="shared" si="7"/>
        <v>0</v>
      </c>
      <c r="I88" s="27">
        <f t="shared" si="5"/>
        <v>2400000</v>
      </c>
      <c r="J88" s="25">
        <f t="shared" si="6"/>
        <v>0</v>
      </c>
    </row>
    <row r="89" s="1" customFormat="1" ht="12.75" customHeight="1" spans="1:10">
      <c r="A89" s="24">
        <v>81</v>
      </c>
      <c r="B89" s="25" t="s">
        <v>206</v>
      </c>
      <c r="C89" s="133" t="s">
        <v>207</v>
      </c>
      <c r="D89" s="27">
        <f>'7-7-2026'!I89</f>
        <v>6000000</v>
      </c>
      <c r="E89" s="24"/>
      <c r="F89" s="25"/>
      <c r="G89" s="25"/>
      <c r="H89" s="27">
        <f t="shared" si="7"/>
        <v>0</v>
      </c>
      <c r="I89" s="27">
        <f t="shared" si="5"/>
        <v>6000000</v>
      </c>
      <c r="J89" s="25">
        <f t="shared" si="6"/>
        <v>0</v>
      </c>
    </row>
    <row r="90" s="1" customFormat="1" ht="12.75" customHeight="1" spans="1:10">
      <c r="A90" s="24">
        <v>82</v>
      </c>
      <c r="B90" s="25" t="s">
        <v>208</v>
      </c>
      <c r="C90" s="133" t="s">
        <v>207</v>
      </c>
      <c r="D90" s="27">
        <f>'7-7-2026'!I90</f>
        <v>1600000</v>
      </c>
      <c r="E90" s="24"/>
      <c r="F90" s="25"/>
      <c r="G90" s="25"/>
      <c r="H90" s="27">
        <f t="shared" si="7"/>
        <v>0</v>
      </c>
      <c r="I90" s="27">
        <f t="shared" si="5"/>
        <v>1600000</v>
      </c>
      <c r="J90" s="25">
        <f t="shared" si="6"/>
        <v>0</v>
      </c>
    </row>
    <row r="91" s="1" customFormat="1" ht="12.75" customHeight="1" spans="1:10">
      <c r="A91" s="24">
        <v>83</v>
      </c>
      <c r="B91" s="25" t="s">
        <v>211</v>
      </c>
      <c r="C91" s="133" t="s">
        <v>212</v>
      </c>
      <c r="D91" s="27">
        <f>'7-7-2026'!I91</f>
        <v>4500000</v>
      </c>
      <c r="E91" s="24"/>
      <c r="F91" s="25"/>
      <c r="G91" s="25"/>
      <c r="H91" s="27">
        <f t="shared" si="7"/>
        <v>0</v>
      </c>
      <c r="I91" s="27">
        <f t="shared" si="5"/>
        <v>4500000</v>
      </c>
      <c r="J91" s="25">
        <f t="shared" si="6"/>
        <v>0</v>
      </c>
    </row>
    <row r="92" s="1" customFormat="1" ht="12.75" customHeight="1" spans="1:10">
      <c r="A92" s="24">
        <v>84</v>
      </c>
      <c r="B92" s="25" t="s">
        <v>121</v>
      </c>
      <c r="C92" s="133" t="s">
        <v>215</v>
      </c>
      <c r="D92" s="27">
        <f>'7-7-2026'!I92</f>
        <v>400000</v>
      </c>
      <c r="E92" s="24"/>
      <c r="F92" s="25"/>
      <c r="G92" s="25"/>
      <c r="H92" s="27">
        <f t="shared" si="7"/>
        <v>0</v>
      </c>
      <c r="I92" s="27">
        <f t="shared" si="5"/>
        <v>400000</v>
      </c>
      <c r="J92" s="25">
        <f t="shared" si="6"/>
        <v>0</v>
      </c>
    </row>
    <row r="93" s="1" customFormat="1" ht="12.75" customHeight="1" spans="1:10">
      <c r="A93" s="24">
        <v>85</v>
      </c>
      <c r="B93" s="25" t="s">
        <v>117</v>
      </c>
      <c r="C93" s="133" t="s">
        <v>215</v>
      </c>
      <c r="D93" s="27">
        <f>'7-7-2026'!I93</f>
        <v>1350000</v>
      </c>
      <c r="E93" s="24"/>
      <c r="F93" s="25"/>
      <c r="G93" s="25"/>
      <c r="H93" s="27">
        <f t="shared" si="7"/>
        <v>0</v>
      </c>
      <c r="I93" s="27">
        <f t="shared" si="5"/>
        <v>1350000</v>
      </c>
      <c r="J93" s="25">
        <f t="shared" si="6"/>
        <v>0</v>
      </c>
    </row>
    <row r="94" s="1" customFormat="1" ht="12.75" customHeight="1" spans="1:10">
      <c r="A94" s="24">
        <v>86</v>
      </c>
      <c r="B94" s="25" t="s">
        <v>163</v>
      </c>
      <c r="C94" s="133" t="s">
        <v>215</v>
      </c>
      <c r="D94" s="27">
        <f>'7-7-2026'!I94</f>
        <v>15000000</v>
      </c>
      <c r="E94" s="24"/>
      <c r="F94" s="25"/>
      <c r="G94" s="25"/>
      <c r="H94" s="27">
        <f t="shared" si="7"/>
        <v>0</v>
      </c>
      <c r="I94" s="27">
        <f t="shared" si="5"/>
        <v>15000000</v>
      </c>
      <c r="J94" s="25">
        <f t="shared" si="6"/>
        <v>0</v>
      </c>
    </row>
    <row r="95" s="1" customFormat="1" ht="12.75" customHeight="1" spans="1:10">
      <c r="A95" s="24">
        <v>87</v>
      </c>
      <c r="B95" s="25" t="s">
        <v>85</v>
      </c>
      <c r="C95" s="133" t="s">
        <v>220</v>
      </c>
      <c r="D95" s="27">
        <f>'7-7-2026'!I95</f>
        <v>2000000</v>
      </c>
      <c r="E95" s="24">
        <v>1</v>
      </c>
      <c r="F95" s="25">
        <v>125000</v>
      </c>
      <c r="G95" s="25">
        <v>50000</v>
      </c>
      <c r="H95" s="27">
        <f t="shared" si="7"/>
        <v>175000</v>
      </c>
      <c r="I95" s="27">
        <f t="shared" si="5"/>
        <v>1875000</v>
      </c>
      <c r="J95" s="25">
        <f t="shared" si="6"/>
        <v>5000</v>
      </c>
    </row>
    <row r="96" s="1" customFormat="1" ht="12.75" customHeight="1" spans="1:10">
      <c r="A96" s="24">
        <v>88</v>
      </c>
      <c r="B96" s="25" t="s">
        <v>103</v>
      </c>
      <c r="C96" s="133" t="s">
        <v>223</v>
      </c>
      <c r="D96" s="27">
        <f>'7-7-2026'!I96</f>
        <v>2000000</v>
      </c>
      <c r="E96" s="24"/>
      <c r="F96" s="25"/>
      <c r="G96" s="25"/>
      <c r="H96" s="27">
        <f t="shared" si="7"/>
        <v>0</v>
      </c>
      <c r="I96" s="27">
        <f t="shared" si="5"/>
        <v>2000000</v>
      </c>
      <c r="J96" s="25">
        <f t="shared" si="6"/>
        <v>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'7-7-2026'!I97</f>
        <v>0</v>
      </c>
      <c r="E97" s="24"/>
      <c r="F97" s="25"/>
      <c r="G97" s="25"/>
      <c r="H97" s="27">
        <f t="shared" si="7"/>
        <v>0</v>
      </c>
      <c r="I97" s="27">
        <f t="shared" si="5"/>
        <v>0</v>
      </c>
      <c r="J97" s="25">
        <f t="shared" si="6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'7-7-2026'!I98</f>
        <v>0</v>
      </c>
      <c r="E98" s="24"/>
      <c r="F98" s="25"/>
      <c r="G98" s="25"/>
      <c r="H98" s="27">
        <f t="shared" si="7"/>
        <v>0</v>
      </c>
      <c r="I98" s="27">
        <f t="shared" si="5"/>
        <v>0</v>
      </c>
      <c r="J98" s="25">
        <f t="shared" si="6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'7-7-2026'!I99</f>
        <v>10000000</v>
      </c>
      <c r="E99" s="24"/>
      <c r="F99" s="25"/>
      <c r="G99" s="25"/>
      <c r="H99" s="27">
        <f t="shared" si="7"/>
        <v>0</v>
      </c>
      <c r="I99" s="27">
        <f t="shared" si="5"/>
        <v>10000000</v>
      </c>
      <c r="J99" s="25">
        <f t="shared" si="6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v>20000000</v>
      </c>
      <c r="E100" s="24"/>
      <c r="F100" s="25"/>
      <c r="G100" s="25"/>
      <c r="H100" s="27">
        <f t="shared" si="7"/>
        <v>0</v>
      </c>
      <c r="I100" s="27">
        <f t="shared" si="5"/>
        <v>20000000</v>
      </c>
      <c r="J100" s="25">
        <f t="shared" si="6"/>
        <v>0</v>
      </c>
    </row>
    <row r="101" s="1" customFormat="1" ht="12.75" customHeight="1" spans="1:10">
      <c r="A101" s="24"/>
      <c r="B101" s="25"/>
      <c r="C101" s="26"/>
      <c r="D101" s="27">
        <f>'7-7-2026'!I101</f>
        <v>0</v>
      </c>
      <c r="E101" s="24"/>
      <c r="F101" s="25"/>
      <c r="G101" s="25"/>
      <c r="H101" s="27">
        <f t="shared" ref="H73:H136" si="8">SUM(F101:G101)</f>
        <v>0</v>
      </c>
      <c r="I101" s="27">
        <f t="shared" si="5"/>
        <v>0</v>
      </c>
      <c r="J101" s="25">
        <f t="shared" si="6"/>
        <v>0</v>
      </c>
    </row>
    <row r="102" s="1" customFormat="1" ht="12.75" customHeight="1" spans="1:10">
      <c r="A102" s="24"/>
      <c r="B102" s="25"/>
      <c r="C102" s="26"/>
      <c r="D102" s="27">
        <f>'7-7-2026'!I102</f>
        <v>0</v>
      </c>
      <c r="E102" s="24"/>
      <c r="F102" s="25"/>
      <c r="G102" s="25"/>
      <c r="H102" s="27">
        <f t="shared" si="8"/>
        <v>0</v>
      </c>
      <c r="I102" s="27">
        <f t="shared" si="5"/>
        <v>0</v>
      </c>
      <c r="J102" s="25">
        <f t="shared" si="6"/>
        <v>0</v>
      </c>
    </row>
    <row r="103" s="1" customFormat="1" ht="12.75" customHeight="1" spans="1:10">
      <c r="A103" s="24"/>
      <c r="B103" s="25"/>
      <c r="C103" s="26"/>
      <c r="D103" s="27">
        <f>'7-7-2026'!I103</f>
        <v>0</v>
      </c>
      <c r="E103" s="24"/>
      <c r="F103" s="25"/>
      <c r="G103" s="25"/>
      <c r="H103" s="27">
        <f t="shared" si="8"/>
        <v>0</v>
      </c>
      <c r="I103" s="27">
        <f t="shared" si="5"/>
        <v>0</v>
      </c>
      <c r="J103" s="25">
        <f t="shared" si="6"/>
        <v>0</v>
      </c>
    </row>
    <row r="104" s="1" customFormat="1" ht="12.75" customHeight="1" spans="1:10">
      <c r="A104" s="24"/>
      <c r="B104" s="25"/>
      <c r="C104" s="26"/>
      <c r="D104" s="27">
        <f>'7-7-2026'!I104</f>
        <v>0</v>
      </c>
      <c r="E104" s="24"/>
      <c r="F104" s="25"/>
      <c r="G104" s="25"/>
      <c r="H104" s="27">
        <f t="shared" si="8"/>
        <v>0</v>
      </c>
      <c r="I104" s="27">
        <f t="shared" si="5"/>
        <v>0</v>
      </c>
      <c r="J104" s="25">
        <f t="shared" si="6"/>
        <v>0</v>
      </c>
    </row>
    <row r="105" s="1" customFormat="1" ht="12.75" customHeight="1" spans="1:10">
      <c r="A105" s="24"/>
      <c r="B105" s="25"/>
      <c r="C105" s="26"/>
      <c r="D105" s="27">
        <f>'7-7-2026'!I105</f>
        <v>0</v>
      </c>
      <c r="E105" s="24"/>
      <c r="F105" s="25"/>
      <c r="G105" s="25"/>
      <c r="H105" s="27">
        <f t="shared" si="8"/>
        <v>0</v>
      </c>
      <c r="I105" s="27">
        <f t="shared" si="5"/>
        <v>0</v>
      </c>
      <c r="J105" s="25">
        <f t="shared" si="6"/>
        <v>0</v>
      </c>
    </row>
    <row r="106" s="1" customFormat="1" ht="12.75" customHeight="1" spans="1:10">
      <c r="A106" s="24"/>
      <c r="B106" s="25"/>
      <c r="C106" s="26"/>
      <c r="D106" s="27">
        <f>'7-7-2026'!I106</f>
        <v>0</v>
      </c>
      <c r="E106" s="24"/>
      <c r="F106" s="25"/>
      <c r="G106" s="25"/>
      <c r="H106" s="27">
        <f t="shared" si="8"/>
        <v>0</v>
      </c>
      <c r="I106" s="27">
        <f t="shared" si="5"/>
        <v>0</v>
      </c>
      <c r="J106" s="25">
        <f t="shared" si="6"/>
        <v>0</v>
      </c>
    </row>
    <row r="107" s="1" customFormat="1" ht="12.75" customHeight="1" spans="1:10">
      <c r="A107" s="24"/>
      <c r="B107" s="25"/>
      <c r="C107" s="26"/>
      <c r="D107" s="27">
        <f>'7-7-2026'!I107</f>
        <v>0</v>
      </c>
      <c r="E107" s="24"/>
      <c r="F107" s="25"/>
      <c r="G107" s="25"/>
      <c r="H107" s="27">
        <f t="shared" si="8"/>
        <v>0</v>
      </c>
      <c r="I107" s="27">
        <f t="shared" si="5"/>
        <v>0</v>
      </c>
      <c r="J107" s="25">
        <f t="shared" si="6"/>
        <v>0</v>
      </c>
    </row>
    <row r="108" s="1" customFormat="1" ht="12.75" customHeight="1" spans="1:10">
      <c r="A108" s="24"/>
      <c r="B108" s="25"/>
      <c r="C108" s="26"/>
      <c r="D108" s="27">
        <f>'7-7-2026'!I108</f>
        <v>0</v>
      </c>
      <c r="E108" s="24"/>
      <c r="F108" s="25"/>
      <c r="G108" s="25"/>
      <c r="H108" s="27">
        <f t="shared" si="8"/>
        <v>0</v>
      </c>
      <c r="I108" s="27">
        <f t="shared" si="5"/>
        <v>0</v>
      </c>
      <c r="J108" s="25">
        <f t="shared" si="6"/>
        <v>0</v>
      </c>
    </row>
    <row r="109" s="1" customFormat="1" ht="12.75" customHeight="1" spans="1:10">
      <c r="A109" s="24"/>
      <c r="B109" s="25"/>
      <c r="C109" s="26"/>
      <c r="D109" s="27">
        <f>'16-6-26'!I109</f>
        <v>0</v>
      </c>
      <c r="E109" s="24"/>
      <c r="F109" s="25"/>
      <c r="G109" s="25"/>
      <c r="H109" s="27">
        <f t="shared" si="8"/>
        <v>0</v>
      </c>
      <c r="I109" s="27">
        <f t="shared" si="5"/>
        <v>0</v>
      </c>
      <c r="J109" s="25">
        <f t="shared" si="6"/>
        <v>0</v>
      </c>
    </row>
    <row r="110" s="1" customFormat="1" ht="12.75" customHeight="1" spans="1:10">
      <c r="A110" s="24"/>
      <c r="B110" s="25"/>
      <c r="C110" s="26"/>
      <c r="D110" s="27">
        <f>'16-6-26'!I110</f>
        <v>0</v>
      </c>
      <c r="E110" s="24"/>
      <c r="F110" s="25"/>
      <c r="G110" s="25"/>
      <c r="H110" s="27">
        <f t="shared" si="8"/>
        <v>0</v>
      </c>
      <c r="I110" s="27">
        <f t="shared" si="5"/>
        <v>0</v>
      </c>
      <c r="J110" s="25">
        <f t="shared" si="6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8"/>
        <v>0</v>
      </c>
      <c r="I111" s="27">
        <f t="shared" si="5"/>
        <v>0</v>
      </c>
      <c r="J111" s="25">
        <f t="shared" si="6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8"/>
        <v>0</v>
      </c>
      <c r="I112" s="27">
        <f t="shared" si="5"/>
        <v>0</v>
      </c>
      <c r="J112" s="25">
        <f t="shared" si="6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8"/>
        <v>0</v>
      </c>
      <c r="I113" s="27">
        <f t="shared" si="5"/>
        <v>0</v>
      </c>
      <c r="J113" s="25">
        <f t="shared" si="6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8"/>
        <v>0</v>
      </c>
      <c r="I114" s="27">
        <f t="shared" si="5"/>
        <v>0</v>
      </c>
      <c r="J114" s="25">
        <f t="shared" si="6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8"/>
        <v>0</v>
      </c>
      <c r="I115" s="27">
        <f t="shared" si="5"/>
        <v>0</v>
      </c>
      <c r="J115" s="25">
        <f t="shared" si="6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8"/>
        <v>0</v>
      </c>
      <c r="I116" s="27">
        <f t="shared" si="5"/>
        <v>0</v>
      </c>
      <c r="J116" s="25">
        <f t="shared" si="6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8"/>
        <v>0</v>
      </c>
      <c r="I117" s="27">
        <f t="shared" si="5"/>
        <v>0</v>
      </c>
      <c r="J117" s="25">
        <f t="shared" si="6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8"/>
        <v>0</v>
      </c>
      <c r="I118" s="27">
        <f t="shared" si="5"/>
        <v>0</v>
      </c>
      <c r="J118" s="25">
        <f t="shared" si="6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8"/>
        <v>0</v>
      </c>
      <c r="I119" s="27">
        <f t="shared" si="5"/>
        <v>0</v>
      </c>
      <c r="J119" s="25">
        <f t="shared" si="6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8"/>
        <v>0</v>
      </c>
      <c r="I120" s="27">
        <f t="shared" si="5"/>
        <v>0</v>
      </c>
      <c r="J120" s="25">
        <f t="shared" si="6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8"/>
        <v>0</v>
      </c>
      <c r="I121" s="27">
        <f t="shared" si="5"/>
        <v>0</v>
      </c>
      <c r="J121" s="25">
        <f t="shared" si="6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8"/>
        <v>0</v>
      </c>
      <c r="I122" s="27">
        <f t="shared" si="5"/>
        <v>0</v>
      </c>
      <c r="J122" s="25">
        <f t="shared" si="6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8"/>
        <v>0</v>
      </c>
      <c r="I123" s="27">
        <f t="shared" si="5"/>
        <v>0</v>
      </c>
      <c r="J123" s="25">
        <f t="shared" si="6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8"/>
        <v>0</v>
      </c>
      <c r="I124" s="27">
        <f t="shared" si="5"/>
        <v>0</v>
      </c>
      <c r="J124" s="25">
        <f t="shared" si="6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8"/>
        <v>0</v>
      </c>
      <c r="I125" s="27">
        <f t="shared" si="5"/>
        <v>0</v>
      </c>
      <c r="J125" s="25">
        <f t="shared" si="6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8"/>
        <v>0</v>
      </c>
      <c r="I126" s="27">
        <f t="shared" si="5"/>
        <v>0</v>
      </c>
      <c r="J126" s="25">
        <f t="shared" si="6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8"/>
        <v>0</v>
      </c>
      <c r="I127" s="27">
        <f t="shared" si="5"/>
        <v>0</v>
      </c>
      <c r="J127" s="25">
        <f t="shared" si="6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8"/>
        <v>0</v>
      </c>
      <c r="I128" s="27">
        <f t="shared" si="5"/>
        <v>0</v>
      </c>
      <c r="J128" s="25">
        <f t="shared" si="6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8"/>
        <v>0</v>
      </c>
      <c r="I129" s="27">
        <f t="shared" si="5"/>
        <v>0</v>
      </c>
      <c r="J129" s="25">
        <f t="shared" si="6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8"/>
        <v>0</v>
      </c>
      <c r="I130" s="27">
        <f t="shared" si="5"/>
        <v>0</v>
      </c>
      <c r="J130" s="25">
        <f t="shared" si="6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8"/>
        <v>0</v>
      </c>
      <c r="I131" s="27">
        <f t="shared" si="5"/>
        <v>0</v>
      </c>
      <c r="J131" s="25">
        <f t="shared" si="6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8"/>
        <v>0</v>
      </c>
      <c r="I132" s="27">
        <f t="shared" si="5"/>
        <v>0</v>
      </c>
      <c r="J132" s="25">
        <f t="shared" si="6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8"/>
        <v>0</v>
      </c>
      <c r="I133" s="27">
        <f t="shared" si="5"/>
        <v>0</v>
      </c>
      <c r="J133" s="25">
        <f t="shared" si="6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8"/>
        <v>0</v>
      </c>
      <c r="I134" s="27">
        <f t="shared" si="5"/>
        <v>0</v>
      </c>
      <c r="J134" s="25">
        <f t="shared" si="6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8"/>
        <v>0</v>
      </c>
      <c r="I135" s="27">
        <f t="shared" si="5"/>
        <v>0</v>
      </c>
      <c r="J135" s="25">
        <f t="shared" si="6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8"/>
        <v>0</v>
      </c>
      <c r="I136" s="27">
        <f t="shared" si="5"/>
        <v>0</v>
      </c>
      <c r="J136" s="25">
        <f t="shared" si="6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9">SUM(F137:G137)</f>
        <v>0</v>
      </c>
      <c r="I137" s="27">
        <f t="shared" ref="I137:I187" si="10">D137-F137</f>
        <v>0</v>
      </c>
      <c r="J137" s="25">
        <f t="shared" ref="J137:J187" si="11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9"/>
        <v>0</v>
      </c>
      <c r="I138" s="27">
        <f t="shared" si="10"/>
        <v>0</v>
      </c>
      <c r="J138" s="25">
        <f t="shared" si="11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9"/>
        <v>0</v>
      </c>
      <c r="I139" s="27">
        <f t="shared" si="10"/>
        <v>0</v>
      </c>
      <c r="J139" s="25">
        <f t="shared" si="11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9"/>
        <v>0</v>
      </c>
      <c r="I140" s="27">
        <f t="shared" si="10"/>
        <v>0</v>
      </c>
      <c r="J140" s="25">
        <f t="shared" si="11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9"/>
        <v>0</v>
      </c>
      <c r="I141" s="27">
        <f t="shared" si="10"/>
        <v>0</v>
      </c>
      <c r="J141" s="25">
        <f t="shared" si="11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9"/>
        <v>0</v>
      </c>
      <c r="I142" s="27">
        <f t="shared" si="10"/>
        <v>0</v>
      </c>
      <c r="J142" s="25">
        <f t="shared" si="11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9"/>
        <v>0</v>
      </c>
      <c r="I143" s="27">
        <f t="shared" si="10"/>
        <v>0</v>
      </c>
      <c r="J143" s="25">
        <f t="shared" si="11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9"/>
        <v>0</v>
      </c>
      <c r="I144" s="27">
        <f t="shared" si="10"/>
        <v>0</v>
      </c>
      <c r="J144" s="25">
        <f t="shared" si="11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9"/>
        <v>0</v>
      </c>
      <c r="I145" s="27">
        <f t="shared" si="10"/>
        <v>0</v>
      </c>
      <c r="J145" s="25">
        <f t="shared" si="11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9"/>
        <v>0</v>
      </c>
      <c r="I146" s="27">
        <f t="shared" si="10"/>
        <v>0</v>
      </c>
      <c r="J146" s="25">
        <f t="shared" si="11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9"/>
        <v>0</v>
      </c>
      <c r="I147" s="27">
        <f t="shared" si="10"/>
        <v>0</v>
      </c>
      <c r="J147" s="25">
        <f t="shared" si="11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9"/>
        <v>0</v>
      </c>
      <c r="I148" s="27">
        <f t="shared" si="10"/>
        <v>0</v>
      </c>
      <c r="J148" s="25">
        <f t="shared" si="11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9"/>
        <v>0</v>
      </c>
      <c r="I149" s="27">
        <f t="shared" si="10"/>
        <v>0</v>
      </c>
      <c r="J149" s="25">
        <f t="shared" si="11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9"/>
        <v>0</v>
      </c>
      <c r="I150" s="27">
        <f t="shared" si="10"/>
        <v>0</v>
      </c>
      <c r="J150" s="25">
        <f t="shared" si="11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9"/>
        <v>0</v>
      </c>
      <c r="I151" s="27">
        <f t="shared" si="10"/>
        <v>0</v>
      </c>
      <c r="J151" s="25">
        <f t="shared" si="11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9"/>
        <v>0</v>
      </c>
      <c r="I152" s="27">
        <f t="shared" si="10"/>
        <v>0</v>
      </c>
      <c r="J152" s="25">
        <f t="shared" si="11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9"/>
        <v>0</v>
      </c>
      <c r="I153" s="27">
        <f t="shared" si="10"/>
        <v>0</v>
      </c>
      <c r="J153" s="25">
        <f t="shared" si="11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9"/>
        <v>0</v>
      </c>
      <c r="I154" s="27">
        <f t="shared" si="10"/>
        <v>0</v>
      </c>
      <c r="J154" s="25">
        <f t="shared" si="11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9"/>
        <v>0</v>
      </c>
      <c r="I155" s="27">
        <f t="shared" si="10"/>
        <v>0</v>
      </c>
      <c r="J155" s="25">
        <f t="shared" si="11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9"/>
        <v>0</v>
      </c>
      <c r="I156" s="27">
        <f t="shared" si="10"/>
        <v>0</v>
      </c>
      <c r="J156" s="25">
        <f t="shared" si="11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9"/>
        <v>0</v>
      </c>
      <c r="I157" s="27">
        <f t="shared" si="10"/>
        <v>0</v>
      </c>
      <c r="J157" s="25">
        <f t="shared" si="11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9"/>
        <v>0</v>
      </c>
      <c r="I158" s="27">
        <f t="shared" si="10"/>
        <v>0</v>
      </c>
      <c r="J158" s="25">
        <f t="shared" si="11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9"/>
        <v>0</v>
      </c>
      <c r="I159" s="27">
        <f t="shared" si="10"/>
        <v>0</v>
      </c>
      <c r="J159" s="25">
        <f t="shared" si="11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9"/>
        <v>0</v>
      </c>
      <c r="I160" s="27">
        <f t="shared" si="10"/>
        <v>0</v>
      </c>
      <c r="J160" s="25">
        <f t="shared" si="11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9"/>
        <v>0</v>
      </c>
      <c r="I161" s="27">
        <f t="shared" si="10"/>
        <v>0</v>
      </c>
      <c r="J161" s="25">
        <f t="shared" si="11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9"/>
        <v>0</v>
      </c>
      <c r="I162" s="27">
        <f t="shared" si="10"/>
        <v>0</v>
      </c>
      <c r="J162" s="25">
        <f t="shared" si="11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9"/>
        <v>0</v>
      </c>
      <c r="I163" s="27">
        <f t="shared" si="10"/>
        <v>0</v>
      </c>
      <c r="J163" s="25">
        <f t="shared" si="11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9"/>
        <v>0</v>
      </c>
      <c r="I164" s="27">
        <f t="shared" si="10"/>
        <v>0</v>
      </c>
      <c r="J164" s="25">
        <f t="shared" si="11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9"/>
        <v>0</v>
      </c>
      <c r="I165" s="27">
        <f t="shared" si="10"/>
        <v>0</v>
      </c>
      <c r="J165" s="25">
        <f t="shared" si="11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9"/>
        <v>0</v>
      </c>
      <c r="I166" s="27">
        <f t="shared" si="10"/>
        <v>0</v>
      </c>
      <c r="J166" s="25">
        <f t="shared" si="11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9"/>
        <v>0</v>
      </c>
      <c r="I167" s="27">
        <f t="shared" si="10"/>
        <v>0</v>
      </c>
      <c r="J167" s="25">
        <f t="shared" si="11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9"/>
        <v>0</v>
      </c>
      <c r="I168" s="27">
        <f t="shared" si="10"/>
        <v>0</v>
      </c>
      <c r="J168" s="25">
        <f t="shared" si="11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9"/>
        <v>0</v>
      </c>
      <c r="I169" s="27">
        <f t="shared" si="10"/>
        <v>0</v>
      </c>
      <c r="J169" s="25">
        <f t="shared" si="11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9"/>
        <v>0</v>
      </c>
      <c r="I170" s="27">
        <f t="shared" si="10"/>
        <v>0</v>
      </c>
      <c r="J170" s="25">
        <f t="shared" si="11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9"/>
        <v>0</v>
      </c>
      <c r="I171" s="27">
        <f t="shared" si="10"/>
        <v>0</v>
      </c>
      <c r="J171" s="25">
        <f t="shared" si="11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9"/>
        <v>0</v>
      </c>
      <c r="I172" s="27">
        <f t="shared" si="10"/>
        <v>0</v>
      </c>
      <c r="J172" s="25">
        <f t="shared" si="11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9"/>
        <v>0</v>
      </c>
      <c r="I173" s="27">
        <f t="shared" si="10"/>
        <v>0</v>
      </c>
      <c r="J173" s="25">
        <f t="shared" si="11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9"/>
        <v>0</v>
      </c>
      <c r="I174" s="27">
        <f t="shared" si="10"/>
        <v>0</v>
      </c>
      <c r="J174" s="25">
        <f t="shared" si="11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9"/>
        <v>0</v>
      </c>
      <c r="I175" s="27">
        <f t="shared" si="10"/>
        <v>0</v>
      </c>
      <c r="J175" s="25">
        <f t="shared" si="11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9"/>
        <v>0</v>
      </c>
      <c r="I176" s="27">
        <f t="shared" si="10"/>
        <v>0</v>
      </c>
      <c r="J176" s="25">
        <f t="shared" si="11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9"/>
        <v>0</v>
      </c>
      <c r="I177" s="27">
        <f t="shared" si="10"/>
        <v>0</v>
      </c>
      <c r="J177" s="25">
        <f t="shared" si="11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9"/>
        <v>0</v>
      </c>
      <c r="I178" s="27">
        <f t="shared" si="10"/>
        <v>0</v>
      </c>
      <c r="J178" s="25">
        <f t="shared" si="11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9"/>
        <v>0</v>
      </c>
      <c r="I179" s="27">
        <f t="shared" si="10"/>
        <v>0</v>
      </c>
      <c r="J179" s="25">
        <f t="shared" si="11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9"/>
        <v>0</v>
      </c>
      <c r="I180" s="27">
        <f t="shared" si="10"/>
        <v>0</v>
      </c>
      <c r="J180" s="25">
        <f t="shared" si="11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9"/>
        <v>0</v>
      </c>
      <c r="I181" s="27">
        <f t="shared" si="10"/>
        <v>0</v>
      </c>
      <c r="J181" s="25">
        <f t="shared" si="11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9"/>
        <v>0</v>
      </c>
      <c r="I182" s="27">
        <f t="shared" si="10"/>
        <v>0</v>
      </c>
      <c r="J182" s="25">
        <f t="shared" si="11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9"/>
        <v>0</v>
      </c>
      <c r="I183" s="27">
        <f t="shared" si="10"/>
        <v>0</v>
      </c>
      <c r="J183" s="25">
        <f t="shared" si="11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9"/>
        <v>0</v>
      </c>
      <c r="I184" s="27">
        <f t="shared" si="10"/>
        <v>0</v>
      </c>
      <c r="J184" s="25">
        <f t="shared" si="11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9"/>
        <v>0</v>
      </c>
      <c r="I185" s="27">
        <f t="shared" si="10"/>
        <v>0</v>
      </c>
      <c r="J185" s="25">
        <f t="shared" si="11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9"/>
        <v>0</v>
      </c>
      <c r="I186" s="27">
        <f t="shared" si="10"/>
        <v>0</v>
      </c>
      <c r="J186" s="25">
        <f t="shared" si="11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9"/>
        <v>0</v>
      </c>
      <c r="I187" s="27">
        <f t="shared" si="10"/>
        <v>0</v>
      </c>
      <c r="J187" s="25">
        <f t="shared" si="11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2">SUM(D9:D187)</f>
        <v>486547000</v>
      </c>
      <c r="E188" s="34">
        <f t="shared" si="12"/>
        <v>5</v>
      </c>
      <c r="F188" s="33">
        <f t="shared" si="12"/>
        <v>9575000</v>
      </c>
      <c r="G188" s="33">
        <f t="shared" si="12"/>
        <v>1752000</v>
      </c>
      <c r="H188" s="33">
        <f t="shared" si="12"/>
        <v>11327000</v>
      </c>
      <c r="I188" s="33">
        <f t="shared" si="12"/>
        <v>476972000</v>
      </c>
      <c r="J188" s="33">
        <f t="shared" si="12"/>
        <v>175200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1752000</v>
      </c>
      <c r="E191" s="3"/>
      <c r="F191" s="135" t="s">
        <v>234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87600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963600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43800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43800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43800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43800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175200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438000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1752000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zoomScale="140" zoomScaleNormal="140" workbookViewId="0">
      <selection activeCell="A1" sqref="$A1:$XFD1048576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79047619047619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235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'14-7-26'!I9</f>
        <v>5500000</v>
      </c>
      <c r="E9" s="24"/>
      <c r="F9" s="25"/>
      <c r="G9" s="25"/>
      <c r="H9" s="27">
        <f t="shared" ref="H9:H72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'14-7-26'!I10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'14-7-26'!I11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'14-7-26'!I12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'14-7-26'!I13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'14-7-26'!I14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'14-7-26'!I15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'14-7-26'!I16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'14-7-26'!I17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'14-7-26'!I18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'14-7-26'!I19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'14-7-26'!I20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'14-7-26'!I21</f>
        <v>11850000</v>
      </c>
      <c r="E21" s="24"/>
      <c r="F21" s="25"/>
      <c r="G21" s="25"/>
      <c r="H21" s="27">
        <f t="shared" si="0"/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'14-7-26'!I22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'14-7-26'!I23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'14-7-26'!I24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'14-7-26'!I25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'14-7-26'!I26</f>
        <v>3800000</v>
      </c>
      <c r="E26" s="24"/>
      <c r="F26" s="25"/>
      <c r="G26" s="25"/>
      <c r="H26" s="27">
        <f t="shared" si="0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'14-7-26'!I27</f>
        <v>490000</v>
      </c>
      <c r="E27" s="24">
        <v>14</v>
      </c>
      <c r="F27" s="25">
        <v>270000</v>
      </c>
      <c r="G27" s="25">
        <v>80000</v>
      </c>
      <c r="H27" s="27">
        <f t="shared" si="0"/>
        <v>350000</v>
      </c>
      <c r="I27" s="27">
        <f t="shared" si="1"/>
        <v>220000</v>
      </c>
      <c r="J27" s="25">
        <f t="shared" si="2"/>
        <v>8000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'14-7-26'!I28</f>
        <v>0</v>
      </c>
      <c r="E28" s="24"/>
      <c r="F28" s="25"/>
      <c r="G28" s="25"/>
      <c r="H28" s="27">
        <f t="shared" si="0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'14-7-26'!I29</f>
        <v>0</v>
      </c>
      <c r="E29" s="24"/>
      <c r="F29" s="25"/>
      <c r="G29" s="25"/>
      <c r="H29" s="27">
        <f t="shared" si="0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'14-7-26'!I30</f>
        <v>2500000</v>
      </c>
      <c r="E30" s="24"/>
      <c r="F30" s="25"/>
      <c r="G30" s="25"/>
      <c r="H30" s="27">
        <f t="shared" si="0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'14-7-26'!I31</f>
        <v>250000</v>
      </c>
      <c r="E31" s="24">
        <v>20</v>
      </c>
      <c r="F31" s="25">
        <v>250000</v>
      </c>
      <c r="G31" s="25">
        <v>100000</v>
      </c>
      <c r="H31" s="27">
        <f t="shared" si="0"/>
        <v>350000</v>
      </c>
      <c r="I31" s="27">
        <f t="shared" si="1"/>
        <v>0</v>
      </c>
      <c r="J31" s="25">
        <f t="shared" si="2"/>
        <v>10000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'14-7-26'!I32</f>
        <v>12000000</v>
      </c>
      <c r="E32" s="24"/>
      <c r="F32" s="25"/>
      <c r="G32" s="25"/>
      <c r="H32" s="27">
        <f t="shared" si="0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'14-7-26'!I33</f>
        <v>450000</v>
      </c>
      <c r="E33" s="24"/>
      <c r="F33" s="25"/>
      <c r="G33" s="25"/>
      <c r="H33" s="27">
        <f t="shared" si="0"/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'14-7-26'!I34</f>
        <v>2400000</v>
      </c>
      <c r="E34" s="24"/>
      <c r="F34" s="25"/>
      <c r="G34" s="25"/>
      <c r="H34" s="27">
        <f t="shared" si="0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'14-7-26'!I35</f>
        <v>3250000</v>
      </c>
      <c r="E35" s="24"/>
      <c r="F35" s="25"/>
      <c r="G35" s="25"/>
      <c r="H35" s="27">
        <f t="shared" si="0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'14-7-26'!I36</f>
        <v>3600000</v>
      </c>
      <c r="E36" s="24"/>
      <c r="F36" s="25"/>
      <c r="G36" s="25"/>
      <c r="H36" s="27">
        <f t="shared" si="0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'14-7-26'!I37</f>
        <v>1250000</v>
      </c>
      <c r="E37" s="24">
        <v>14</v>
      </c>
      <c r="F37" s="25">
        <v>1250000</v>
      </c>
      <c r="G37" s="25">
        <v>1000000</v>
      </c>
      <c r="H37" s="27">
        <f t="shared" si="0"/>
        <v>2250000</v>
      </c>
      <c r="I37" s="27">
        <f t="shared" si="1"/>
        <v>0</v>
      </c>
      <c r="J37" s="25">
        <f t="shared" si="2"/>
        <v>100000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'14-7-26'!I38</f>
        <v>5800000</v>
      </c>
      <c r="E38" s="24"/>
      <c r="F38" s="25"/>
      <c r="G38" s="25"/>
      <c r="H38" s="27">
        <f t="shared" si="0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'14-7-26'!I39</f>
        <v>13060000</v>
      </c>
      <c r="E39" s="24"/>
      <c r="F39" s="25"/>
      <c r="G39" s="25"/>
      <c r="H39" s="27">
        <f t="shared" si="0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'14-7-26'!I40</f>
        <v>0</v>
      </c>
      <c r="E40" s="24"/>
      <c r="F40" s="25"/>
      <c r="G40" s="25"/>
      <c r="H40" s="27">
        <f t="shared" si="0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'14-7-26'!I41</f>
        <v>1200000</v>
      </c>
      <c r="E41" s="24"/>
      <c r="F41" s="25"/>
      <c r="G41" s="25"/>
      <c r="H41" s="27">
        <f t="shared" si="0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'14-7-26'!I42</f>
        <v>900000</v>
      </c>
      <c r="E42" s="24"/>
      <c r="F42" s="25"/>
      <c r="G42" s="25"/>
      <c r="H42" s="27">
        <f t="shared" si="0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'14-7-26'!I43</f>
        <v>3750000</v>
      </c>
      <c r="E43" s="24"/>
      <c r="F43" s="25"/>
      <c r="G43" s="25"/>
      <c r="H43" s="27">
        <f t="shared" si="0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'14-7-26'!I44</f>
        <v>10320000</v>
      </c>
      <c r="E44" s="24"/>
      <c r="F44" s="25"/>
      <c r="G44" s="25"/>
      <c r="H44" s="27">
        <f t="shared" si="0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'14-7-26'!I45</f>
        <v>10500000</v>
      </c>
      <c r="E45" s="24"/>
      <c r="F45" s="25"/>
      <c r="G45" s="25"/>
      <c r="H45" s="27">
        <f t="shared" si="0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'14-7-26'!I46</f>
        <v>0</v>
      </c>
      <c r="E46" s="24"/>
      <c r="F46" s="25"/>
      <c r="G46" s="25"/>
      <c r="H46" s="27">
        <f t="shared" si="0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'14-7-26'!I47</f>
        <v>9000000</v>
      </c>
      <c r="E47" s="24"/>
      <c r="F47" s="25"/>
      <c r="G47" s="25"/>
      <c r="H47" s="27">
        <f t="shared" si="0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'14-7-26'!I48</f>
        <v>400000</v>
      </c>
      <c r="E48" s="24"/>
      <c r="F48" s="25"/>
      <c r="G48" s="25"/>
      <c r="H48" s="27">
        <f t="shared" si="0"/>
        <v>0</v>
      </c>
      <c r="I48" s="27">
        <f t="shared" si="1"/>
        <v>400000</v>
      </c>
      <c r="J48" s="25">
        <f t="shared" si="2"/>
        <v>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'14-7-26'!I49</f>
        <v>0</v>
      </c>
      <c r="E49" s="24"/>
      <c r="F49" s="25"/>
      <c r="G49" s="25"/>
      <c r="H49" s="27">
        <f t="shared" ref="H49:H80" si="3">SUM(F49:G49)</f>
        <v>0</v>
      </c>
      <c r="I49" s="27">
        <f t="shared" si="1"/>
        <v>0</v>
      </c>
      <c r="J49" s="25">
        <f t="shared" si="2"/>
        <v>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'14-7-26'!I50</f>
        <v>0</v>
      </c>
      <c r="E50" s="24"/>
      <c r="F50" s="25"/>
      <c r="G50" s="25"/>
      <c r="H50" s="27">
        <f t="shared" si="3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'14-7-26'!I51</f>
        <v>14700000</v>
      </c>
      <c r="E51" s="24"/>
      <c r="F51" s="25"/>
      <c r="G51" s="25"/>
      <c r="H51" s="27">
        <f t="shared" si="3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'14-7-26'!I52</f>
        <v>24600000</v>
      </c>
      <c r="E52" s="24">
        <v>9</v>
      </c>
      <c r="F52" s="25">
        <v>800000</v>
      </c>
      <c r="G52" s="25">
        <v>600000</v>
      </c>
      <c r="H52" s="27">
        <f t="shared" si="3"/>
        <v>1400000</v>
      </c>
      <c r="I52" s="27">
        <f t="shared" si="1"/>
        <v>23800000</v>
      </c>
      <c r="J52" s="25">
        <f t="shared" si="2"/>
        <v>60000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'14-7-26'!I53</f>
        <v>0</v>
      </c>
      <c r="E53" s="24"/>
      <c r="F53" s="25"/>
      <c r="G53" s="25"/>
      <c r="H53" s="27">
        <f t="shared" si="3"/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'14-7-26'!I54</f>
        <v>4200000</v>
      </c>
      <c r="E54" s="24"/>
      <c r="F54" s="25"/>
      <c r="G54" s="25"/>
      <c r="H54" s="27">
        <f t="shared" si="3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'14-7-26'!I55</f>
        <v>7460000</v>
      </c>
      <c r="E55" s="24"/>
      <c r="F55" s="25"/>
      <c r="G55" s="25"/>
      <c r="H55" s="27">
        <f t="shared" si="3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'14-7-26'!I56</f>
        <v>0</v>
      </c>
      <c r="E56" s="24"/>
      <c r="F56" s="25"/>
      <c r="G56" s="25"/>
      <c r="H56" s="27">
        <f t="shared" si="3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'14-7-26'!I57</f>
        <v>20000000</v>
      </c>
      <c r="E57" s="24"/>
      <c r="F57" s="25"/>
      <c r="G57" s="25"/>
      <c r="H57" s="27">
        <f t="shared" si="3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'14-7-26'!I58</f>
        <v>0</v>
      </c>
      <c r="E58" s="24"/>
      <c r="F58" s="25"/>
      <c r="G58" s="25"/>
      <c r="H58" s="27">
        <f t="shared" si="3"/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'14-7-26'!I59</f>
        <v>0</v>
      </c>
      <c r="E59" s="24"/>
      <c r="F59" s="25"/>
      <c r="G59" s="25"/>
      <c r="H59" s="27">
        <f t="shared" si="3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'14-7-26'!I60</f>
        <v>0</v>
      </c>
      <c r="E60" s="24"/>
      <c r="F60" s="25"/>
      <c r="G60" s="25"/>
      <c r="H60" s="27">
        <f t="shared" si="3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'14-7-26'!I61</f>
        <v>230000</v>
      </c>
      <c r="E61" s="24"/>
      <c r="F61" s="25"/>
      <c r="G61" s="25"/>
      <c r="H61" s="27">
        <f t="shared" si="3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'14-7-26'!I62</f>
        <v>0</v>
      </c>
      <c r="E62" s="24"/>
      <c r="F62" s="25"/>
      <c r="G62" s="25"/>
      <c r="H62" s="27">
        <f t="shared" si="3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'14-7-26'!I63</f>
        <v>0</v>
      </c>
      <c r="E63" s="24"/>
      <c r="F63" s="25"/>
      <c r="G63" s="25"/>
      <c r="H63" s="27">
        <f t="shared" si="3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'14-7-26'!I64</f>
        <v>0</v>
      </c>
      <c r="E64" s="24"/>
      <c r="F64" s="25"/>
      <c r="G64" s="25"/>
      <c r="H64" s="27">
        <f t="shared" si="3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'14-7-26'!I65</f>
        <v>5862000</v>
      </c>
      <c r="E65" s="24"/>
      <c r="F65" s="25"/>
      <c r="G65" s="25"/>
      <c r="H65" s="27">
        <f t="shared" si="3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'14-7-26'!I66</f>
        <v>0</v>
      </c>
      <c r="E66" s="24"/>
      <c r="F66" s="25"/>
      <c r="G66" s="25"/>
      <c r="H66" s="27">
        <f t="shared" si="3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'14-7-26'!I67</f>
        <v>0</v>
      </c>
      <c r="E67" s="24"/>
      <c r="F67" s="25"/>
      <c r="G67" s="25"/>
      <c r="H67" s="27">
        <f t="shared" si="3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'14-7-26'!I68</f>
        <v>400000</v>
      </c>
      <c r="E68" s="24"/>
      <c r="F68" s="25"/>
      <c r="G68" s="25"/>
      <c r="H68" s="27">
        <f t="shared" si="3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'14-7-26'!I69</f>
        <v>50000000</v>
      </c>
      <c r="E69" s="24"/>
      <c r="F69" s="25"/>
      <c r="G69" s="25"/>
      <c r="H69" s="27">
        <f t="shared" si="3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'14-7-26'!I70</f>
        <v>1000000</v>
      </c>
      <c r="E70" s="24">
        <v>1</v>
      </c>
      <c r="F70" s="25">
        <v>400000</v>
      </c>
      <c r="G70" s="25">
        <v>40000</v>
      </c>
      <c r="H70" s="27">
        <f t="shared" si="3"/>
        <v>440000</v>
      </c>
      <c r="I70" s="27">
        <f t="shared" si="1"/>
        <v>600000</v>
      </c>
      <c r="J70" s="25">
        <f t="shared" si="2"/>
        <v>4000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'14-7-26'!I71</f>
        <v>1000000</v>
      </c>
      <c r="E71" s="24"/>
      <c r="F71" s="25"/>
      <c r="G71" s="25"/>
      <c r="H71" s="27">
        <f t="shared" si="3"/>
        <v>0</v>
      </c>
      <c r="I71" s="27">
        <f t="shared" si="1"/>
        <v>1000000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'14-7-26'!I72</f>
        <v>1600000</v>
      </c>
      <c r="E72" s="24">
        <v>3</v>
      </c>
      <c r="F72" s="25">
        <v>200000</v>
      </c>
      <c r="G72" s="25">
        <v>40000</v>
      </c>
      <c r="H72" s="27">
        <f t="shared" si="3"/>
        <v>240000</v>
      </c>
      <c r="I72" s="27">
        <f t="shared" si="1"/>
        <v>1400000</v>
      </c>
      <c r="J72" s="25">
        <f t="shared" si="2"/>
        <v>4000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'14-7-26'!I73</f>
        <v>0</v>
      </c>
      <c r="E73" s="25"/>
      <c r="F73" s="25"/>
      <c r="G73" s="25"/>
      <c r="H73" s="27">
        <f t="shared" si="3"/>
        <v>0</v>
      </c>
      <c r="I73" s="27">
        <f t="shared" ref="I73:I136" si="4">D73-F73</f>
        <v>0</v>
      </c>
      <c r="J73" s="25">
        <f t="shared" ref="J73:J136" si="5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'14-7-26'!I74</f>
        <v>0</v>
      </c>
      <c r="E74" s="24"/>
      <c r="F74" s="25"/>
      <c r="G74" s="25"/>
      <c r="H74" s="27">
        <f t="shared" si="3"/>
        <v>0</v>
      </c>
      <c r="I74" s="27">
        <f t="shared" si="4"/>
        <v>0</v>
      </c>
      <c r="J74" s="25">
        <f t="shared" si="5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'14-7-26'!I75</f>
        <v>2100000</v>
      </c>
      <c r="E75" s="24"/>
      <c r="F75" s="25"/>
      <c r="G75" s="25"/>
      <c r="H75" s="27">
        <f t="shared" si="3"/>
        <v>0</v>
      </c>
      <c r="I75" s="27">
        <f t="shared" si="4"/>
        <v>2100000</v>
      </c>
      <c r="J75" s="25">
        <f t="shared" si="5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'14-7-26'!I76</f>
        <v>660000</v>
      </c>
      <c r="E76" s="24"/>
      <c r="F76" s="25"/>
      <c r="G76" s="25"/>
      <c r="H76" s="27">
        <f t="shared" si="3"/>
        <v>0</v>
      </c>
      <c r="I76" s="27">
        <f t="shared" si="4"/>
        <v>660000</v>
      </c>
      <c r="J76" s="25">
        <f t="shared" si="5"/>
        <v>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'14-7-26'!I77</f>
        <v>4250000</v>
      </c>
      <c r="E77" s="24"/>
      <c r="F77" s="25"/>
      <c r="G77" s="25"/>
      <c r="H77" s="27">
        <f t="shared" si="3"/>
        <v>0</v>
      </c>
      <c r="I77" s="27">
        <f t="shared" si="4"/>
        <v>4250000</v>
      </c>
      <c r="J77" s="25">
        <f t="shared" si="5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'14-7-26'!I78</f>
        <v>8000000</v>
      </c>
      <c r="E78" s="24"/>
      <c r="F78" s="25"/>
      <c r="G78" s="25"/>
      <c r="H78" s="27">
        <f t="shared" si="3"/>
        <v>0</v>
      </c>
      <c r="I78" s="27">
        <f t="shared" si="4"/>
        <v>8000000</v>
      </c>
      <c r="J78" s="25">
        <f t="shared" si="5"/>
        <v>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'14-7-26'!I79</f>
        <v>1500000</v>
      </c>
      <c r="E79" s="24"/>
      <c r="F79" s="25"/>
      <c r="G79" s="25"/>
      <c r="H79" s="27">
        <f t="shared" si="3"/>
        <v>0</v>
      </c>
      <c r="I79" s="27">
        <f t="shared" si="4"/>
        <v>1500000</v>
      </c>
      <c r="J79" s="25">
        <f t="shared" si="5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'14-7-26'!I80</f>
        <v>600000</v>
      </c>
      <c r="E80" s="24"/>
      <c r="F80" s="25"/>
      <c r="G80" s="25"/>
      <c r="H80" s="27">
        <f t="shared" si="3"/>
        <v>0</v>
      </c>
      <c r="I80" s="27">
        <f t="shared" si="4"/>
        <v>600000</v>
      </c>
      <c r="J80" s="25">
        <f t="shared" si="5"/>
        <v>0</v>
      </c>
    </row>
    <row r="81" s="1" customFormat="1" ht="12.75" customHeight="1" spans="1:10">
      <c r="A81" s="24">
        <v>73</v>
      </c>
      <c r="B81" s="25" t="s">
        <v>178</v>
      </c>
      <c r="C81" s="133" t="s">
        <v>176</v>
      </c>
      <c r="D81" s="27">
        <f>'14-7-26'!I81</f>
        <v>5600000</v>
      </c>
      <c r="E81" s="24"/>
      <c r="F81" s="25"/>
      <c r="G81" s="25"/>
      <c r="H81" s="27">
        <f t="shared" ref="H81:H136" si="6">SUM(F81:G81)</f>
        <v>0</v>
      </c>
      <c r="I81" s="27">
        <f t="shared" si="4"/>
        <v>5600000</v>
      </c>
      <c r="J81" s="25">
        <f t="shared" si="5"/>
        <v>0</v>
      </c>
    </row>
    <row r="82" s="1" customFormat="1" ht="12.75" customHeight="1" spans="1:10">
      <c r="A82" s="24">
        <v>74</v>
      </c>
      <c r="B82" s="25" t="s">
        <v>183</v>
      </c>
      <c r="C82" s="133" t="s">
        <v>184</v>
      </c>
      <c r="D82" s="27">
        <f>'14-7-26'!I82</f>
        <v>600000</v>
      </c>
      <c r="E82" s="25"/>
      <c r="F82" s="25"/>
      <c r="G82" s="25"/>
      <c r="H82" s="27">
        <f t="shared" si="6"/>
        <v>0</v>
      </c>
      <c r="I82" s="27">
        <f t="shared" si="4"/>
        <v>600000</v>
      </c>
      <c r="J82" s="25">
        <f t="shared" si="5"/>
        <v>0</v>
      </c>
    </row>
    <row r="83" s="1" customFormat="1" ht="12.75" customHeight="1" spans="1:10">
      <c r="A83" s="24">
        <v>75</v>
      </c>
      <c r="B83" s="25" t="s">
        <v>51</v>
      </c>
      <c r="C83" s="26" t="s">
        <v>189</v>
      </c>
      <c r="D83" s="27">
        <f>'14-7-26'!I83</f>
        <v>500000</v>
      </c>
      <c r="E83" s="24"/>
      <c r="F83" s="25"/>
      <c r="G83" s="25"/>
      <c r="H83" s="27">
        <f t="shared" si="6"/>
        <v>0</v>
      </c>
      <c r="I83" s="27">
        <f t="shared" si="4"/>
        <v>500000</v>
      </c>
      <c r="J83" s="25">
        <f t="shared" si="5"/>
        <v>0</v>
      </c>
    </row>
    <row r="84" s="1" customFormat="1" ht="12.75" customHeight="1" spans="1:10">
      <c r="A84" s="24">
        <v>76</v>
      </c>
      <c r="B84" s="25" t="s">
        <v>117</v>
      </c>
      <c r="C84" s="26" t="s">
        <v>189</v>
      </c>
      <c r="D84" s="27">
        <f>'14-7-26'!I84</f>
        <v>0</v>
      </c>
      <c r="E84" s="24"/>
      <c r="F84" s="25"/>
      <c r="G84" s="25"/>
      <c r="H84" s="27">
        <f t="shared" si="6"/>
        <v>0</v>
      </c>
      <c r="I84" s="27">
        <f t="shared" si="4"/>
        <v>0</v>
      </c>
      <c r="J84" s="25">
        <f t="shared" si="5"/>
        <v>0</v>
      </c>
    </row>
    <row r="85" s="1" customFormat="1" ht="12.75" customHeight="1" spans="1:10">
      <c r="A85" s="24">
        <v>77</v>
      </c>
      <c r="B85" s="25" t="s">
        <v>122</v>
      </c>
      <c r="C85" s="133" t="s">
        <v>199</v>
      </c>
      <c r="D85" s="27">
        <f>'14-7-26'!I85</f>
        <v>5000000</v>
      </c>
      <c r="E85" s="24"/>
      <c r="F85" s="25"/>
      <c r="G85" s="25"/>
      <c r="H85" s="27">
        <f t="shared" si="6"/>
        <v>0</v>
      </c>
      <c r="I85" s="27">
        <f t="shared" si="4"/>
        <v>5000000</v>
      </c>
      <c r="J85" s="25">
        <f t="shared" si="5"/>
        <v>0</v>
      </c>
    </row>
    <row r="86" s="1" customFormat="1" ht="12.75" customHeight="1" spans="1:10">
      <c r="A86" s="24">
        <v>78</v>
      </c>
      <c r="B86" s="25" t="s">
        <v>200</v>
      </c>
      <c r="C86" s="133" t="s">
        <v>201</v>
      </c>
      <c r="D86" s="27">
        <f>'14-7-26'!I86</f>
        <v>900000</v>
      </c>
      <c r="E86" s="24"/>
      <c r="F86" s="25"/>
      <c r="G86" s="25"/>
      <c r="H86" s="27">
        <f t="shared" si="6"/>
        <v>0</v>
      </c>
      <c r="I86" s="27">
        <f t="shared" si="4"/>
        <v>900000</v>
      </c>
      <c r="J86" s="25">
        <f t="shared" si="5"/>
        <v>0</v>
      </c>
    </row>
    <row r="87" s="1" customFormat="1" ht="12.75" customHeight="1" spans="1:10">
      <c r="A87" s="24">
        <v>79</v>
      </c>
      <c r="B87" s="25" t="s">
        <v>202</v>
      </c>
      <c r="C87" s="133" t="s">
        <v>201</v>
      </c>
      <c r="D87" s="27">
        <f>'14-7-26'!I87</f>
        <v>500000</v>
      </c>
      <c r="E87" s="24"/>
      <c r="F87" s="25"/>
      <c r="G87" s="25"/>
      <c r="H87" s="27">
        <f t="shared" si="6"/>
        <v>0</v>
      </c>
      <c r="I87" s="27">
        <f t="shared" si="4"/>
        <v>500000</v>
      </c>
      <c r="J87" s="25">
        <f t="shared" si="5"/>
        <v>0</v>
      </c>
    </row>
    <row r="88" s="1" customFormat="1" ht="12.75" customHeight="1" spans="1:10">
      <c r="A88" s="24">
        <v>80</v>
      </c>
      <c r="B88" s="25" t="s">
        <v>105</v>
      </c>
      <c r="C88" s="133" t="s">
        <v>203</v>
      </c>
      <c r="D88" s="27">
        <f>'14-7-26'!I88</f>
        <v>2400000</v>
      </c>
      <c r="E88" s="24"/>
      <c r="F88" s="25"/>
      <c r="G88" s="25"/>
      <c r="H88" s="27">
        <f t="shared" si="6"/>
        <v>0</v>
      </c>
      <c r="I88" s="27">
        <f t="shared" si="4"/>
        <v>2400000</v>
      </c>
      <c r="J88" s="25">
        <f t="shared" si="5"/>
        <v>0</v>
      </c>
    </row>
    <row r="89" s="1" customFormat="1" ht="12.75" customHeight="1" spans="1:10">
      <c r="A89" s="24">
        <v>81</v>
      </c>
      <c r="B89" s="25" t="s">
        <v>206</v>
      </c>
      <c r="C89" s="133" t="s">
        <v>207</v>
      </c>
      <c r="D89" s="27">
        <f>'14-7-26'!I89</f>
        <v>6000000</v>
      </c>
      <c r="E89" s="24"/>
      <c r="F89" s="25"/>
      <c r="G89" s="25"/>
      <c r="H89" s="27">
        <f t="shared" si="6"/>
        <v>0</v>
      </c>
      <c r="I89" s="27">
        <f t="shared" si="4"/>
        <v>6000000</v>
      </c>
      <c r="J89" s="25">
        <f t="shared" si="5"/>
        <v>0</v>
      </c>
    </row>
    <row r="90" s="1" customFormat="1" ht="12.75" customHeight="1" spans="1:10">
      <c r="A90" s="24">
        <v>82</v>
      </c>
      <c r="B90" s="25" t="s">
        <v>208</v>
      </c>
      <c r="C90" s="133" t="s">
        <v>207</v>
      </c>
      <c r="D90" s="27">
        <f>'14-7-26'!I90</f>
        <v>1600000</v>
      </c>
      <c r="E90" s="24"/>
      <c r="F90" s="25"/>
      <c r="G90" s="25"/>
      <c r="H90" s="27">
        <f t="shared" si="6"/>
        <v>0</v>
      </c>
      <c r="I90" s="27">
        <f t="shared" si="4"/>
        <v>1600000</v>
      </c>
      <c r="J90" s="25">
        <f t="shared" si="5"/>
        <v>0</v>
      </c>
    </row>
    <row r="91" s="1" customFormat="1" ht="12.75" customHeight="1" spans="1:10">
      <c r="A91" s="24">
        <v>83</v>
      </c>
      <c r="B91" s="25" t="s">
        <v>211</v>
      </c>
      <c r="C91" s="133" t="s">
        <v>212</v>
      </c>
      <c r="D91" s="27">
        <f>'14-7-26'!I91</f>
        <v>4500000</v>
      </c>
      <c r="E91" s="24">
        <v>2</v>
      </c>
      <c r="F91" s="25">
        <v>500000</v>
      </c>
      <c r="G91" s="25">
        <v>100000</v>
      </c>
      <c r="H91" s="27">
        <f t="shared" si="6"/>
        <v>600000</v>
      </c>
      <c r="I91" s="27">
        <f t="shared" si="4"/>
        <v>4000000</v>
      </c>
      <c r="J91" s="25">
        <f t="shared" si="5"/>
        <v>10000</v>
      </c>
    </row>
    <row r="92" s="1" customFormat="1" ht="12.75" customHeight="1" spans="1:10">
      <c r="A92" s="24">
        <v>84</v>
      </c>
      <c r="B92" s="25" t="s">
        <v>121</v>
      </c>
      <c r="C92" s="133" t="s">
        <v>215</v>
      </c>
      <c r="D92" s="27">
        <f>'14-7-26'!I92</f>
        <v>400000</v>
      </c>
      <c r="E92" s="24"/>
      <c r="F92" s="25"/>
      <c r="G92" s="25"/>
      <c r="H92" s="27">
        <f t="shared" si="6"/>
        <v>0</v>
      </c>
      <c r="I92" s="27">
        <f t="shared" si="4"/>
        <v>400000</v>
      </c>
      <c r="J92" s="25">
        <f t="shared" si="5"/>
        <v>0</v>
      </c>
    </row>
    <row r="93" s="1" customFormat="1" ht="12.75" customHeight="1" spans="1:10">
      <c r="A93" s="24">
        <v>85</v>
      </c>
      <c r="B93" s="25" t="s">
        <v>117</v>
      </c>
      <c r="C93" s="133" t="s">
        <v>215</v>
      </c>
      <c r="D93" s="27">
        <f>'14-7-26'!I93</f>
        <v>1350000</v>
      </c>
      <c r="E93" s="24"/>
      <c r="F93" s="25"/>
      <c r="G93" s="25"/>
      <c r="H93" s="27">
        <f t="shared" si="6"/>
        <v>0</v>
      </c>
      <c r="I93" s="27">
        <f t="shared" si="4"/>
        <v>1350000</v>
      </c>
      <c r="J93" s="25">
        <f t="shared" si="5"/>
        <v>0</v>
      </c>
    </row>
    <row r="94" s="1" customFormat="1" ht="12.75" customHeight="1" spans="1:10">
      <c r="A94" s="24">
        <v>86</v>
      </c>
      <c r="B94" s="25" t="s">
        <v>163</v>
      </c>
      <c r="C94" s="133" t="s">
        <v>215</v>
      </c>
      <c r="D94" s="27">
        <f>'14-7-26'!I94</f>
        <v>15000000</v>
      </c>
      <c r="E94" s="24"/>
      <c r="F94" s="25"/>
      <c r="G94" s="25"/>
      <c r="H94" s="27">
        <f t="shared" si="6"/>
        <v>0</v>
      </c>
      <c r="I94" s="27">
        <f t="shared" si="4"/>
        <v>15000000</v>
      </c>
      <c r="J94" s="25">
        <f t="shared" si="5"/>
        <v>0</v>
      </c>
    </row>
    <row r="95" s="1" customFormat="1" ht="12.75" customHeight="1" spans="1:10">
      <c r="A95" s="24">
        <v>87</v>
      </c>
      <c r="B95" s="25" t="s">
        <v>85</v>
      </c>
      <c r="C95" s="133" t="s">
        <v>220</v>
      </c>
      <c r="D95" s="27">
        <f>'14-7-26'!I95</f>
        <v>1875000</v>
      </c>
      <c r="E95" s="24"/>
      <c r="F95" s="25"/>
      <c r="G95" s="25"/>
      <c r="H95" s="27">
        <f t="shared" si="6"/>
        <v>0</v>
      </c>
      <c r="I95" s="27">
        <f t="shared" si="4"/>
        <v>1875000</v>
      </c>
      <c r="J95" s="25">
        <f t="shared" si="5"/>
        <v>0</v>
      </c>
    </row>
    <row r="96" s="1" customFormat="1" ht="12.75" customHeight="1" spans="1:10">
      <c r="A96" s="24">
        <v>88</v>
      </c>
      <c r="B96" s="25" t="s">
        <v>103</v>
      </c>
      <c r="C96" s="133" t="s">
        <v>223</v>
      </c>
      <c r="D96" s="27">
        <f>'14-7-26'!I96</f>
        <v>2000000</v>
      </c>
      <c r="E96" s="24"/>
      <c r="F96" s="25"/>
      <c r="G96" s="25"/>
      <c r="H96" s="27">
        <f t="shared" si="6"/>
        <v>0</v>
      </c>
      <c r="I96" s="27">
        <f t="shared" si="4"/>
        <v>2000000</v>
      </c>
      <c r="J96" s="25">
        <f t="shared" si="5"/>
        <v>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'14-7-26'!I97</f>
        <v>0</v>
      </c>
      <c r="E97" s="24"/>
      <c r="F97" s="25"/>
      <c r="G97" s="25"/>
      <c r="H97" s="27">
        <f t="shared" si="6"/>
        <v>0</v>
      </c>
      <c r="I97" s="27">
        <f t="shared" si="4"/>
        <v>0</v>
      </c>
      <c r="J97" s="25">
        <f t="shared" si="5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'14-7-26'!I98</f>
        <v>0</v>
      </c>
      <c r="E98" s="24"/>
      <c r="F98" s="25"/>
      <c r="G98" s="25"/>
      <c r="H98" s="27">
        <f t="shared" si="6"/>
        <v>0</v>
      </c>
      <c r="I98" s="27">
        <f t="shared" si="4"/>
        <v>0</v>
      </c>
      <c r="J98" s="25">
        <f t="shared" si="5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'14-7-26'!I99</f>
        <v>10000000</v>
      </c>
      <c r="E99" s="24"/>
      <c r="F99" s="25"/>
      <c r="G99" s="25"/>
      <c r="H99" s="27">
        <f t="shared" si="6"/>
        <v>0</v>
      </c>
      <c r="I99" s="27">
        <f t="shared" si="4"/>
        <v>10000000</v>
      </c>
      <c r="J99" s="25">
        <f t="shared" si="5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f>'14-7-26'!I100</f>
        <v>20000000</v>
      </c>
      <c r="E100" s="24"/>
      <c r="F100" s="25"/>
      <c r="G100" s="25"/>
      <c r="H100" s="27">
        <f t="shared" si="6"/>
        <v>0</v>
      </c>
      <c r="I100" s="27">
        <f t="shared" si="4"/>
        <v>20000000</v>
      </c>
      <c r="J100" s="25">
        <f t="shared" si="5"/>
        <v>0</v>
      </c>
    </row>
    <row r="101" s="1" customFormat="1" ht="12.75" customHeight="1" spans="1:10">
      <c r="A101" s="24">
        <v>93</v>
      </c>
      <c r="B101" s="25" t="s">
        <v>236</v>
      </c>
      <c r="C101" s="133" t="s">
        <v>237</v>
      </c>
      <c r="D101" s="27">
        <v>2100000</v>
      </c>
      <c r="E101" s="24"/>
      <c r="F101" s="25"/>
      <c r="G101" s="25"/>
      <c r="H101" s="27">
        <f t="shared" si="6"/>
        <v>0</v>
      </c>
      <c r="I101" s="27">
        <f t="shared" si="4"/>
        <v>2100000</v>
      </c>
      <c r="J101" s="25">
        <f t="shared" si="5"/>
        <v>0</v>
      </c>
    </row>
    <row r="102" s="1" customFormat="1" ht="12.75" customHeight="1" spans="1:10">
      <c r="A102" s="24"/>
      <c r="B102" s="25"/>
      <c r="C102" s="26"/>
      <c r="D102" s="27">
        <f>'7-7-2026'!I102</f>
        <v>0</v>
      </c>
      <c r="E102" s="24"/>
      <c r="F102" s="25"/>
      <c r="G102" s="25"/>
      <c r="H102" s="27">
        <f t="shared" si="6"/>
        <v>0</v>
      </c>
      <c r="I102" s="27">
        <f t="shared" si="4"/>
        <v>0</v>
      </c>
      <c r="J102" s="25">
        <f t="shared" si="5"/>
        <v>0</v>
      </c>
    </row>
    <row r="103" s="1" customFormat="1" ht="12.75" customHeight="1" spans="1:10">
      <c r="A103" s="24"/>
      <c r="B103" s="25"/>
      <c r="C103" s="26"/>
      <c r="D103" s="27">
        <f>'7-7-2026'!I103</f>
        <v>0</v>
      </c>
      <c r="E103" s="24"/>
      <c r="F103" s="25"/>
      <c r="G103" s="25"/>
      <c r="H103" s="27">
        <f t="shared" si="6"/>
        <v>0</v>
      </c>
      <c r="I103" s="27">
        <f t="shared" si="4"/>
        <v>0</v>
      </c>
      <c r="J103" s="25">
        <f t="shared" si="5"/>
        <v>0</v>
      </c>
    </row>
    <row r="104" s="1" customFormat="1" ht="12.75" customHeight="1" spans="1:10">
      <c r="A104" s="24"/>
      <c r="B104" s="25"/>
      <c r="C104" s="26"/>
      <c r="D104" s="27">
        <f>'7-7-2026'!I104</f>
        <v>0</v>
      </c>
      <c r="E104" s="24"/>
      <c r="F104" s="25"/>
      <c r="G104" s="25"/>
      <c r="H104" s="27">
        <f t="shared" si="6"/>
        <v>0</v>
      </c>
      <c r="I104" s="27">
        <f t="shared" si="4"/>
        <v>0</v>
      </c>
      <c r="J104" s="25">
        <f t="shared" si="5"/>
        <v>0</v>
      </c>
    </row>
    <row r="105" s="1" customFormat="1" ht="12.75" customHeight="1" spans="1:10">
      <c r="A105" s="24"/>
      <c r="B105" s="25"/>
      <c r="C105" s="26"/>
      <c r="D105" s="27">
        <f>'7-7-2026'!I105</f>
        <v>0</v>
      </c>
      <c r="E105" s="24"/>
      <c r="F105" s="25"/>
      <c r="G105" s="25"/>
      <c r="H105" s="27">
        <f t="shared" si="6"/>
        <v>0</v>
      </c>
      <c r="I105" s="27">
        <f t="shared" si="4"/>
        <v>0</v>
      </c>
      <c r="J105" s="25">
        <f t="shared" si="5"/>
        <v>0</v>
      </c>
    </row>
    <row r="106" s="1" customFormat="1" ht="12.75" customHeight="1" spans="1:10">
      <c r="A106" s="24"/>
      <c r="B106" s="25"/>
      <c r="C106" s="26"/>
      <c r="D106" s="27">
        <f>'7-7-2026'!I106</f>
        <v>0</v>
      </c>
      <c r="E106" s="24"/>
      <c r="F106" s="25"/>
      <c r="G106" s="25"/>
      <c r="H106" s="27">
        <f t="shared" si="6"/>
        <v>0</v>
      </c>
      <c r="I106" s="27">
        <f t="shared" si="4"/>
        <v>0</v>
      </c>
      <c r="J106" s="25">
        <f t="shared" si="5"/>
        <v>0</v>
      </c>
    </row>
    <row r="107" s="1" customFormat="1" ht="12.75" customHeight="1" spans="1:10">
      <c r="A107" s="24"/>
      <c r="B107" s="25"/>
      <c r="C107" s="26"/>
      <c r="D107" s="27">
        <f>'7-7-2026'!I107</f>
        <v>0</v>
      </c>
      <c r="E107" s="24"/>
      <c r="F107" s="25"/>
      <c r="G107" s="25"/>
      <c r="H107" s="27">
        <f t="shared" si="6"/>
        <v>0</v>
      </c>
      <c r="I107" s="27">
        <f t="shared" si="4"/>
        <v>0</v>
      </c>
      <c r="J107" s="25">
        <f t="shared" si="5"/>
        <v>0</v>
      </c>
    </row>
    <row r="108" s="1" customFormat="1" ht="12.75" customHeight="1" spans="1:10">
      <c r="A108" s="24"/>
      <c r="B108" s="25"/>
      <c r="C108" s="26"/>
      <c r="D108" s="27">
        <f>'7-7-2026'!I108</f>
        <v>0</v>
      </c>
      <c r="E108" s="24"/>
      <c r="F108" s="25"/>
      <c r="G108" s="25"/>
      <c r="H108" s="27">
        <f t="shared" si="6"/>
        <v>0</v>
      </c>
      <c r="I108" s="27">
        <f t="shared" si="4"/>
        <v>0</v>
      </c>
      <c r="J108" s="25">
        <f t="shared" si="5"/>
        <v>0</v>
      </c>
    </row>
    <row r="109" s="1" customFormat="1" ht="12.75" customHeight="1" spans="1:10">
      <c r="A109" s="24"/>
      <c r="B109" s="25"/>
      <c r="C109" s="26"/>
      <c r="D109" s="27">
        <f>'16-6-26'!I109</f>
        <v>0</v>
      </c>
      <c r="E109" s="24"/>
      <c r="F109" s="25"/>
      <c r="G109" s="25"/>
      <c r="H109" s="27">
        <f t="shared" si="6"/>
        <v>0</v>
      </c>
      <c r="I109" s="27">
        <f t="shared" si="4"/>
        <v>0</v>
      </c>
      <c r="J109" s="25">
        <f t="shared" si="5"/>
        <v>0</v>
      </c>
    </row>
    <row r="110" s="1" customFormat="1" ht="12.75" customHeight="1" spans="1:10">
      <c r="A110" s="24"/>
      <c r="B110" s="25"/>
      <c r="C110" s="26"/>
      <c r="D110" s="27">
        <f>'16-6-26'!I110</f>
        <v>0</v>
      </c>
      <c r="E110" s="24"/>
      <c r="F110" s="25"/>
      <c r="G110" s="25"/>
      <c r="H110" s="27">
        <f t="shared" si="6"/>
        <v>0</v>
      </c>
      <c r="I110" s="27">
        <f t="shared" si="4"/>
        <v>0</v>
      </c>
      <c r="J110" s="25">
        <f t="shared" si="5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6"/>
        <v>0</v>
      </c>
      <c r="I111" s="27">
        <f t="shared" si="4"/>
        <v>0</v>
      </c>
      <c r="J111" s="25">
        <f t="shared" si="5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6"/>
        <v>0</v>
      </c>
      <c r="I112" s="27">
        <f t="shared" si="4"/>
        <v>0</v>
      </c>
      <c r="J112" s="25">
        <f t="shared" si="5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6"/>
        <v>0</v>
      </c>
      <c r="I113" s="27">
        <f t="shared" si="4"/>
        <v>0</v>
      </c>
      <c r="J113" s="25">
        <f t="shared" si="5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6"/>
        <v>0</v>
      </c>
      <c r="I114" s="27">
        <f t="shared" si="4"/>
        <v>0</v>
      </c>
      <c r="J114" s="25">
        <f t="shared" si="5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6"/>
        <v>0</v>
      </c>
      <c r="I115" s="27">
        <f t="shared" si="4"/>
        <v>0</v>
      </c>
      <c r="J115" s="25">
        <f t="shared" si="5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6"/>
        <v>0</v>
      </c>
      <c r="I116" s="27">
        <f t="shared" si="4"/>
        <v>0</v>
      </c>
      <c r="J116" s="25">
        <f t="shared" si="5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6"/>
        <v>0</v>
      </c>
      <c r="I117" s="27">
        <f t="shared" si="4"/>
        <v>0</v>
      </c>
      <c r="J117" s="25">
        <f t="shared" si="5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6"/>
        <v>0</v>
      </c>
      <c r="I118" s="27">
        <f t="shared" si="4"/>
        <v>0</v>
      </c>
      <c r="J118" s="25">
        <f t="shared" si="5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6"/>
        <v>0</v>
      </c>
      <c r="I119" s="27">
        <f t="shared" si="4"/>
        <v>0</v>
      </c>
      <c r="J119" s="25">
        <f t="shared" si="5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6"/>
        <v>0</v>
      </c>
      <c r="I120" s="27">
        <f t="shared" si="4"/>
        <v>0</v>
      </c>
      <c r="J120" s="25">
        <f t="shared" si="5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6"/>
        <v>0</v>
      </c>
      <c r="I121" s="27">
        <f t="shared" si="4"/>
        <v>0</v>
      </c>
      <c r="J121" s="25">
        <f t="shared" si="5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6"/>
        <v>0</v>
      </c>
      <c r="I122" s="27">
        <f t="shared" si="4"/>
        <v>0</v>
      </c>
      <c r="J122" s="25">
        <f t="shared" si="5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6"/>
        <v>0</v>
      </c>
      <c r="I123" s="27">
        <f t="shared" si="4"/>
        <v>0</v>
      </c>
      <c r="J123" s="25">
        <f t="shared" si="5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6"/>
        <v>0</v>
      </c>
      <c r="I124" s="27">
        <f t="shared" si="4"/>
        <v>0</v>
      </c>
      <c r="J124" s="25">
        <f t="shared" si="5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6"/>
        <v>0</v>
      </c>
      <c r="I125" s="27">
        <f t="shared" si="4"/>
        <v>0</v>
      </c>
      <c r="J125" s="25">
        <f t="shared" si="5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6"/>
        <v>0</v>
      </c>
      <c r="I126" s="27">
        <f t="shared" si="4"/>
        <v>0</v>
      </c>
      <c r="J126" s="25">
        <f t="shared" si="5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6"/>
        <v>0</v>
      </c>
      <c r="I127" s="27">
        <f t="shared" si="4"/>
        <v>0</v>
      </c>
      <c r="J127" s="25">
        <f t="shared" si="5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6"/>
        <v>0</v>
      </c>
      <c r="I128" s="27">
        <f t="shared" si="4"/>
        <v>0</v>
      </c>
      <c r="J128" s="25">
        <f t="shared" si="5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6"/>
        <v>0</v>
      </c>
      <c r="I129" s="27">
        <f t="shared" si="4"/>
        <v>0</v>
      </c>
      <c r="J129" s="25">
        <f t="shared" si="5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6"/>
        <v>0</v>
      </c>
      <c r="I130" s="27">
        <f t="shared" si="4"/>
        <v>0</v>
      </c>
      <c r="J130" s="25">
        <f t="shared" si="5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6"/>
        <v>0</v>
      </c>
      <c r="I131" s="27">
        <f t="shared" si="4"/>
        <v>0</v>
      </c>
      <c r="J131" s="25">
        <f t="shared" si="5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6"/>
        <v>0</v>
      </c>
      <c r="I132" s="27">
        <f t="shared" si="4"/>
        <v>0</v>
      </c>
      <c r="J132" s="25">
        <f t="shared" si="5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6"/>
        <v>0</v>
      </c>
      <c r="I133" s="27">
        <f t="shared" si="4"/>
        <v>0</v>
      </c>
      <c r="J133" s="25">
        <f t="shared" si="5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6"/>
        <v>0</v>
      </c>
      <c r="I134" s="27">
        <f t="shared" si="4"/>
        <v>0</v>
      </c>
      <c r="J134" s="25">
        <f t="shared" si="5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6"/>
        <v>0</v>
      </c>
      <c r="I135" s="27">
        <f t="shared" si="4"/>
        <v>0</v>
      </c>
      <c r="J135" s="25">
        <f t="shared" si="5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6"/>
        <v>0</v>
      </c>
      <c r="I136" s="27">
        <f t="shared" si="4"/>
        <v>0</v>
      </c>
      <c r="J136" s="25">
        <f t="shared" si="5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7">SUM(F137:G137)</f>
        <v>0</v>
      </c>
      <c r="I137" s="27">
        <f t="shared" ref="I137:I187" si="8">D137-F137</f>
        <v>0</v>
      </c>
      <c r="J137" s="25">
        <f t="shared" ref="J137:J187" si="9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7"/>
        <v>0</v>
      </c>
      <c r="I138" s="27">
        <f t="shared" si="8"/>
        <v>0</v>
      </c>
      <c r="J138" s="25">
        <f t="shared" si="9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7"/>
        <v>0</v>
      </c>
      <c r="I139" s="27">
        <f t="shared" si="8"/>
        <v>0</v>
      </c>
      <c r="J139" s="25">
        <f t="shared" si="9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7"/>
        <v>0</v>
      </c>
      <c r="I140" s="27">
        <f t="shared" si="8"/>
        <v>0</v>
      </c>
      <c r="J140" s="25">
        <f t="shared" si="9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7"/>
        <v>0</v>
      </c>
      <c r="I141" s="27">
        <f t="shared" si="8"/>
        <v>0</v>
      </c>
      <c r="J141" s="25">
        <f t="shared" si="9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7"/>
        <v>0</v>
      </c>
      <c r="I142" s="27">
        <f t="shared" si="8"/>
        <v>0</v>
      </c>
      <c r="J142" s="25">
        <f t="shared" si="9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7"/>
        <v>0</v>
      </c>
      <c r="I143" s="27">
        <f t="shared" si="8"/>
        <v>0</v>
      </c>
      <c r="J143" s="25">
        <f t="shared" si="9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7"/>
        <v>0</v>
      </c>
      <c r="I144" s="27">
        <f t="shared" si="8"/>
        <v>0</v>
      </c>
      <c r="J144" s="25">
        <f t="shared" si="9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7"/>
        <v>0</v>
      </c>
      <c r="I145" s="27">
        <f t="shared" si="8"/>
        <v>0</v>
      </c>
      <c r="J145" s="25">
        <f t="shared" si="9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7"/>
        <v>0</v>
      </c>
      <c r="I146" s="27">
        <f t="shared" si="8"/>
        <v>0</v>
      </c>
      <c r="J146" s="25">
        <f t="shared" si="9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7"/>
        <v>0</v>
      </c>
      <c r="I147" s="27">
        <f t="shared" si="8"/>
        <v>0</v>
      </c>
      <c r="J147" s="25">
        <f t="shared" si="9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7"/>
        <v>0</v>
      </c>
      <c r="I148" s="27">
        <f t="shared" si="8"/>
        <v>0</v>
      </c>
      <c r="J148" s="25">
        <f t="shared" si="9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7"/>
        <v>0</v>
      </c>
      <c r="I149" s="27">
        <f t="shared" si="8"/>
        <v>0</v>
      </c>
      <c r="J149" s="25">
        <f t="shared" si="9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7"/>
        <v>0</v>
      </c>
      <c r="I150" s="27">
        <f t="shared" si="8"/>
        <v>0</v>
      </c>
      <c r="J150" s="25">
        <f t="shared" si="9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7"/>
        <v>0</v>
      </c>
      <c r="I151" s="27">
        <f t="shared" si="8"/>
        <v>0</v>
      </c>
      <c r="J151" s="25">
        <f t="shared" si="9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7"/>
        <v>0</v>
      </c>
      <c r="I152" s="27">
        <f t="shared" si="8"/>
        <v>0</v>
      </c>
      <c r="J152" s="25">
        <f t="shared" si="9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7"/>
        <v>0</v>
      </c>
      <c r="I153" s="27">
        <f t="shared" si="8"/>
        <v>0</v>
      </c>
      <c r="J153" s="25">
        <f t="shared" si="9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7"/>
        <v>0</v>
      </c>
      <c r="I154" s="27">
        <f t="shared" si="8"/>
        <v>0</v>
      </c>
      <c r="J154" s="25">
        <f t="shared" si="9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7"/>
        <v>0</v>
      </c>
      <c r="I155" s="27">
        <f t="shared" si="8"/>
        <v>0</v>
      </c>
      <c r="J155" s="25">
        <f t="shared" si="9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7"/>
        <v>0</v>
      </c>
      <c r="I156" s="27">
        <f t="shared" si="8"/>
        <v>0</v>
      </c>
      <c r="J156" s="25">
        <f t="shared" si="9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7"/>
        <v>0</v>
      </c>
      <c r="I157" s="27">
        <f t="shared" si="8"/>
        <v>0</v>
      </c>
      <c r="J157" s="25">
        <f t="shared" si="9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7"/>
        <v>0</v>
      </c>
      <c r="I158" s="27">
        <f t="shared" si="8"/>
        <v>0</v>
      </c>
      <c r="J158" s="25">
        <f t="shared" si="9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7"/>
        <v>0</v>
      </c>
      <c r="I159" s="27">
        <f t="shared" si="8"/>
        <v>0</v>
      </c>
      <c r="J159" s="25">
        <f t="shared" si="9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7"/>
        <v>0</v>
      </c>
      <c r="I160" s="27">
        <f t="shared" si="8"/>
        <v>0</v>
      </c>
      <c r="J160" s="25">
        <f t="shared" si="9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7"/>
        <v>0</v>
      </c>
      <c r="I161" s="27">
        <f t="shared" si="8"/>
        <v>0</v>
      </c>
      <c r="J161" s="25">
        <f t="shared" si="9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7"/>
        <v>0</v>
      </c>
      <c r="I162" s="27">
        <f t="shared" si="8"/>
        <v>0</v>
      </c>
      <c r="J162" s="25">
        <f t="shared" si="9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7"/>
        <v>0</v>
      </c>
      <c r="I163" s="27">
        <f t="shared" si="8"/>
        <v>0</v>
      </c>
      <c r="J163" s="25">
        <f t="shared" si="9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7"/>
        <v>0</v>
      </c>
      <c r="I164" s="27">
        <f t="shared" si="8"/>
        <v>0</v>
      </c>
      <c r="J164" s="25">
        <f t="shared" si="9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7"/>
        <v>0</v>
      </c>
      <c r="I165" s="27">
        <f t="shared" si="8"/>
        <v>0</v>
      </c>
      <c r="J165" s="25">
        <f t="shared" si="9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7"/>
        <v>0</v>
      </c>
      <c r="I166" s="27">
        <f t="shared" si="8"/>
        <v>0</v>
      </c>
      <c r="J166" s="25">
        <f t="shared" si="9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7"/>
        <v>0</v>
      </c>
      <c r="I167" s="27">
        <f t="shared" si="8"/>
        <v>0</v>
      </c>
      <c r="J167" s="25">
        <f t="shared" si="9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7"/>
        <v>0</v>
      </c>
      <c r="I168" s="27">
        <f t="shared" si="8"/>
        <v>0</v>
      </c>
      <c r="J168" s="25">
        <f t="shared" si="9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7"/>
        <v>0</v>
      </c>
      <c r="I169" s="27">
        <f t="shared" si="8"/>
        <v>0</v>
      </c>
      <c r="J169" s="25">
        <f t="shared" si="9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7"/>
        <v>0</v>
      </c>
      <c r="I170" s="27">
        <f t="shared" si="8"/>
        <v>0</v>
      </c>
      <c r="J170" s="25">
        <f t="shared" si="9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7"/>
        <v>0</v>
      </c>
      <c r="I171" s="27">
        <f t="shared" si="8"/>
        <v>0</v>
      </c>
      <c r="J171" s="25">
        <f t="shared" si="9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7"/>
        <v>0</v>
      </c>
      <c r="I172" s="27">
        <f t="shared" si="8"/>
        <v>0</v>
      </c>
      <c r="J172" s="25">
        <f t="shared" si="9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7"/>
        <v>0</v>
      </c>
      <c r="I173" s="27">
        <f t="shared" si="8"/>
        <v>0</v>
      </c>
      <c r="J173" s="25">
        <f t="shared" si="9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7"/>
        <v>0</v>
      </c>
      <c r="I174" s="27">
        <f t="shared" si="8"/>
        <v>0</v>
      </c>
      <c r="J174" s="25">
        <f t="shared" si="9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7"/>
        <v>0</v>
      </c>
      <c r="I175" s="27">
        <f t="shared" si="8"/>
        <v>0</v>
      </c>
      <c r="J175" s="25">
        <f t="shared" si="9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7"/>
        <v>0</v>
      </c>
      <c r="I176" s="27">
        <f t="shared" si="8"/>
        <v>0</v>
      </c>
      <c r="J176" s="25">
        <f t="shared" si="9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7"/>
        <v>0</v>
      </c>
      <c r="I177" s="27">
        <f t="shared" si="8"/>
        <v>0</v>
      </c>
      <c r="J177" s="25">
        <f t="shared" si="9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7"/>
        <v>0</v>
      </c>
      <c r="I178" s="27">
        <f t="shared" si="8"/>
        <v>0</v>
      </c>
      <c r="J178" s="25">
        <f t="shared" si="9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7"/>
        <v>0</v>
      </c>
      <c r="I179" s="27">
        <f t="shared" si="8"/>
        <v>0</v>
      </c>
      <c r="J179" s="25">
        <f t="shared" si="9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7"/>
        <v>0</v>
      </c>
      <c r="I180" s="27">
        <f t="shared" si="8"/>
        <v>0</v>
      </c>
      <c r="J180" s="25">
        <f t="shared" si="9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7"/>
        <v>0</v>
      </c>
      <c r="I181" s="27">
        <f t="shared" si="8"/>
        <v>0</v>
      </c>
      <c r="J181" s="25">
        <f t="shared" si="9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7"/>
        <v>0</v>
      </c>
      <c r="I182" s="27">
        <f t="shared" si="8"/>
        <v>0</v>
      </c>
      <c r="J182" s="25">
        <f t="shared" si="9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7"/>
        <v>0</v>
      </c>
      <c r="I183" s="27">
        <f t="shared" si="8"/>
        <v>0</v>
      </c>
      <c r="J183" s="25">
        <f t="shared" si="9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7"/>
        <v>0</v>
      </c>
      <c r="I184" s="27">
        <f t="shared" si="8"/>
        <v>0</v>
      </c>
      <c r="J184" s="25">
        <f t="shared" si="9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7"/>
        <v>0</v>
      </c>
      <c r="I185" s="27">
        <f t="shared" si="8"/>
        <v>0</v>
      </c>
      <c r="J185" s="25">
        <f t="shared" si="9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7"/>
        <v>0</v>
      </c>
      <c r="I186" s="27">
        <f t="shared" si="8"/>
        <v>0</v>
      </c>
      <c r="J186" s="25">
        <f t="shared" si="9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7"/>
        <v>0</v>
      </c>
      <c r="I187" s="27">
        <f t="shared" si="8"/>
        <v>0</v>
      </c>
      <c r="J187" s="25">
        <f t="shared" si="9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0">SUM(D9:D187)</f>
        <v>479072000</v>
      </c>
      <c r="E188" s="34">
        <f t="shared" si="10"/>
        <v>63</v>
      </c>
      <c r="F188" s="33">
        <f t="shared" si="10"/>
        <v>3670000</v>
      </c>
      <c r="G188" s="33">
        <f t="shared" si="10"/>
        <v>1960000</v>
      </c>
      <c r="H188" s="33">
        <f t="shared" si="10"/>
        <v>5630000</v>
      </c>
      <c r="I188" s="33">
        <f t="shared" si="10"/>
        <v>475402000</v>
      </c>
      <c r="J188" s="33">
        <f t="shared" si="10"/>
        <v>196000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1960000</v>
      </c>
      <c r="E191" s="3"/>
      <c r="F191" s="135" t="s">
        <v>238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98000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1078000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49000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49000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49000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49000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196000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490000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1960000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workbookViewId="0">
      <selection activeCell="A1" sqref="$A1:$XFD1048576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79047619047619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239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'21-7-26'!I9</f>
        <v>5500000</v>
      </c>
      <c r="E9" s="24"/>
      <c r="F9" s="25"/>
      <c r="G9" s="25"/>
      <c r="H9" s="27">
        <f t="shared" ref="H9:H25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'21-7-26'!I10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'21-7-26'!I11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'21-7-26'!I12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'21-7-26'!I13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'21-7-26'!I14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'21-7-26'!I15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'21-7-26'!I16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'21-7-26'!I17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'21-7-26'!I18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'21-7-26'!I19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'21-7-26'!I20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'21-7-26'!I21</f>
        <v>11850000</v>
      </c>
      <c r="E21" s="24"/>
      <c r="F21" s="25"/>
      <c r="G21" s="25"/>
      <c r="H21" s="27">
        <f t="shared" si="0"/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'21-7-26'!I22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'21-7-26'!I23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'21-7-26'!I24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'21-7-26'!I25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'21-7-26'!I26</f>
        <v>3800000</v>
      </c>
      <c r="E26" s="24"/>
      <c r="F26" s="25"/>
      <c r="G26" s="25"/>
      <c r="H26" s="27">
        <f t="shared" ref="H26:H57" si="3">SUM(F26:G26)</f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'21-7-26'!I27</f>
        <v>220000</v>
      </c>
      <c r="E27" s="24"/>
      <c r="F27" s="25"/>
      <c r="G27" s="25"/>
      <c r="H27" s="27">
        <f t="shared" si="3"/>
        <v>0</v>
      </c>
      <c r="I27" s="27">
        <f t="shared" si="1"/>
        <v>220000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'21-7-26'!I28</f>
        <v>0</v>
      </c>
      <c r="E28" s="24"/>
      <c r="F28" s="25"/>
      <c r="G28" s="25"/>
      <c r="H28" s="27">
        <f t="shared" si="3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'21-7-26'!I29</f>
        <v>0</v>
      </c>
      <c r="E29" s="24"/>
      <c r="F29" s="25"/>
      <c r="G29" s="25"/>
      <c r="H29" s="27">
        <f t="shared" si="3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'21-7-26'!I30</f>
        <v>2500000</v>
      </c>
      <c r="E30" s="24"/>
      <c r="F30" s="25"/>
      <c r="G30" s="25"/>
      <c r="H30" s="27">
        <f t="shared" si="3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'21-7-26'!I31</f>
        <v>0</v>
      </c>
      <c r="E31" s="24"/>
      <c r="F31" s="25"/>
      <c r="G31" s="25"/>
      <c r="H31" s="27">
        <f t="shared" si="3"/>
        <v>0</v>
      </c>
      <c r="I31" s="27">
        <f t="shared" si="1"/>
        <v>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'21-7-26'!I32</f>
        <v>12000000</v>
      </c>
      <c r="E32" s="24"/>
      <c r="F32" s="25"/>
      <c r="G32" s="25"/>
      <c r="H32" s="27">
        <f t="shared" si="3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'21-7-26'!I33</f>
        <v>450000</v>
      </c>
      <c r="E33" s="24"/>
      <c r="F33" s="25"/>
      <c r="G33" s="25"/>
      <c r="H33" s="27">
        <f t="shared" si="3"/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'21-7-26'!I34</f>
        <v>2400000</v>
      </c>
      <c r="E34" s="24"/>
      <c r="F34" s="25"/>
      <c r="G34" s="25"/>
      <c r="H34" s="27">
        <f t="shared" si="3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'21-7-26'!I35</f>
        <v>3250000</v>
      </c>
      <c r="E35" s="24"/>
      <c r="F35" s="25"/>
      <c r="G35" s="25"/>
      <c r="H35" s="27">
        <f t="shared" si="3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'21-7-26'!I36</f>
        <v>3600000</v>
      </c>
      <c r="E36" s="24"/>
      <c r="F36" s="25"/>
      <c r="G36" s="25"/>
      <c r="H36" s="27">
        <f t="shared" si="3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'21-7-26'!I37</f>
        <v>0</v>
      </c>
      <c r="E37" s="24"/>
      <c r="F37" s="25"/>
      <c r="G37" s="25"/>
      <c r="H37" s="27">
        <f t="shared" si="3"/>
        <v>0</v>
      </c>
      <c r="I37" s="27">
        <f t="shared" si="1"/>
        <v>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'21-7-26'!I38</f>
        <v>5800000</v>
      </c>
      <c r="E38" s="24"/>
      <c r="F38" s="25"/>
      <c r="G38" s="25"/>
      <c r="H38" s="27">
        <f t="shared" si="3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'21-7-26'!I39</f>
        <v>13060000</v>
      </c>
      <c r="E39" s="24"/>
      <c r="F39" s="25"/>
      <c r="G39" s="25"/>
      <c r="H39" s="27">
        <f t="shared" si="3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'21-7-26'!I40</f>
        <v>0</v>
      </c>
      <c r="E40" s="24"/>
      <c r="F40" s="25"/>
      <c r="G40" s="25"/>
      <c r="H40" s="27">
        <f t="shared" si="3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'21-7-26'!I41</f>
        <v>1200000</v>
      </c>
      <c r="E41" s="24"/>
      <c r="F41" s="25"/>
      <c r="G41" s="25"/>
      <c r="H41" s="27">
        <f t="shared" si="3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'21-7-26'!I42</f>
        <v>900000</v>
      </c>
      <c r="E42" s="24"/>
      <c r="F42" s="25"/>
      <c r="G42" s="25"/>
      <c r="H42" s="27">
        <f t="shared" si="3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'21-7-26'!I43</f>
        <v>3750000</v>
      </c>
      <c r="E43" s="24"/>
      <c r="F43" s="25"/>
      <c r="G43" s="25"/>
      <c r="H43" s="27">
        <f t="shared" si="3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'21-7-26'!I44</f>
        <v>10320000</v>
      </c>
      <c r="E44" s="24"/>
      <c r="F44" s="25"/>
      <c r="G44" s="25"/>
      <c r="H44" s="27">
        <f t="shared" si="3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'21-7-26'!I45</f>
        <v>10500000</v>
      </c>
      <c r="E45" s="24"/>
      <c r="F45" s="25"/>
      <c r="G45" s="25"/>
      <c r="H45" s="27">
        <f t="shared" si="3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'21-7-26'!I46</f>
        <v>0</v>
      </c>
      <c r="E46" s="24"/>
      <c r="F46" s="25"/>
      <c r="G46" s="25"/>
      <c r="H46" s="27">
        <f t="shared" si="3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'21-7-26'!I47</f>
        <v>9000000</v>
      </c>
      <c r="E47" s="24"/>
      <c r="F47" s="25"/>
      <c r="G47" s="25"/>
      <c r="H47" s="27">
        <f t="shared" si="3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'21-7-26'!I48</f>
        <v>400000</v>
      </c>
      <c r="E48" s="24"/>
      <c r="F48" s="25"/>
      <c r="G48" s="25"/>
      <c r="H48" s="27">
        <f t="shared" si="3"/>
        <v>0</v>
      </c>
      <c r="I48" s="27">
        <f t="shared" si="1"/>
        <v>400000</v>
      </c>
      <c r="J48" s="25">
        <f t="shared" si="2"/>
        <v>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'21-7-26'!I49</f>
        <v>0</v>
      </c>
      <c r="E49" s="24"/>
      <c r="F49" s="25"/>
      <c r="G49" s="25"/>
      <c r="H49" s="27">
        <f t="shared" si="3"/>
        <v>0</v>
      </c>
      <c r="I49" s="27">
        <f t="shared" si="1"/>
        <v>0</v>
      </c>
      <c r="J49" s="25">
        <f t="shared" si="2"/>
        <v>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'21-7-26'!I50</f>
        <v>0</v>
      </c>
      <c r="E50" s="24"/>
      <c r="F50" s="25"/>
      <c r="G50" s="25"/>
      <c r="H50" s="27">
        <f t="shared" si="3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'21-7-26'!I51</f>
        <v>14700000</v>
      </c>
      <c r="E51" s="24"/>
      <c r="F51" s="25"/>
      <c r="G51" s="25"/>
      <c r="H51" s="27">
        <f t="shared" si="3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'21-7-26'!I52</f>
        <v>23800000</v>
      </c>
      <c r="E52" s="24"/>
      <c r="F52" s="25"/>
      <c r="G52" s="25"/>
      <c r="H52" s="27">
        <f t="shared" si="3"/>
        <v>0</v>
      </c>
      <c r="I52" s="27">
        <f t="shared" si="1"/>
        <v>23800000</v>
      </c>
      <c r="J52" s="25">
        <f t="shared" si="2"/>
        <v>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'21-7-26'!I53</f>
        <v>0</v>
      </c>
      <c r="E53" s="24"/>
      <c r="F53" s="25"/>
      <c r="G53" s="25"/>
      <c r="H53" s="27">
        <f t="shared" si="3"/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'21-7-26'!I54</f>
        <v>4200000</v>
      </c>
      <c r="E54" s="24"/>
      <c r="F54" s="25"/>
      <c r="G54" s="25"/>
      <c r="H54" s="27">
        <f t="shared" si="3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'21-7-26'!I55</f>
        <v>7460000</v>
      </c>
      <c r="E55" s="24"/>
      <c r="F55" s="25"/>
      <c r="G55" s="25"/>
      <c r="H55" s="27">
        <f t="shared" si="3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'21-7-26'!I56</f>
        <v>0</v>
      </c>
      <c r="E56" s="24"/>
      <c r="F56" s="25"/>
      <c r="G56" s="25"/>
      <c r="H56" s="27">
        <f t="shared" si="3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'21-7-26'!I57</f>
        <v>20000000</v>
      </c>
      <c r="E57" s="24"/>
      <c r="F57" s="25"/>
      <c r="G57" s="25"/>
      <c r="H57" s="27">
        <f t="shared" si="3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'21-7-26'!I58</f>
        <v>0</v>
      </c>
      <c r="E58" s="24"/>
      <c r="F58" s="25"/>
      <c r="G58" s="25"/>
      <c r="H58" s="27">
        <f t="shared" ref="H58:H104" si="4">SUM(F58:G58)</f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'21-7-26'!I59</f>
        <v>0</v>
      </c>
      <c r="E59" s="24"/>
      <c r="F59" s="25"/>
      <c r="G59" s="25"/>
      <c r="H59" s="27">
        <f t="shared" si="4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'21-7-26'!I60</f>
        <v>0</v>
      </c>
      <c r="E60" s="24"/>
      <c r="F60" s="25"/>
      <c r="G60" s="25"/>
      <c r="H60" s="27">
        <f t="shared" si="4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'21-7-26'!I61</f>
        <v>230000</v>
      </c>
      <c r="E61" s="24"/>
      <c r="F61" s="25"/>
      <c r="G61" s="25"/>
      <c r="H61" s="27">
        <f t="shared" si="4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'21-7-26'!I62</f>
        <v>0</v>
      </c>
      <c r="E62" s="24"/>
      <c r="F62" s="25"/>
      <c r="G62" s="25"/>
      <c r="H62" s="27">
        <f t="shared" si="4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'21-7-26'!I63</f>
        <v>0</v>
      </c>
      <c r="E63" s="24"/>
      <c r="F63" s="25"/>
      <c r="G63" s="25"/>
      <c r="H63" s="27">
        <f t="shared" si="4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'21-7-26'!I64</f>
        <v>0</v>
      </c>
      <c r="E64" s="24"/>
      <c r="F64" s="25"/>
      <c r="G64" s="25"/>
      <c r="H64" s="27">
        <f t="shared" si="4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'21-7-26'!I65</f>
        <v>5862000</v>
      </c>
      <c r="E65" s="24"/>
      <c r="F65" s="25"/>
      <c r="G65" s="25"/>
      <c r="H65" s="27">
        <f t="shared" si="4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'21-7-26'!I66</f>
        <v>0</v>
      </c>
      <c r="E66" s="24"/>
      <c r="F66" s="25"/>
      <c r="G66" s="25"/>
      <c r="H66" s="27">
        <f t="shared" si="4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'21-7-26'!I67</f>
        <v>0</v>
      </c>
      <c r="E67" s="24"/>
      <c r="F67" s="25"/>
      <c r="G67" s="25"/>
      <c r="H67" s="27">
        <f t="shared" si="4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'21-7-26'!I68</f>
        <v>400000</v>
      </c>
      <c r="E68" s="24"/>
      <c r="F68" s="25"/>
      <c r="G68" s="25"/>
      <c r="H68" s="27">
        <f t="shared" si="4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'21-7-26'!I69</f>
        <v>50000000</v>
      </c>
      <c r="E69" s="24"/>
      <c r="F69" s="25"/>
      <c r="G69" s="25"/>
      <c r="H69" s="27">
        <f t="shared" si="4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'21-7-26'!I70</f>
        <v>600000</v>
      </c>
      <c r="E70" s="24"/>
      <c r="F70" s="25"/>
      <c r="G70" s="25"/>
      <c r="H70" s="27">
        <f t="shared" si="4"/>
        <v>0</v>
      </c>
      <c r="I70" s="27">
        <f t="shared" si="1"/>
        <v>600000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'21-7-26'!I71</f>
        <v>1000000</v>
      </c>
      <c r="E71" s="24">
        <v>5</v>
      </c>
      <c r="F71" s="25">
        <v>500000</v>
      </c>
      <c r="G71" s="25">
        <v>60000</v>
      </c>
      <c r="H71" s="27">
        <f t="shared" si="4"/>
        <v>560000</v>
      </c>
      <c r="I71" s="27">
        <f t="shared" si="1"/>
        <v>500000</v>
      </c>
      <c r="J71" s="25">
        <f t="shared" si="2"/>
        <v>6000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'21-7-26'!I72</f>
        <v>1400000</v>
      </c>
      <c r="E72" s="24"/>
      <c r="F72" s="25"/>
      <c r="G72" s="25"/>
      <c r="H72" s="27">
        <f t="shared" si="4"/>
        <v>0</v>
      </c>
      <c r="I72" s="27">
        <f t="shared" si="1"/>
        <v>1400000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'21-7-26'!I73</f>
        <v>0</v>
      </c>
      <c r="E73" s="25"/>
      <c r="F73" s="25"/>
      <c r="G73" s="25"/>
      <c r="H73" s="27">
        <f t="shared" si="4"/>
        <v>0</v>
      </c>
      <c r="I73" s="27">
        <f t="shared" ref="I73:I136" si="5">D73-F73</f>
        <v>0</v>
      </c>
      <c r="J73" s="25">
        <f t="shared" ref="J73:J136" si="6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'21-7-26'!I74</f>
        <v>0</v>
      </c>
      <c r="E74" s="24"/>
      <c r="F74" s="25"/>
      <c r="G74" s="25"/>
      <c r="H74" s="27">
        <f t="shared" si="4"/>
        <v>0</v>
      </c>
      <c r="I74" s="27">
        <f t="shared" si="5"/>
        <v>0</v>
      </c>
      <c r="J74" s="25">
        <f t="shared" si="6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'21-7-26'!I75</f>
        <v>2100000</v>
      </c>
      <c r="E75" s="24"/>
      <c r="F75" s="25"/>
      <c r="G75" s="25"/>
      <c r="H75" s="27">
        <f t="shared" si="4"/>
        <v>0</v>
      </c>
      <c r="I75" s="27">
        <f t="shared" si="5"/>
        <v>2100000</v>
      </c>
      <c r="J75" s="25">
        <f t="shared" si="6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'21-7-26'!I76</f>
        <v>660000</v>
      </c>
      <c r="E76" s="24"/>
      <c r="F76" s="25"/>
      <c r="G76" s="25"/>
      <c r="H76" s="27">
        <f t="shared" si="4"/>
        <v>0</v>
      </c>
      <c r="I76" s="27">
        <f t="shared" si="5"/>
        <v>660000</v>
      </c>
      <c r="J76" s="25">
        <f t="shared" si="6"/>
        <v>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'21-7-26'!I77</f>
        <v>4250000</v>
      </c>
      <c r="E77" s="24">
        <v>4</v>
      </c>
      <c r="F77" s="25">
        <v>250000</v>
      </c>
      <c r="G77" s="25">
        <v>100000</v>
      </c>
      <c r="H77" s="27">
        <f t="shared" si="4"/>
        <v>350000</v>
      </c>
      <c r="I77" s="27">
        <f t="shared" si="5"/>
        <v>4000000</v>
      </c>
      <c r="J77" s="25">
        <f t="shared" si="6"/>
        <v>10000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'21-7-26'!I78</f>
        <v>8000000</v>
      </c>
      <c r="E78" s="24">
        <v>5</v>
      </c>
      <c r="F78" s="25">
        <v>500000</v>
      </c>
      <c r="G78" s="25">
        <v>200000</v>
      </c>
      <c r="H78" s="27">
        <f t="shared" si="4"/>
        <v>700000</v>
      </c>
      <c r="I78" s="27">
        <f t="shared" si="5"/>
        <v>7500000</v>
      </c>
      <c r="J78" s="25">
        <f t="shared" si="6"/>
        <v>20000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'21-7-26'!I79</f>
        <v>1500000</v>
      </c>
      <c r="E79" s="24"/>
      <c r="F79" s="25"/>
      <c r="G79" s="25"/>
      <c r="H79" s="27">
        <f t="shared" si="4"/>
        <v>0</v>
      </c>
      <c r="I79" s="27">
        <f t="shared" si="5"/>
        <v>1500000</v>
      </c>
      <c r="J79" s="25">
        <f t="shared" si="6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'21-7-26'!I80</f>
        <v>600000</v>
      </c>
      <c r="E80" s="24">
        <v>4</v>
      </c>
      <c r="F80" s="25">
        <v>100000</v>
      </c>
      <c r="G80" s="25">
        <v>20000</v>
      </c>
      <c r="H80" s="27">
        <f t="shared" si="4"/>
        <v>120000</v>
      </c>
      <c r="I80" s="27">
        <f t="shared" si="5"/>
        <v>500000</v>
      </c>
      <c r="J80" s="25">
        <f t="shared" si="6"/>
        <v>2000</v>
      </c>
    </row>
    <row r="81" s="1" customFormat="1" ht="12.75" customHeight="1" spans="1:12">
      <c r="A81" s="24">
        <v>73</v>
      </c>
      <c r="B81" s="25" t="s">
        <v>178</v>
      </c>
      <c r="C81" s="133" t="s">
        <v>176</v>
      </c>
      <c r="D81" s="27">
        <f>'21-7-26'!I81</f>
        <v>5600000</v>
      </c>
      <c r="E81" s="24"/>
      <c r="F81" s="25"/>
      <c r="G81" s="25"/>
      <c r="H81" s="27">
        <f t="shared" si="4"/>
        <v>0</v>
      </c>
      <c r="I81" s="27">
        <f t="shared" si="5"/>
        <v>5600000</v>
      </c>
      <c r="J81" s="25">
        <f t="shared" si="6"/>
        <v>0</v>
      </c>
    </row>
    <row r="82" s="1" customFormat="1" ht="12.75" customHeight="1" spans="1:12">
      <c r="A82" s="24">
        <v>74</v>
      </c>
      <c r="B82" s="25" t="s">
        <v>183</v>
      </c>
      <c r="C82" s="133" t="s">
        <v>184</v>
      </c>
      <c r="D82" s="27">
        <f>'21-7-26'!I82</f>
        <v>600000</v>
      </c>
      <c r="E82" s="25">
        <v>3</v>
      </c>
      <c r="F82" s="25">
        <v>200000</v>
      </c>
      <c r="G82" s="25">
        <v>20000</v>
      </c>
      <c r="H82" s="27">
        <f t="shared" si="4"/>
        <v>220000</v>
      </c>
      <c r="I82" s="27">
        <f t="shared" si="5"/>
        <v>400000</v>
      </c>
      <c r="J82" s="25">
        <f t="shared" si="6"/>
        <v>2000</v>
      </c>
    </row>
    <row r="83" s="1" customFormat="1" ht="12.75" customHeight="1" spans="1:12">
      <c r="A83" s="24">
        <v>75</v>
      </c>
      <c r="B83" s="25" t="s">
        <v>51</v>
      </c>
      <c r="C83" s="26" t="s">
        <v>189</v>
      </c>
      <c r="D83" s="27">
        <f>'21-7-26'!I83</f>
        <v>500000</v>
      </c>
      <c r="E83" s="24"/>
      <c r="F83" s="25"/>
      <c r="G83" s="25"/>
      <c r="H83" s="27">
        <f t="shared" si="4"/>
        <v>0</v>
      </c>
      <c r="I83" s="27">
        <f t="shared" si="5"/>
        <v>500000</v>
      </c>
      <c r="J83" s="25">
        <f t="shared" si="6"/>
        <v>0</v>
      </c>
    </row>
    <row r="84" s="1" customFormat="1" ht="12.75" customHeight="1" spans="1:12">
      <c r="A84" s="24">
        <v>76</v>
      </c>
      <c r="B84" s="25" t="s">
        <v>117</v>
      </c>
      <c r="C84" s="26" t="s">
        <v>189</v>
      </c>
      <c r="D84" s="27">
        <f>'21-7-26'!I84</f>
        <v>0</v>
      </c>
      <c r="E84" s="24"/>
      <c r="F84" s="25"/>
      <c r="G84" s="25"/>
      <c r="H84" s="27">
        <f t="shared" si="4"/>
        <v>0</v>
      </c>
      <c r="I84" s="27">
        <f t="shared" si="5"/>
        <v>0</v>
      </c>
      <c r="J84" s="25">
        <f t="shared" si="6"/>
        <v>0</v>
      </c>
    </row>
    <row r="85" s="1" customFormat="1" ht="12.75" customHeight="1" spans="1:12">
      <c r="A85" s="24">
        <v>77</v>
      </c>
      <c r="B85" s="25" t="s">
        <v>122</v>
      </c>
      <c r="C85" s="133" t="s">
        <v>199</v>
      </c>
      <c r="D85" s="27">
        <f>'21-7-26'!I85</f>
        <v>5000000</v>
      </c>
      <c r="E85" s="24"/>
      <c r="F85" s="25"/>
      <c r="G85" s="25"/>
      <c r="H85" s="27">
        <f t="shared" si="4"/>
        <v>0</v>
      </c>
      <c r="I85" s="27">
        <f t="shared" si="5"/>
        <v>5000000</v>
      </c>
      <c r="J85" s="25">
        <f t="shared" si="6"/>
        <v>0</v>
      </c>
    </row>
    <row r="86" s="1" customFormat="1" ht="12.75" customHeight="1" spans="1:12">
      <c r="A86" s="24">
        <v>78</v>
      </c>
      <c r="B86" s="25" t="s">
        <v>200</v>
      </c>
      <c r="C86" s="133" t="s">
        <v>201</v>
      </c>
      <c r="D86" s="27">
        <f>'21-7-26'!I86</f>
        <v>900000</v>
      </c>
      <c r="E86" s="24"/>
      <c r="F86" s="25"/>
      <c r="G86" s="25"/>
      <c r="H86" s="27">
        <f t="shared" si="4"/>
        <v>0</v>
      </c>
      <c r="I86" s="27">
        <f t="shared" si="5"/>
        <v>900000</v>
      </c>
      <c r="J86" s="25">
        <f t="shared" si="6"/>
        <v>0</v>
      </c>
    </row>
    <row r="87" s="1" customFormat="1" ht="12.75" customHeight="1" spans="1:12">
      <c r="A87" s="24">
        <v>79</v>
      </c>
      <c r="B87" s="25" t="s">
        <v>202</v>
      </c>
      <c r="C87" s="133" t="s">
        <v>201</v>
      </c>
      <c r="D87" s="27">
        <f>'21-7-26'!I87</f>
        <v>500000</v>
      </c>
      <c r="E87" s="24"/>
      <c r="F87" s="25"/>
      <c r="G87" s="25"/>
      <c r="H87" s="27">
        <f t="shared" si="4"/>
        <v>0</v>
      </c>
      <c r="I87" s="27">
        <f t="shared" si="5"/>
        <v>500000</v>
      </c>
      <c r="J87" s="25">
        <f t="shared" si="6"/>
        <v>0</v>
      </c>
    </row>
    <row r="88" s="1" customFormat="1" ht="12.75" customHeight="1" spans="1:12">
      <c r="A88" s="24">
        <v>80</v>
      </c>
      <c r="B88" s="25" t="s">
        <v>105</v>
      </c>
      <c r="C88" s="133" t="s">
        <v>203</v>
      </c>
      <c r="D88" s="27">
        <f>'21-7-26'!I88</f>
        <v>2400000</v>
      </c>
      <c r="E88" s="24"/>
      <c r="F88" s="25"/>
      <c r="G88" s="25"/>
      <c r="H88" s="27">
        <f t="shared" si="4"/>
        <v>0</v>
      </c>
      <c r="I88" s="27">
        <f t="shared" si="5"/>
        <v>2400000</v>
      </c>
      <c r="J88" s="25">
        <f t="shared" si="6"/>
        <v>0</v>
      </c>
    </row>
    <row r="89" s="1" customFormat="1" ht="12.75" customHeight="1" spans="1:12">
      <c r="A89" s="24">
        <v>81</v>
      </c>
      <c r="B89" s="25" t="s">
        <v>206</v>
      </c>
      <c r="C89" s="133" t="s">
        <v>207</v>
      </c>
      <c r="D89" s="27">
        <f>'21-7-26'!I89</f>
        <v>6000000</v>
      </c>
      <c r="E89" s="24"/>
      <c r="F89" s="25"/>
      <c r="G89" s="25"/>
      <c r="H89" s="27">
        <f t="shared" si="4"/>
        <v>0</v>
      </c>
      <c r="I89" s="27">
        <f t="shared" si="5"/>
        <v>6000000</v>
      </c>
      <c r="J89" s="25">
        <f t="shared" si="6"/>
        <v>0</v>
      </c>
    </row>
    <row r="90" s="1" customFormat="1" ht="12.75" customHeight="1" spans="1:12">
      <c r="A90" s="24">
        <v>82</v>
      </c>
      <c r="B90" s="25" t="s">
        <v>208</v>
      </c>
      <c r="C90" s="133" t="s">
        <v>207</v>
      </c>
      <c r="D90" s="27">
        <f>'21-7-26'!I90</f>
        <v>1600000</v>
      </c>
      <c r="E90" s="24"/>
      <c r="F90" s="25"/>
      <c r="G90" s="25"/>
      <c r="H90" s="27">
        <f t="shared" si="4"/>
        <v>0</v>
      </c>
      <c r="I90" s="27">
        <f t="shared" si="5"/>
        <v>1600000</v>
      </c>
      <c r="J90" s="25">
        <f t="shared" si="6"/>
        <v>0</v>
      </c>
    </row>
    <row r="91" s="1" customFormat="1" ht="12.75" customHeight="1" spans="1:12">
      <c r="A91" s="24">
        <v>83</v>
      </c>
      <c r="B91" s="25" t="s">
        <v>211</v>
      </c>
      <c r="C91" s="133" t="s">
        <v>212</v>
      </c>
      <c r="D91" s="27">
        <f>'21-7-26'!I91</f>
        <v>4000000</v>
      </c>
      <c r="E91" s="24"/>
      <c r="F91" s="25"/>
      <c r="G91" s="25"/>
      <c r="H91" s="27">
        <f t="shared" si="4"/>
        <v>0</v>
      </c>
      <c r="I91" s="27">
        <f t="shared" si="5"/>
        <v>4000000</v>
      </c>
      <c r="J91" s="25">
        <f t="shared" si="6"/>
        <v>0</v>
      </c>
    </row>
    <row r="92" s="1" customFormat="1" ht="12.75" customHeight="1" spans="1:12">
      <c r="A92" s="24">
        <v>84</v>
      </c>
      <c r="B92" s="25" t="s">
        <v>121</v>
      </c>
      <c r="C92" s="133" t="s">
        <v>215</v>
      </c>
      <c r="D92" s="27">
        <f>'21-7-26'!I92</f>
        <v>400000</v>
      </c>
      <c r="E92" s="24"/>
      <c r="F92" s="25"/>
      <c r="G92" s="25"/>
      <c r="H92" s="27">
        <f t="shared" si="4"/>
        <v>0</v>
      </c>
      <c r="I92" s="27">
        <f t="shared" si="5"/>
        <v>400000</v>
      </c>
      <c r="J92" s="25">
        <f t="shared" si="6"/>
        <v>0</v>
      </c>
    </row>
    <row r="93" s="1" customFormat="1" ht="12.75" customHeight="1" spans="1:12">
      <c r="A93" s="24">
        <v>85</v>
      </c>
      <c r="B93" s="25" t="s">
        <v>117</v>
      </c>
      <c r="C93" s="133" t="s">
        <v>215</v>
      </c>
      <c r="D93" s="27">
        <f>'21-7-26'!I93</f>
        <v>1350000</v>
      </c>
      <c r="E93" s="24"/>
      <c r="F93" s="25">
        <v>1350000</v>
      </c>
      <c r="G93" s="25">
        <v>30000</v>
      </c>
      <c r="H93" s="27">
        <f t="shared" si="4"/>
        <v>1380000</v>
      </c>
      <c r="I93" s="27">
        <f t="shared" si="5"/>
        <v>0</v>
      </c>
      <c r="J93" s="25">
        <f t="shared" si="6"/>
        <v>3000</v>
      </c>
      <c r="L93" s="1">
        <v>2000000</v>
      </c>
    </row>
    <row r="94" s="1" customFormat="1" ht="12.75" customHeight="1" spans="1:12">
      <c r="A94" s="24">
        <v>86</v>
      </c>
      <c r="B94" s="25" t="s">
        <v>163</v>
      </c>
      <c r="C94" s="133" t="s">
        <v>215</v>
      </c>
      <c r="D94" s="27">
        <f>'21-7-26'!I94</f>
        <v>15000000</v>
      </c>
      <c r="E94" s="24"/>
      <c r="F94" s="25"/>
      <c r="G94" s="25"/>
      <c r="H94" s="27">
        <f t="shared" si="4"/>
        <v>0</v>
      </c>
      <c r="I94" s="27">
        <f t="shared" si="5"/>
        <v>15000000</v>
      </c>
      <c r="J94" s="25">
        <f t="shared" si="6"/>
        <v>0</v>
      </c>
      <c r="L94" s="1">
        <v>570000</v>
      </c>
    </row>
    <row r="95" s="1" customFormat="1" ht="12.75" customHeight="1" spans="1:12">
      <c r="A95" s="24">
        <v>87</v>
      </c>
      <c r="B95" s="25" t="s">
        <v>85</v>
      </c>
      <c r="C95" s="133" t="s">
        <v>220</v>
      </c>
      <c r="D95" s="27">
        <f>'21-7-26'!I95</f>
        <v>1875000</v>
      </c>
      <c r="E95" s="24"/>
      <c r="F95" s="25"/>
      <c r="G95" s="25"/>
      <c r="H95" s="27">
        <f t="shared" si="4"/>
        <v>0</v>
      </c>
      <c r="I95" s="27">
        <f t="shared" si="5"/>
        <v>1875000</v>
      </c>
      <c r="J95" s="25">
        <f t="shared" si="6"/>
        <v>0</v>
      </c>
      <c r="L95" s="1">
        <v>60000</v>
      </c>
    </row>
    <row r="96" s="1" customFormat="1" ht="12.75" customHeight="1" spans="1:12">
      <c r="A96" s="24">
        <v>88</v>
      </c>
      <c r="B96" s="25" t="s">
        <v>103</v>
      </c>
      <c r="C96" s="133" t="s">
        <v>223</v>
      </c>
      <c r="D96" s="27">
        <f>'21-7-26'!I96</f>
        <v>2000000</v>
      </c>
      <c r="E96" s="24"/>
      <c r="F96" s="25"/>
      <c r="G96" s="25"/>
      <c r="H96" s="27">
        <f t="shared" si="4"/>
        <v>0</v>
      </c>
      <c r="I96" s="27">
        <f t="shared" si="5"/>
        <v>2000000</v>
      </c>
      <c r="J96" s="25">
        <f t="shared" si="6"/>
        <v>0</v>
      </c>
      <c r="L96" s="1">
        <f>SUM(L94:L95)</f>
        <v>630000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'21-7-26'!I97</f>
        <v>0</v>
      </c>
      <c r="E97" s="24"/>
      <c r="F97" s="25"/>
      <c r="G97" s="25"/>
      <c r="H97" s="27">
        <f t="shared" si="4"/>
        <v>0</v>
      </c>
      <c r="I97" s="27">
        <f t="shared" si="5"/>
        <v>0</v>
      </c>
      <c r="J97" s="25">
        <f t="shared" si="6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'21-7-26'!I98</f>
        <v>0</v>
      </c>
      <c r="E98" s="24"/>
      <c r="F98" s="25"/>
      <c r="G98" s="25"/>
      <c r="H98" s="27">
        <f t="shared" si="4"/>
        <v>0</v>
      </c>
      <c r="I98" s="27">
        <f t="shared" si="5"/>
        <v>0</v>
      </c>
      <c r="J98" s="25">
        <f t="shared" si="6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'21-7-26'!I99</f>
        <v>10000000</v>
      </c>
      <c r="E99" s="24"/>
      <c r="F99" s="25"/>
      <c r="G99" s="25"/>
      <c r="H99" s="27">
        <f t="shared" si="4"/>
        <v>0</v>
      </c>
      <c r="I99" s="27">
        <f t="shared" si="5"/>
        <v>10000000</v>
      </c>
      <c r="J99" s="25">
        <f t="shared" si="6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f>'21-7-26'!I100</f>
        <v>20000000</v>
      </c>
      <c r="E100" s="24"/>
      <c r="F100" s="25"/>
      <c r="G100" s="25"/>
      <c r="H100" s="27">
        <f t="shared" si="4"/>
        <v>0</v>
      </c>
      <c r="I100" s="27">
        <f t="shared" si="5"/>
        <v>20000000</v>
      </c>
      <c r="J100" s="25">
        <f t="shared" si="6"/>
        <v>0</v>
      </c>
    </row>
    <row r="101" s="1" customFormat="1" ht="12.75" customHeight="1" spans="1:10">
      <c r="A101" s="24">
        <v>93</v>
      </c>
      <c r="B101" s="25" t="s">
        <v>236</v>
      </c>
      <c r="C101" s="133" t="s">
        <v>237</v>
      </c>
      <c r="D101" s="27">
        <f>'21-7-26'!I101</f>
        <v>2100000</v>
      </c>
      <c r="E101" s="24"/>
      <c r="F101" s="25"/>
      <c r="G101" s="25"/>
      <c r="H101" s="27">
        <f t="shared" si="4"/>
        <v>0</v>
      </c>
      <c r="I101" s="27">
        <f t="shared" si="5"/>
        <v>2100000</v>
      </c>
      <c r="J101" s="25">
        <f t="shared" si="6"/>
        <v>0</v>
      </c>
    </row>
    <row r="102" s="1" customFormat="1" ht="12.75" customHeight="1" spans="1:10">
      <c r="A102" s="24"/>
      <c r="B102" s="25"/>
      <c r="C102" s="26"/>
      <c r="D102" s="27">
        <f>'21-7-26'!I102</f>
        <v>0</v>
      </c>
      <c r="E102" s="24"/>
      <c r="F102" s="25"/>
      <c r="G102" s="25"/>
      <c r="H102" s="27">
        <f t="shared" si="4"/>
        <v>0</v>
      </c>
      <c r="I102" s="27">
        <f t="shared" si="5"/>
        <v>0</v>
      </c>
      <c r="J102" s="25">
        <f t="shared" si="6"/>
        <v>0</v>
      </c>
    </row>
    <row r="103" s="1" customFormat="1" ht="12.75" customHeight="1" spans="1:10">
      <c r="A103" s="24"/>
      <c r="B103" s="25"/>
      <c r="C103" s="26"/>
      <c r="D103" s="27">
        <f>'7-7-2026'!I103</f>
        <v>0</v>
      </c>
      <c r="E103" s="24"/>
      <c r="F103" s="25"/>
      <c r="G103" s="25"/>
      <c r="H103" s="27">
        <f t="shared" si="4"/>
        <v>0</v>
      </c>
      <c r="I103" s="27">
        <f t="shared" si="5"/>
        <v>0</v>
      </c>
      <c r="J103" s="25">
        <f t="shared" si="6"/>
        <v>0</v>
      </c>
    </row>
    <row r="104" s="1" customFormat="1" ht="12.75" customHeight="1" spans="1:10">
      <c r="A104" s="24"/>
      <c r="B104" s="25"/>
      <c r="C104" s="26"/>
      <c r="D104" s="27">
        <f>'7-7-2026'!I104</f>
        <v>0</v>
      </c>
      <c r="E104" s="24"/>
      <c r="F104" s="25"/>
      <c r="G104" s="25"/>
      <c r="H104" s="27">
        <f t="shared" si="4"/>
        <v>0</v>
      </c>
      <c r="I104" s="27">
        <f t="shared" si="5"/>
        <v>0</v>
      </c>
      <c r="J104" s="25">
        <f t="shared" si="6"/>
        <v>0</v>
      </c>
    </row>
    <row r="105" s="1" customFormat="1" ht="12.75" customHeight="1" spans="1:10">
      <c r="A105" s="24"/>
      <c r="B105" s="25"/>
      <c r="C105" s="26"/>
      <c r="D105" s="27">
        <f>'7-7-2026'!I105</f>
        <v>0</v>
      </c>
      <c r="E105" s="24"/>
      <c r="F105" s="25"/>
      <c r="G105" s="25"/>
      <c r="H105" s="27">
        <f t="shared" ref="H73:H136" si="7">SUM(F105:G105)</f>
        <v>0</v>
      </c>
      <c r="I105" s="27">
        <f t="shared" si="5"/>
        <v>0</v>
      </c>
      <c r="J105" s="25">
        <f t="shared" si="6"/>
        <v>0</v>
      </c>
    </row>
    <row r="106" s="1" customFormat="1" ht="12.75" customHeight="1" spans="1:10">
      <c r="A106" s="24"/>
      <c r="B106" s="25"/>
      <c r="C106" s="26"/>
      <c r="D106" s="27">
        <f>'7-7-2026'!I106</f>
        <v>0</v>
      </c>
      <c r="E106" s="24"/>
      <c r="F106" s="25"/>
      <c r="G106" s="25"/>
      <c r="H106" s="27">
        <f t="shared" si="7"/>
        <v>0</v>
      </c>
      <c r="I106" s="27">
        <f t="shared" si="5"/>
        <v>0</v>
      </c>
      <c r="J106" s="25">
        <f t="shared" si="6"/>
        <v>0</v>
      </c>
    </row>
    <row r="107" s="1" customFormat="1" ht="12.75" customHeight="1" spans="1:10">
      <c r="A107" s="24"/>
      <c r="B107" s="25"/>
      <c r="C107" s="26"/>
      <c r="D107" s="27">
        <f>'7-7-2026'!I107</f>
        <v>0</v>
      </c>
      <c r="E107" s="24"/>
      <c r="F107" s="25"/>
      <c r="G107" s="25"/>
      <c r="H107" s="27">
        <f t="shared" si="7"/>
        <v>0</v>
      </c>
      <c r="I107" s="27">
        <f t="shared" si="5"/>
        <v>0</v>
      </c>
      <c r="J107" s="25">
        <f t="shared" si="6"/>
        <v>0</v>
      </c>
    </row>
    <row r="108" s="1" customFormat="1" ht="12.75" customHeight="1" spans="1:10">
      <c r="A108" s="24"/>
      <c r="B108" s="25"/>
      <c r="C108" s="26"/>
      <c r="D108" s="27">
        <f>'7-7-2026'!I108</f>
        <v>0</v>
      </c>
      <c r="E108" s="24"/>
      <c r="F108" s="25"/>
      <c r="G108" s="25"/>
      <c r="H108" s="27">
        <f t="shared" si="7"/>
        <v>0</v>
      </c>
      <c r="I108" s="27">
        <f t="shared" si="5"/>
        <v>0</v>
      </c>
      <c r="J108" s="25">
        <f t="shared" si="6"/>
        <v>0</v>
      </c>
    </row>
    <row r="109" s="1" customFormat="1" ht="12.75" customHeight="1" spans="1:10">
      <c r="A109" s="24"/>
      <c r="B109" s="25"/>
      <c r="C109" s="26"/>
      <c r="D109" s="27">
        <f>'16-6-26'!I109</f>
        <v>0</v>
      </c>
      <c r="E109" s="24"/>
      <c r="F109" s="25"/>
      <c r="G109" s="25"/>
      <c r="H109" s="27">
        <f t="shared" si="7"/>
        <v>0</v>
      </c>
      <c r="I109" s="27">
        <f t="shared" si="5"/>
        <v>0</v>
      </c>
      <c r="J109" s="25">
        <f t="shared" si="6"/>
        <v>0</v>
      </c>
    </row>
    <row r="110" s="1" customFormat="1" ht="12.75" customHeight="1" spans="1:10">
      <c r="A110" s="24"/>
      <c r="B110" s="25"/>
      <c r="C110" s="26"/>
      <c r="D110" s="27">
        <f>'16-6-26'!I110</f>
        <v>0</v>
      </c>
      <c r="E110" s="24"/>
      <c r="F110" s="25"/>
      <c r="G110" s="25"/>
      <c r="H110" s="27">
        <f t="shared" si="7"/>
        <v>0</v>
      </c>
      <c r="I110" s="27">
        <f t="shared" si="5"/>
        <v>0</v>
      </c>
      <c r="J110" s="25">
        <f t="shared" si="6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7"/>
        <v>0</v>
      </c>
      <c r="I111" s="27">
        <f t="shared" si="5"/>
        <v>0</v>
      </c>
      <c r="J111" s="25">
        <f t="shared" si="6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7"/>
        <v>0</v>
      </c>
      <c r="I112" s="27">
        <f t="shared" si="5"/>
        <v>0</v>
      </c>
      <c r="J112" s="25">
        <f t="shared" si="6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7"/>
        <v>0</v>
      </c>
      <c r="I113" s="27">
        <f t="shared" si="5"/>
        <v>0</v>
      </c>
      <c r="J113" s="25">
        <f t="shared" si="6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7"/>
        <v>0</v>
      </c>
      <c r="I114" s="27">
        <f t="shared" si="5"/>
        <v>0</v>
      </c>
      <c r="J114" s="25">
        <f t="shared" si="6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7"/>
        <v>0</v>
      </c>
      <c r="I115" s="27">
        <f t="shared" si="5"/>
        <v>0</v>
      </c>
      <c r="J115" s="25">
        <f t="shared" si="6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7"/>
        <v>0</v>
      </c>
      <c r="I116" s="27">
        <f t="shared" si="5"/>
        <v>0</v>
      </c>
      <c r="J116" s="25">
        <f t="shared" si="6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7"/>
        <v>0</v>
      </c>
      <c r="I117" s="27">
        <f t="shared" si="5"/>
        <v>0</v>
      </c>
      <c r="J117" s="25">
        <f t="shared" si="6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7"/>
        <v>0</v>
      </c>
      <c r="I118" s="27">
        <f t="shared" si="5"/>
        <v>0</v>
      </c>
      <c r="J118" s="25">
        <f t="shared" si="6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7"/>
        <v>0</v>
      </c>
      <c r="I119" s="27">
        <f t="shared" si="5"/>
        <v>0</v>
      </c>
      <c r="J119" s="25">
        <f t="shared" si="6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7"/>
        <v>0</v>
      </c>
      <c r="I120" s="27">
        <f t="shared" si="5"/>
        <v>0</v>
      </c>
      <c r="J120" s="25">
        <f t="shared" si="6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7"/>
        <v>0</v>
      </c>
      <c r="I121" s="27">
        <f t="shared" si="5"/>
        <v>0</v>
      </c>
      <c r="J121" s="25">
        <f t="shared" si="6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7"/>
        <v>0</v>
      </c>
      <c r="I122" s="27">
        <f t="shared" si="5"/>
        <v>0</v>
      </c>
      <c r="J122" s="25">
        <f t="shared" si="6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7"/>
        <v>0</v>
      </c>
      <c r="I123" s="27">
        <f t="shared" si="5"/>
        <v>0</v>
      </c>
      <c r="J123" s="25">
        <f t="shared" si="6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7"/>
        <v>0</v>
      </c>
      <c r="I124" s="27">
        <f t="shared" si="5"/>
        <v>0</v>
      </c>
      <c r="J124" s="25">
        <f t="shared" si="6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7"/>
        <v>0</v>
      </c>
      <c r="I125" s="27">
        <f t="shared" si="5"/>
        <v>0</v>
      </c>
      <c r="J125" s="25">
        <f t="shared" si="6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7"/>
        <v>0</v>
      </c>
      <c r="I126" s="27">
        <f t="shared" si="5"/>
        <v>0</v>
      </c>
      <c r="J126" s="25">
        <f t="shared" si="6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7"/>
        <v>0</v>
      </c>
      <c r="I127" s="27">
        <f t="shared" si="5"/>
        <v>0</v>
      </c>
      <c r="J127" s="25">
        <f t="shared" si="6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7"/>
        <v>0</v>
      </c>
      <c r="I128" s="27">
        <f t="shared" si="5"/>
        <v>0</v>
      </c>
      <c r="J128" s="25">
        <f t="shared" si="6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7"/>
        <v>0</v>
      </c>
      <c r="I129" s="27">
        <f t="shared" si="5"/>
        <v>0</v>
      </c>
      <c r="J129" s="25">
        <f t="shared" si="6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7"/>
        <v>0</v>
      </c>
      <c r="I130" s="27">
        <f t="shared" si="5"/>
        <v>0</v>
      </c>
      <c r="J130" s="25">
        <f t="shared" si="6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7"/>
        <v>0</v>
      </c>
      <c r="I131" s="27">
        <f t="shared" si="5"/>
        <v>0</v>
      </c>
      <c r="J131" s="25">
        <f t="shared" si="6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7"/>
        <v>0</v>
      </c>
      <c r="I132" s="27">
        <f t="shared" si="5"/>
        <v>0</v>
      </c>
      <c r="J132" s="25">
        <f t="shared" si="6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7"/>
        <v>0</v>
      </c>
      <c r="I133" s="27">
        <f t="shared" si="5"/>
        <v>0</v>
      </c>
      <c r="J133" s="25">
        <f t="shared" si="6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7"/>
        <v>0</v>
      </c>
      <c r="I134" s="27">
        <f t="shared" si="5"/>
        <v>0</v>
      </c>
      <c r="J134" s="25">
        <f t="shared" si="6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7"/>
        <v>0</v>
      </c>
      <c r="I135" s="27">
        <f t="shared" si="5"/>
        <v>0</v>
      </c>
      <c r="J135" s="25">
        <f t="shared" si="6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7"/>
        <v>0</v>
      </c>
      <c r="I136" s="27">
        <f t="shared" si="5"/>
        <v>0</v>
      </c>
      <c r="J136" s="25">
        <f t="shared" si="6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8">SUM(F137:G137)</f>
        <v>0</v>
      </c>
      <c r="I137" s="27">
        <f t="shared" ref="I137:I187" si="9">D137-F137</f>
        <v>0</v>
      </c>
      <c r="J137" s="25">
        <f t="shared" ref="J137:J187" si="10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8"/>
        <v>0</v>
      </c>
      <c r="I138" s="27">
        <f t="shared" si="9"/>
        <v>0</v>
      </c>
      <c r="J138" s="25">
        <f t="shared" si="10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8"/>
        <v>0</v>
      </c>
      <c r="I139" s="27">
        <f t="shared" si="9"/>
        <v>0</v>
      </c>
      <c r="J139" s="25">
        <f t="shared" si="10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8"/>
        <v>0</v>
      </c>
      <c r="I140" s="27">
        <f t="shared" si="9"/>
        <v>0</v>
      </c>
      <c r="J140" s="25">
        <f t="shared" si="10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8"/>
        <v>0</v>
      </c>
      <c r="I141" s="27">
        <f t="shared" si="9"/>
        <v>0</v>
      </c>
      <c r="J141" s="25">
        <f t="shared" si="10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8"/>
        <v>0</v>
      </c>
      <c r="I142" s="27">
        <f t="shared" si="9"/>
        <v>0</v>
      </c>
      <c r="J142" s="25">
        <f t="shared" si="10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8"/>
        <v>0</v>
      </c>
      <c r="I143" s="27">
        <f t="shared" si="9"/>
        <v>0</v>
      </c>
      <c r="J143" s="25">
        <f t="shared" si="10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8"/>
        <v>0</v>
      </c>
      <c r="I144" s="27">
        <f t="shared" si="9"/>
        <v>0</v>
      </c>
      <c r="J144" s="25">
        <f t="shared" si="10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8"/>
        <v>0</v>
      </c>
      <c r="I145" s="27">
        <f t="shared" si="9"/>
        <v>0</v>
      </c>
      <c r="J145" s="25">
        <f t="shared" si="10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8"/>
        <v>0</v>
      </c>
      <c r="I146" s="27">
        <f t="shared" si="9"/>
        <v>0</v>
      </c>
      <c r="J146" s="25">
        <f t="shared" si="10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8"/>
        <v>0</v>
      </c>
      <c r="I147" s="27">
        <f t="shared" si="9"/>
        <v>0</v>
      </c>
      <c r="J147" s="25">
        <f t="shared" si="10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8"/>
        <v>0</v>
      </c>
      <c r="I148" s="27">
        <f t="shared" si="9"/>
        <v>0</v>
      </c>
      <c r="J148" s="25">
        <f t="shared" si="10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8"/>
        <v>0</v>
      </c>
      <c r="I149" s="27">
        <f t="shared" si="9"/>
        <v>0</v>
      </c>
      <c r="J149" s="25">
        <f t="shared" si="10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8"/>
        <v>0</v>
      </c>
      <c r="I150" s="27">
        <f t="shared" si="9"/>
        <v>0</v>
      </c>
      <c r="J150" s="25">
        <f t="shared" si="10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8"/>
        <v>0</v>
      </c>
      <c r="I151" s="27">
        <f t="shared" si="9"/>
        <v>0</v>
      </c>
      <c r="J151" s="25">
        <f t="shared" si="10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8"/>
        <v>0</v>
      </c>
      <c r="I152" s="27">
        <f t="shared" si="9"/>
        <v>0</v>
      </c>
      <c r="J152" s="25">
        <f t="shared" si="10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8"/>
        <v>0</v>
      </c>
      <c r="I153" s="27">
        <f t="shared" si="9"/>
        <v>0</v>
      </c>
      <c r="J153" s="25">
        <f t="shared" si="10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8"/>
        <v>0</v>
      </c>
      <c r="I154" s="27">
        <f t="shared" si="9"/>
        <v>0</v>
      </c>
      <c r="J154" s="25">
        <f t="shared" si="10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8"/>
        <v>0</v>
      </c>
      <c r="I155" s="27">
        <f t="shared" si="9"/>
        <v>0</v>
      </c>
      <c r="J155" s="25">
        <f t="shared" si="10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8"/>
        <v>0</v>
      </c>
      <c r="I156" s="27">
        <f t="shared" si="9"/>
        <v>0</v>
      </c>
      <c r="J156" s="25">
        <f t="shared" si="10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8"/>
        <v>0</v>
      </c>
      <c r="I157" s="27">
        <f t="shared" si="9"/>
        <v>0</v>
      </c>
      <c r="J157" s="25">
        <f t="shared" si="10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8"/>
        <v>0</v>
      </c>
      <c r="I158" s="27">
        <f t="shared" si="9"/>
        <v>0</v>
      </c>
      <c r="J158" s="25">
        <f t="shared" si="10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8"/>
        <v>0</v>
      </c>
      <c r="I159" s="27">
        <f t="shared" si="9"/>
        <v>0</v>
      </c>
      <c r="J159" s="25">
        <f t="shared" si="10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8"/>
        <v>0</v>
      </c>
      <c r="I160" s="27">
        <f t="shared" si="9"/>
        <v>0</v>
      </c>
      <c r="J160" s="25">
        <f t="shared" si="10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8"/>
        <v>0</v>
      </c>
      <c r="I161" s="27">
        <f t="shared" si="9"/>
        <v>0</v>
      </c>
      <c r="J161" s="25">
        <f t="shared" si="10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8"/>
        <v>0</v>
      </c>
      <c r="I162" s="27">
        <f t="shared" si="9"/>
        <v>0</v>
      </c>
      <c r="J162" s="25">
        <f t="shared" si="10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8"/>
        <v>0</v>
      </c>
      <c r="I163" s="27">
        <f t="shared" si="9"/>
        <v>0</v>
      </c>
      <c r="J163" s="25">
        <f t="shared" si="10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8"/>
        <v>0</v>
      </c>
      <c r="I164" s="27">
        <f t="shared" si="9"/>
        <v>0</v>
      </c>
      <c r="J164" s="25">
        <f t="shared" si="10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8"/>
        <v>0</v>
      </c>
      <c r="I165" s="27">
        <f t="shared" si="9"/>
        <v>0</v>
      </c>
      <c r="J165" s="25">
        <f t="shared" si="10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8"/>
        <v>0</v>
      </c>
      <c r="I166" s="27">
        <f t="shared" si="9"/>
        <v>0</v>
      </c>
      <c r="J166" s="25">
        <f t="shared" si="10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8"/>
        <v>0</v>
      </c>
      <c r="I167" s="27">
        <f t="shared" si="9"/>
        <v>0</v>
      </c>
      <c r="J167" s="25">
        <f t="shared" si="10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8"/>
        <v>0</v>
      </c>
      <c r="I168" s="27">
        <f t="shared" si="9"/>
        <v>0</v>
      </c>
      <c r="J168" s="25">
        <f t="shared" si="10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8"/>
        <v>0</v>
      </c>
      <c r="I169" s="27">
        <f t="shared" si="9"/>
        <v>0</v>
      </c>
      <c r="J169" s="25">
        <f t="shared" si="10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8"/>
        <v>0</v>
      </c>
      <c r="I170" s="27">
        <f t="shared" si="9"/>
        <v>0</v>
      </c>
      <c r="J170" s="25">
        <f t="shared" si="10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8"/>
        <v>0</v>
      </c>
      <c r="I171" s="27">
        <f t="shared" si="9"/>
        <v>0</v>
      </c>
      <c r="J171" s="25">
        <f t="shared" si="10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8"/>
        <v>0</v>
      </c>
      <c r="I172" s="27">
        <f t="shared" si="9"/>
        <v>0</v>
      </c>
      <c r="J172" s="25">
        <f t="shared" si="10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8"/>
        <v>0</v>
      </c>
      <c r="I173" s="27">
        <f t="shared" si="9"/>
        <v>0</v>
      </c>
      <c r="J173" s="25">
        <f t="shared" si="10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8"/>
        <v>0</v>
      </c>
      <c r="I174" s="27">
        <f t="shared" si="9"/>
        <v>0</v>
      </c>
      <c r="J174" s="25">
        <f t="shared" si="10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8"/>
        <v>0</v>
      </c>
      <c r="I175" s="27">
        <f t="shared" si="9"/>
        <v>0</v>
      </c>
      <c r="J175" s="25">
        <f t="shared" si="10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8"/>
        <v>0</v>
      </c>
      <c r="I176" s="27">
        <f t="shared" si="9"/>
        <v>0</v>
      </c>
      <c r="J176" s="25">
        <f t="shared" si="10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8"/>
        <v>0</v>
      </c>
      <c r="I177" s="27">
        <f t="shared" si="9"/>
        <v>0</v>
      </c>
      <c r="J177" s="25">
        <f t="shared" si="10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8"/>
        <v>0</v>
      </c>
      <c r="I178" s="27">
        <f t="shared" si="9"/>
        <v>0</v>
      </c>
      <c r="J178" s="25">
        <f t="shared" si="10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8"/>
        <v>0</v>
      </c>
      <c r="I179" s="27">
        <f t="shared" si="9"/>
        <v>0</v>
      </c>
      <c r="J179" s="25">
        <f t="shared" si="10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8"/>
        <v>0</v>
      </c>
      <c r="I180" s="27">
        <f t="shared" si="9"/>
        <v>0</v>
      </c>
      <c r="J180" s="25">
        <f t="shared" si="10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8"/>
        <v>0</v>
      </c>
      <c r="I181" s="27">
        <f t="shared" si="9"/>
        <v>0</v>
      </c>
      <c r="J181" s="25">
        <f t="shared" si="10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8"/>
        <v>0</v>
      </c>
      <c r="I182" s="27">
        <f t="shared" si="9"/>
        <v>0</v>
      </c>
      <c r="J182" s="25">
        <f t="shared" si="10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8"/>
        <v>0</v>
      </c>
      <c r="I183" s="27">
        <f t="shared" si="9"/>
        <v>0</v>
      </c>
      <c r="J183" s="25">
        <f t="shared" si="10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8"/>
        <v>0</v>
      </c>
      <c r="I184" s="27">
        <f t="shared" si="9"/>
        <v>0</v>
      </c>
      <c r="J184" s="25">
        <f t="shared" si="10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8"/>
        <v>0</v>
      </c>
      <c r="I185" s="27">
        <f t="shared" si="9"/>
        <v>0</v>
      </c>
      <c r="J185" s="25">
        <f t="shared" si="10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8"/>
        <v>0</v>
      </c>
      <c r="I186" s="27">
        <f t="shared" si="9"/>
        <v>0</v>
      </c>
      <c r="J186" s="25">
        <f t="shared" si="10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8"/>
        <v>0</v>
      </c>
      <c r="I187" s="27">
        <f t="shared" si="9"/>
        <v>0</v>
      </c>
      <c r="J187" s="25">
        <f t="shared" si="10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1">SUM(D9:D187)</f>
        <v>475402000</v>
      </c>
      <c r="E188" s="34">
        <f t="shared" si="11"/>
        <v>21</v>
      </c>
      <c r="F188" s="33">
        <f t="shared" si="11"/>
        <v>2900000</v>
      </c>
      <c r="G188" s="33">
        <f t="shared" si="11"/>
        <v>430000</v>
      </c>
      <c r="H188" s="33">
        <f t="shared" si="11"/>
        <v>3330000</v>
      </c>
      <c r="I188" s="33">
        <f t="shared" si="11"/>
        <v>472502000</v>
      </c>
      <c r="J188" s="33">
        <f t="shared" si="11"/>
        <v>43000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430000</v>
      </c>
      <c r="E191" s="3"/>
      <c r="F191" s="135" t="s">
        <v>240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21500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236500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10750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10750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10750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10750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43000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107500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430000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zoomScale="150" zoomScaleNormal="150" workbookViewId="0">
      <selection activeCell="L8" sqref="L8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79047619047619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241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'28-7-26'!I9</f>
        <v>5500000</v>
      </c>
      <c r="E9" s="24"/>
      <c r="F9" s="25"/>
      <c r="G9" s="25"/>
      <c r="H9" s="27">
        <f t="shared" ref="H9:H72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'28-7-26'!I10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'28-7-26'!I11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'28-7-26'!I12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'28-7-26'!I13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'28-7-26'!I14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'28-7-26'!I15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'28-7-26'!I16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'28-7-26'!I17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'28-7-26'!I18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'28-7-26'!I19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'28-7-26'!I20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'28-7-26'!I21</f>
        <v>11850000</v>
      </c>
      <c r="E21" s="24"/>
      <c r="F21" s="25"/>
      <c r="G21" s="25"/>
      <c r="H21" s="27">
        <f t="shared" si="0"/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'28-7-26'!I22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'28-7-26'!I23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'28-7-26'!I24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'28-7-26'!I25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'28-7-26'!I26</f>
        <v>3800000</v>
      </c>
      <c r="E26" s="24"/>
      <c r="F26" s="25"/>
      <c r="G26" s="25"/>
      <c r="H26" s="27">
        <f t="shared" si="0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'28-7-26'!I27</f>
        <v>220000</v>
      </c>
      <c r="E27" s="24"/>
      <c r="F27" s="25"/>
      <c r="G27" s="25"/>
      <c r="H27" s="27">
        <f t="shared" si="0"/>
        <v>0</v>
      </c>
      <c r="I27" s="27">
        <f t="shared" si="1"/>
        <v>220000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'28-7-26'!I28</f>
        <v>0</v>
      </c>
      <c r="E28" s="24"/>
      <c r="F28" s="25"/>
      <c r="G28" s="25"/>
      <c r="H28" s="27">
        <f t="shared" si="0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'28-7-26'!I29</f>
        <v>0</v>
      </c>
      <c r="E29" s="24"/>
      <c r="F29" s="25"/>
      <c r="G29" s="25"/>
      <c r="H29" s="27">
        <f t="shared" si="0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'28-7-26'!I30</f>
        <v>2500000</v>
      </c>
      <c r="E30" s="24"/>
      <c r="F30" s="25"/>
      <c r="G30" s="25"/>
      <c r="H30" s="27">
        <f t="shared" si="0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'28-7-26'!I31</f>
        <v>0</v>
      </c>
      <c r="E31" s="24"/>
      <c r="F31" s="25"/>
      <c r="G31" s="25"/>
      <c r="H31" s="27">
        <f t="shared" si="0"/>
        <v>0</v>
      </c>
      <c r="I31" s="27">
        <f t="shared" si="1"/>
        <v>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'28-7-26'!I32</f>
        <v>12000000</v>
      </c>
      <c r="E32" s="24"/>
      <c r="F32" s="25"/>
      <c r="G32" s="25"/>
      <c r="H32" s="27">
        <f t="shared" si="0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'28-7-26'!I33</f>
        <v>450000</v>
      </c>
      <c r="E33" s="24"/>
      <c r="F33" s="25"/>
      <c r="G33" s="25"/>
      <c r="H33" s="27">
        <f t="shared" si="0"/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'28-7-26'!I34</f>
        <v>2400000</v>
      </c>
      <c r="E34" s="24"/>
      <c r="F34" s="25"/>
      <c r="G34" s="25"/>
      <c r="H34" s="27">
        <f t="shared" si="0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'28-7-26'!I35</f>
        <v>3250000</v>
      </c>
      <c r="E35" s="24"/>
      <c r="F35" s="25"/>
      <c r="G35" s="25"/>
      <c r="H35" s="27">
        <f t="shared" si="0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'28-7-26'!I36</f>
        <v>3600000</v>
      </c>
      <c r="E36" s="24"/>
      <c r="F36" s="25"/>
      <c r="G36" s="25"/>
      <c r="H36" s="27">
        <f t="shared" si="0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'28-7-26'!I37</f>
        <v>0</v>
      </c>
      <c r="E37" s="24"/>
      <c r="F37" s="25"/>
      <c r="G37" s="25"/>
      <c r="H37" s="27">
        <f t="shared" si="0"/>
        <v>0</v>
      </c>
      <c r="I37" s="27">
        <f t="shared" si="1"/>
        <v>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'28-7-26'!I38</f>
        <v>5800000</v>
      </c>
      <c r="E38" s="24"/>
      <c r="F38" s="25"/>
      <c r="G38" s="25"/>
      <c r="H38" s="27">
        <f t="shared" si="0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'28-7-26'!I39</f>
        <v>13060000</v>
      </c>
      <c r="E39" s="24"/>
      <c r="F39" s="25"/>
      <c r="G39" s="25"/>
      <c r="H39" s="27">
        <f t="shared" si="0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'28-7-26'!I40</f>
        <v>0</v>
      </c>
      <c r="E40" s="24"/>
      <c r="F40" s="25"/>
      <c r="G40" s="25"/>
      <c r="H40" s="27">
        <f t="shared" si="0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'28-7-26'!I41</f>
        <v>1200000</v>
      </c>
      <c r="E41" s="24"/>
      <c r="F41" s="25"/>
      <c r="G41" s="25"/>
      <c r="H41" s="27">
        <f t="shared" si="0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'28-7-26'!I42</f>
        <v>900000</v>
      </c>
      <c r="E42" s="24"/>
      <c r="F42" s="25"/>
      <c r="G42" s="25"/>
      <c r="H42" s="27">
        <f t="shared" si="0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'28-7-26'!I43</f>
        <v>3750000</v>
      </c>
      <c r="E43" s="24"/>
      <c r="F43" s="25"/>
      <c r="G43" s="25"/>
      <c r="H43" s="27">
        <f t="shared" si="0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'28-7-26'!I44</f>
        <v>10320000</v>
      </c>
      <c r="E44" s="24"/>
      <c r="F44" s="25"/>
      <c r="G44" s="25"/>
      <c r="H44" s="27">
        <f t="shared" si="0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'28-7-26'!I45</f>
        <v>10500000</v>
      </c>
      <c r="E45" s="24"/>
      <c r="F45" s="25"/>
      <c r="G45" s="25"/>
      <c r="H45" s="27">
        <f t="shared" si="0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'28-7-26'!I46</f>
        <v>0</v>
      </c>
      <c r="E46" s="24"/>
      <c r="F46" s="25"/>
      <c r="G46" s="25"/>
      <c r="H46" s="27">
        <f t="shared" si="0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'28-7-26'!I47</f>
        <v>9000000</v>
      </c>
      <c r="E47" s="24"/>
      <c r="F47" s="25"/>
      <c r="G47" s="25"/>
      <c r="H47" s="27">
        <f t="shared" si="0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'28-7-26'!I48</f>
        <v>400000</v>
      </c>
      <c r="E48" s="24"/>
      <c r="F48" s="25"/>
      <c r="G48" s="25"/>
      <c r="H48" s="27">
        <f t="shared" si="0"/>
        <v>0</v>
      </c>
      <c r="I48" s="27">
        <f t="shared" si="1"/>
        <v>400000</v>
      </c>
      <c r="J48" s="25">
        <f t="shared" si="2"/>
        <v>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'28-7-26'!I49</f>
        <v>0</v>
      </c>
      <c r="E49" s="24"/>
      <c r="F49" s="25"/>
      <c r="G49" s="25"/>
      <c r="H49" s="27">
        <f t="shared" si="0"/>
        <v>0</v>
      </c>
      <c r="I49" s="27">
        <f t="shared" si="1"/>
        <v>0</v>
      </c>
      <c r="J49" s="25">
        <f t="shared" si="2"/>
        <v>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'28-7-26'!I50</f>
        <v>0</v>
      </c>
      <c r="E50" s="24"/>
      <c r="F50" s="25"/>
      <c r="G50" s="25"/>
      <c r="H50" s="27">
        <f t="shared" si="0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'28-7-26'!I51</f>
        <v>14700000</v>
      </c>
      <c r="E51" s="24"/>
      <c r="F51" s="25"/>
      <c r="G51" s="25"/>
      <c r="H51" s="27">
        <f t="shared" si="0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'28-7-26'!I52</f>
        <v>23800000</v>
      </c>
      <c r="E52" s="24"/>
      <c r="F52" s="25"/>
      <c r="G52" s="25"/>
      <c r="H52" s="27">
        <f t="shared" si="0"/>
        <v>0</v>
      </c>
      <c r="I52" s="27">
        <f t="shared" si="1"/>
        <v>23800000</v>
      </c>
      <c r="J52" s="25">
        <f t="shared" si="2"/>
        <v>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'28-7-26'!I53</f>
        <v>0</v>
      </c>
      <c r="E53" s="24"/>
      <c r="F53" s="25"/>
      <c r="G53" s="25"/>
      <c r="H53" s="27">
        <f t="shared" si="0"/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'28-7-26'!I54</f>
        <v>4200000</v>
      </c>
      <c r="E54" s="24"/>
      <c r="F54" s="25"/>
      <c r="G54" s="25"/>
      <c r="H54" s="27">
        <f t="shared" si="0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'28-7-26'!I55</f>
        <v>7460000</v>
      </c>
      <c r="E55" s="24"/>
      <c r="F55" s="25"/>
      <c r="G55" s="25"/>
      <c r="H55" s="27">
        <f t="shared" si="0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'28-7-26'!I56</f>
        <v>0</v>
      </c>
      <c r="E56" s="24"/>
      <c r="F56" s="25"/>
      <c r="G56" s="25"/>
      <c r="H56" s="27">
        <f t="shared" si="0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'28-7-26'!I57</f>
        <v>20000000</v>
      </c>
      <c r="E57" s="24"/>
      <c r="F57" s="25"/>
      <c r="G57" s="25"/>
      <c r="H57" s="27">
        <f t="shared" si="0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'28-7-26'!I58</f>
        <v>0</v>
      </c>
      <c r="E58" s="24"/>
      <c r="F58" s="25"/>
      <c r="G58" s="25"/>
      <c r="H58" s="27">
        <f t="shared" si="0"/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'28-7-26'!I59</f>
        <v>0</v>
      </c>
      <c r="E59" s="24"/>
      <c r="F59" s="25"/>
      <c r="G59" s="25"/>
      <c r="H59" s="27">
        <f t="shared" si="0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'28-7-26'!I60</f>
        <v>0</v>
      </c>
      <c r="E60" s="24"/>
      <c r="F60" s="25"/>
      <c r="G60" s="25"/>
      <c r="H60" s="27">
        <f t="shared" si="0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'28-7-26'!I61</f>
        <v>230000</v>
      </c>
      <c r="E61" s="24"/>
      <c r="F61" s="25"/>
      <c r="G61" s="25"/>
      <c r="H61" s="27">
        <f t="shared" si="0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'28-7-26'!I62</f>
        <v>0</v>
      </c>
      <c r="E62" s="24"/>
      <c r="F62" s="25"/>
      <c r="G62" s="25"/>
      <c r="H62" s="27">
        <f t="shared" si="0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'28-7-26'!I63</f>
        <v>0</v>
      </c>
      <c r="E63" s="24"/>
      <c r="F63" s="25"/>
      <c r="G63" s="25"/>
      <c r="H63" s="27">
        <f t="shared" si="0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'28-7-26'!I64</f>
        <v>0</v>
      </c>
      <c r="E64" s="24"/>
      <c r="F64" s="25"/>
      <c r="G64" s="25"/>
      <c r="H64" s="27">
        <f t="shared" si="0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'28-7-26'!I65</f>
        <v>5862000</v>
      </c>
      <c r="E65" s="24"/>
      <c r="F65" s="25"/>
      <c r="G65" s="25"/>
      <c r="H65" s="27">
        <f t="shared" si="0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'28-7-26'!I66</f>
        <v>0</v>
      </c>
      <c r="E66" s="24"/>
      <c r="F66" s="25"/>
      <c r="G66" s="25"/>
      <c r="H66" s="27">
        <f t="shared" si="0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'28-7-26'!I67</f>
        <v>0</v>
      </c>
      <c r="E67" s="24"/>
      <c r="F67" s="25"/>
      <c r="G67" s="25"/>
      <c r="H67" s="27">
        <f t="shared" si="0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'28-7-26'!I68</f>
        <v>400000</v>
      </c>
      <c r="E68" s="24"/>
      <c r="F68" s="25"/>
      <c r="G68" s="25"/>
      <c r="H68" s="27">
        <f t="shared" si="0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'28-7-26'!I69</f>
        <v>50000000</v>
      </c>
      <c r="E69" s="24"/>
      <c r="F69" s="25"/>
      <c r="G69" s="25"/>
      <c r="H69" s="27">
        <f t="shared" si="0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'28-7-26'!I70</f>
        <v>600000</v>
      </c>
      <c r="E70" s="24"/>
      <c r="F70" s="25"/>
      <c r="G70" s="25"/>
      <c r="H70" s="27">
        <f t="shared" si="0"/>
        <v>0</v>
      </c>
      <c r="I70" s="27">
        <f t="shared" si="1"/>
        <v>600000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'28-7-26'!I71</f>
        <v>500000</v>
      </c>
      <c r="E71" s="24"/>
      <c r="F71" s="25"/>
      <c r="G71" s="25"/>
      <c r="H71" s="27">
        <f t="shared" ref="H71:H100" si="3">SUM(F71:G71)</f>
        <v>0</v>
      </c>
      <c r="I71" s="27">
        <f t="shared" si="1"/>
        <v>500000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'28-7-26'!I72</f>
        <v>1400000</v>
      </c>
      <c r="E72" s="24"/>
      <c r="F72" s="25"/>
      <c r="G72" s="25"/>
      <c r="H72" s="27">
        <f t="shared" si="3"/>
        <v>0</v>
      </c>
      <c r="I72" s="27">
        <f t="shared" si="1"/>
        <v>1400000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'28-7-26'!I73</f>
        <v>0</v>
      </c>
      <c r="E73" s="25"/>
      <c r="F73" s="25"/>
      <c r="G73" s="25"/>
      <c r="H73" s="27">
        <f t="shared" si="3"/>
        <v>0</v>
      </c>
      <c r="I73" s="27">
        <f t="shared" ref="I73:I136" si="4">D73-F73</f>
        <v>0</v>
      </c>
      <c r="J73" s="25">
        <f t="shared" ref="J73:J136" si="5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'28-7-26'!I74</f>
        <v>0</v>
      </c>
      <c r="E74" s="24"/>
      <c r="F74" s="25"/>
      <c r="G74" s="25"/>
      <c r="H74" s="27">
        <f t="shared" si="3"/>
        <v>0</v>
      </c>
      <c r="I74" s="27">
        <f t="shared" si="4"/>
        <v>0</v>
      </c>
      <c r="J74" s="25">
        <f t="shared" si="5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'28-7-26'!I75</f>
        <v>2100000</v>
      </c>
      <c r="E75" s="24"/>
      <c r="F75" s="25"/>
      <c r="G75" s="25"/>
      <c r="H75" s="27">
        <f t="shared" si="3"/>
        <v>0</v>
      </c>
      <c r="I75" s="27">
        <f t="shared" si="4"/>
        <v>2100000</v>
      </c>
      <c r="J75" s="25">
        <f t="shared" si="5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'28-7-26'!I76</f>
        <v>660000</v>
      </c>
      <c r="E76" s="24"/>
      <c r="F76" s="25"/>
      <c r="G76" s="25"/>
      <c r="H76" s="27">
        <f t="shared" si="3"/>
        <v>0</v>
      </c>
      <c r="I76" s="27">
        <f t="shared" si="4"/>
        <v>660000</v>
      </c>
      <c r="J76" s="25">
        <f t="shared" si="5"/>
        <v>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'28-7-26'!I77</f>
        <v>4000000</v>
      </c>
      <c r="E77" s="24"/>
      <c r="F77" s="25"/>
      <c r="G77" s="25"/>
      <c r="H77" s="27">
        <f t="shared" si="3"/>
        <v>0</v>
      </c>
      <c r="I77" s="27">
        <f t="shared" si="4"/>
        <v>4000000</v>
      </c>
      <c r="J77" s="25">
        <f t="shared" si="5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'28-7-26'!I78</f>
        <v>7500000</v>
      </c>
      <c r="E78" s="24"/>
      <c r="F78" s="25"/>
      <c r="G78" s="25"/>
      <c r="H78" s="27">
        <f t="shared" si="3"/>
        <v>0</v>
      </c>
      <c r="I78" s="27">
        <f t="shared" si="4"/>
        <v>7500000</v>
      </c>
      <c r="J78" s="25">
        <f t="shared" si="5"/>
        <v>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'28-7-26'!I79</f>
        <v>1500000</v>
      </c>
      <c r="E79" s="24">
        <v>6</v>
      </c>
      <c r="F79" s="25">
        <v>300000</v>
      </c>
      <c r="G79" s="25">
        <v>60000</v>
      </c>
      <c r="H79" s="27">
        <f t="shared" si="3"/>
        <v>360000</v>
      </c>
      <c r="I79" s="27">
        <f t="shared" si="4"/>
        <v>1200000</v>
      </c>
      <c r="J79" s="25">
        <f t="shared" si="5"/>
        <v>6000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'28-7-26'!I80</f>
        <v>500000</v>
      </c>
      <c r="E80" s="24"/>
      <c r="F80" s="25"/>
      <c r="G80" s="25"/>
      <c r="H80" s="27">
        <f t="shared" si="3"/>
        <v>0</v>
      </c>
      <c r="I80" s="27">
        <f t="shared" si="4"/>
        <v>500000</v>
      </c>
      <c r="J80" s="25">
        <f t="shared" si="5"/>
        <v>0</v>
      </c>
    </row>
    <row r="81" s="1" customFormat="1" ht="12.75" customHeight="1" spans="1:12">
      <c r="A81" s="24">
        <v>73</v>
      </c>
      <c r="B81" s="25" t="s">
        <v>178</v>
      </c>
      <c r="C81" s="133" t="s">
        <v>176</v>
      </c>
      <c r="D81" s="27">
        <f>'28-7-26'!I81</f>
        <v>5600000</v>
      </c>
      <c r="E81" s="24">
        <v>3</v>
      </c>
      <c r="F81" s="25">
        <v>700000</v>
      </c>
      <c r="G81" s="25">
        <v>140000</v>
      </c>
      <c r="H81" s="27">
        <f t="shared" si="3"/>
        <v>840000</v>
      </c>
      <c r="I81" s="27">
        <f t="shared" si="4"/>
        <v>4900000</v>
      </c>
      <c r="J81" s="25">
        <f t="shared" si="5"/>
        <v>14000</v>
      </c>
    </row>
    <row r="82" s="1" customFormat="1" ht="12.75" customHeight="1" spans="1:12">
      <c r="A82" s="24">
        <v>74</v>
      </c>
      <c r="B82" s="25" t="s">
        <v>183</v>
      </c>
      <c r="C82" s="133" t="s">
        <v>184</v>
      </c>
      <c r="D82" s="27">
        <f>'28-7-26'!I82</f>
        <v>400000</v>
      </c>
      <c r="E82" s="25"/>
      <c r="F82" s="25"/>
      <c r="G82" s="25"/>
      <c r="H82" s="27">
        <f t="shared" si="3"/>
        <v>0</v>
      </c>
      <c r="I82" s="27">
        <f t="shared" si="4"/>
        <v>400000</v>
      </c>
      <c r="J82" s="25">
        <f t="shared" si="5"/>
        <v>0</v>
      </c>
    </row>
    <row r="83" s="1" customFormat="1" ht="12.75" customHeight="1" spans="1:12">
      <c r="A83" s="24">
        <v>75</v>
      </c>
      <c r="B83" s="25" t="s">
        <v>51</v>
      </c>
      <c r="C83" s="26" t="s">
        <v>189</v>
      </c>
      <c r="D83" s="27">
        <f>'28-7-26'!I83</f>
        <v>500000</v>
      </c>
      <c r="E83" s="24"/>
      <c r="F83" s="25"/>
      <c r="G83" s="25"/>
      <c r="H83" s="27">
        <f t="shared" si="3"/>
        <v>0</v>
      </c>
      <c r="I83" s="27">
        <f t="shared" si="4"/>
        <v>500000</v>
      </c>
      <c r="J83" s="25">
        <f t="shared" si="5"/>
        <v>0</v>
      </c>
    </row>
    <row r="84" s="1" customFormat="1" ht="12.75" customHeight="1" spans="1:12">
      <c r="A84" s="24">
        <v>76</v>
      </c>
      <c r="B84" s="25" t="s">
        <v>117</v>
      </c>
      <c r="C84" s="26" t="s">
        <v>189</v>
      </c>
      <c r="D84" s="27">
        <f>'28-7-26'!I84</f>
        <v>0</v>
      </c>
      <c r="E84" s="24"/>
      <c r="F84" s="25"/>
      <c r="G84" s="25"/>
      <c r="H84" s="27">
        <f t="shared" si="3"/>
        <v>0</v>
      </c>
      <c r="I84" s="27">
        <f t="shared" si="4"/>
        <v>0</v>
      </c>
      <c r="J84" s="25">
        <f t="shared" si="5"/>
        <v>0</v>
      </c>
    </row>
    <row r="85" s="1" customFormat="1" ht="12.75" customHeight="1" spans="1:12">
      <c r="A85" s="24">
        <v>77</v>
      </c>
      <c r="B85" s="25" t="s">
        <v>122</v>
      </c>
      <c r="C85" s="133" t="s">
        <v>199</v>
      </c>
      <c r="D85" s="27">
        <f>'28-7-26'!I85</f>
        <v>5000000</v>
      </c>
      <c r="E85" s="24"/>
      <c r="F85" s="25"/>
      <c r="G85" s="25"/>
      <c r="H85" s="27">
        <f t="shared" si="3"/>
        <v>0</v>
      </c>
      <c r="I85" s="27">
        <f t="shared" si="4"/>
        <v>5000000</v>
      </c>
      <c r="J85" s="25">
        <f t="shared" si="5"/>
        <v>0</v>
      </c>
    </row>
    <row r="86" s="1" customFormat="1" ht="12.75" customHeight="1" spans="1:12">
      <c r="A86" s="24">
        <v>78</v>
      </c>
      <c r="B86" s="25" t="s">
        <v>200</v>
      </c>
      <c r="C86" s="133" t="s">
        <v>201</v>
      </c>
      <c r="D86" s="27">
        <f>'28-7-26'!I86</f>
        <v>900000</v>
      </c>
      <c r="E86" s="24"/>
      <c r="F86" s="25"/>
      <c r="G86" s="25"/>
      <c r="H86" s="27">
        <f t="shared" si="3"/>
        <v>0</v>
      </c>
      <c r="I86" s="27">
        <f t="shared" si="4"/>
        <v>900000</v>
      </c>
      <c r="J86" s="25">
        <f t="shared" si="5"/>
        <v>0</v>
      </c>
    </row>
    <row r="87" s="1" customFormat="1" ht="12.75" customHeight="1" spans="1:12">
      <c r="A87" s="24">
        <v>79</v>
      </c>
      <c r="B87" s="25" t="s">
        <v>202</v>
      </c>
      <c r="C87" s="133" t="s">
        <v>201</v>
      </c>
      <c r="D87" s="27">
        <f>'28-7-26'!I87</f>
        <v>500000</v>
      </c>
      <c r="E87" s="24"/>
      <c r="F87" s="25"/>
      <c r="G87" s="25"/>
      <c r="H87" s="27">
        <f t="shared" si="3"/>
        <v>0</v>
      </c>
      <c r="I87" s="27">
        <f t="shared" si="4"/>
        <v>500000</v>
      </c>
      <c r="J87" s="25">
        <f t="shared" si="5"/>
        <v>0</v>
      </c>
    </row>
    <row r="88" s="1" customFormat="1" ht="12.75" customHeight="1" spans="1:12">
      <c r="A88" s="24">
        <v>80</v>
      </c>
      <c r="B88" s="25" t="s">
        <v>105</v>
      </c>
      <c r="C88" s="133" t="s">
        <v>203</v>
      </c>
      <c r="D88" s="27">
        <f>'28-7-26'!I88</f>
        <v>2400000</v>
      </c>
      <c r="E88" s="24"/>
      <c r="F88" s="25"/>
      <c r="G88" s="25"/>
      <c r="H88" s="27">
        <f t="shared" si="3"/>
        <v>0</v>
      </c>
      <c r="I88" s="27">
        <f t="shared" si="4"/>
        <v>2400000</v>
      </c>
      <c r="J88" s="25">
        <f t="shared" si="5"/>
        <v>0</v>
      </c>
    </row>
    <row r="89" s="1" customFormat="1" ht="12.75" customHeight="1" spans="1:12">
      <c r="A89" s="24">
        <v>81</v>
      </c>
      <c r="B89" s="25" t="s">
        <v>206</v>
      </c>
      <c r="C89" s="133" t="s">
        <v>207</v>
      </c>
      <c r="D89" s="27">
        <f>'28-7-26'!I89</f>
        <v>6000000</v>
      </c>
      <c r="E89" s="24">
        <v>3</v>
      </c>
      <c r="F89" s="25">
        <v>2000000</v>
      </c>
      <c r="G89" s="25">
        <v>200000</v>
      </c>
      <c r="H89" s="27">
        <f t="shared" si="3"/>
        <v>2200000</v>
      </c>
      <c r="I89" s="27">
        <f t="shared" si="4"/>
        <v>4000000</v>
      </c>
      <c r="J89" s="25">
        <f t="shared" si="5"/>
        <v>20000</v>
      </c>
    </row>
    <row r="90" s="1" customFormat="1" ht="12.75" customHeight="1" spans="1:12">
      <c r="A90" s="24">
        <v>82</v>
      </c>
      <c r="B90" s="25" t="s">
        <v>208</v>
      </c>
      <c r="C90" s="133" t="s">
        <v>207</v>
      </c>
      <c r="D90" s="27">
        <f>'28-7-26'!I90</f>
        <v>1600000</v>
      </c>
      <c r="E90" s="24">
        <v>3</v>
      </c>
      <c r="F90" s="25">
        <v>200000</v>
      </c>
      <c r="G90" s="25">
        <v>40000</v>
      </c>
      <c r="H90" s="27">
        <f t="shared" si="3"/>
        <v>240000</v>
      </c>
      <c r="I90" s="27">
        <f t="shared" si="4"/>
        <v>1400000</v>
      </c>
      <c r="J90" s="25">
        <f t="shared" si="5"/>
        <v>4000</v>
      </c>
    </row>
    <row r="91" s="1" customFormat="1" ht="12.75" customHeight="1" spans="1:12">
      <c r="A91" s="24">
        <v>83</v>
      </c>
      <c r="B91" s="25" t="s">
        <v>211</v>
      </c>
      <c r="C91" s="133" t="s">
        <v>212</v>
      </c>
      <c r="D91" s="27">
        <f>'28-7-26'!I91</f>
        <v>4000000</v>
      </c>
      <c r="E91" s="24"/>
      <c r="F91" s="25"/>
      <c r="G91" s="25"/>
      <c r="H91" s="27">
        <f t="shared" si="3"/>
        <v>0</v>
      </c>
      <c r="I91" s="27">
        <f t="shared" si="4"/>
        <v>4000000</v>
      </c>
      <c r="J91" s="25">
        <f t="shared" si="5"/>
        <v>0</v>
      </c>
    </row>
    <row r="92" s="1" customFormat="1" ht="12.75" customHeight="1" spans="1:12">
      <c r="A92" s="24">
        <v>84</v>
      </c>
      <c r="B92" s="25" t="s">
        <v>121</v>
      </c>
      <c r="C92" s="133" t="s">
        <v>215</v>
      </c>
      <c r="D92" s="27">
        <f>'28-7-26'!I92</f>
        <v>400000</v>
      </c>
      <c r="E92" s="24"/>
      <c r="F92" s="25"/>
      <c r="G92" s="25"/>
      <c r="H92" s="27">
        <f t="shared" si="3"/>
        <v>0</v>
      </c>
      <c r="I92" s="27">
        <f t="shared" si="4"/>
        <v>400000</v>
      </c>
      <c r="J92" s="25">
        <f t="shared" si="5"/>
        <v>0</v>
      </c>
    </row>
    <row r="93" s="1" customFormat="1" ht="12.75" customHeight="1" spans="1:12">
      <c r="A93" s="24">
        <v>85</v>
      </c>
      <c r="B93" s="25" t="s">
        <v>117</v>
      </c>
      <c r="C93" s="133" t="s">
        <v>215</v>
      </c>
      <c r="D93" s="27">
        <f>'28-7-26'!I93</f>
        <v>0</v>
      </c>
      <c r="E93" s="24"/>
      <c r="F93" s="25"/>
      <c r="G93" s="25"/>
      <c r="H93" s="27">
        <f t="shared" si="3"/>
        <v>0</v>
      </c>
      <c r="I93" s="27">
        <f t="shared" si="4"/>
        <v>0</v>
      </c>
      <c r="J93" s="25">
        <f t="shared" si="5"/>
        <v>0</v>
      </c>
      <c r="L93" s="1">
        <v>2000000</v>
      </c>
    </row>
    <row r="94" s="1" customFormat="1" ht="12.75" customHeight="1" spans="1:12">
      <c r="A94" s="24">
        <v>86</v>
      </c>
      <c r="B94" s="25" t="s">
        <v>163</v>
      </c>
      <c r="C94" s="133" t="s">
        <v>215</v>
      </c>
      <c r="D94" s="27">
        <f>'28-7-26'!I94</f>
        <v>15000000</v>
      </c>
      <c r="E94" s="24"/>
      <c r="F94" s="25"/>
      <c r="G94" s="25"/>
      <c r="H94" s="27">
        <f t="shared" si="3"/>
        <v>0</v>
      </c>
      <c r="I94" s="27">
        <f t="shared" si="4"/>
        <v>15000000</v>
      </c>
      <c r="J94" s="25">
        <f t="shared" si="5"/>
        <v>0</v>
      </c>
      <c r="L94" s="1">
        <v>570000</v>
      </c>
    </row>
    <row r="95" s="1" customFormat="1" ht="12.75" customHeight="1" spans="1:12">
      <c r="A95" s="24">
        <v>87</v>
      </c>
      <c r="B95" s="25" t="s">
        <v>85</v>
      </c>
      <c r="C95" s="133" t="s">
        <v>220</v>
      </c>
      <c r="D95" s="27">
        <f>'28-7-26'!I95</f>
        <v>1875000</v>
      </c>
      <c r="E95" s="24"/>
      <c r="F95" s="25"/>
      <c r="G95" s="25"/>
      <c r="H95" s="27">
        <f t="shared" si="3"/>
        <v>0</v>
      </c>
      <c r="I95" s="27">
        <f t="shared" si="4"/>
        <v>1875000</v>
      </c>
      <c r="J95" s="25">
        <f t="shared" si="5"/>
        <v>0</v>
      </c>
      <c r="L95" s="1">
        <v>60000</v>
      </c>
    </row>
    <row r="96" s="1" customFormat="1" ht="12.75" customHeight="1" spans="1:12">
      <c r="A96" s="24">
        <v>88</v>
      </c>
      <c r="B96" s="25" t="s">
        <v>103</v>
      </c>
      <c r="C96" s="133" t="s">
        <v>223</v>
      </c>
      <c r="D96" s="27">
        <f>'28-7-26'!I96</f>
        <v>2000000</v>
      </c>
      <c r="E96" s="24"/>
      <c r="F96" s="25"/>
      <c r="G96" s="25"/>
      <c r="H96" s="27">
        <f t="shared" si="3"/>
        <v>0</v>
      </c>
      <c r="I96" s="27">
        <f t="shared" si="4"/>
        <v>2000000</v>
      </c>
      <c r="J96" s="25">
        <f t="shared" si="5"/>
        <v>0</v>
      </c>
      <c r="L96" s="1">
        <f>SUM(L94:L95)</f>
        <v>630000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'28-7-26'!I97</f>
        <v>0</v>
      </c>
      <c r="E97" s="24"/>
      <c r="F97" s="25"/>
      <c r="G97" s="25"/>
      <c r="H97" s="27">
        <f t="shared" si="3"/>
        <v>0</v>
      </c>
      <c r="I97" s="27">
        <f t="shared" si="4"/>
        <v>0</v>
      </c>
      <c r="J97" s="25">
        <f t="shared" si="5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'28-7-26'!I98</f>
        <v>0</v>
      </c>
      <c r="E98" s="24"/>
      <c r="F98" s="25"/>
      <c r="G98" s="25"/>
      <c r="H98" s="27">
        <f t="shared" si="3"/>
        <v>0</v>
      </c>
      <c r="I98" s="27">
        <f t="shared" si="4"/>
        <v>0</v>
      </c>
      <c r="J98" s="25">
        <f t="shared" si="5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'28-7-26'!I99</f>
        <v>10000000</v>
      </c>
      <c r="E99" s="24"/>
      <c r="F99" s="25"/>
      <c r="G99" s="25"/>
      <c r="H99" s="27">
        <f t="shared" si="3"/>
        <v>0</v>
      </c>
      <c r="I99" s="27">
        <f t="shared" si="4"/>
        <v>10000000</v>
      </c>
      <c r="J99" s="25">
        <f t="shared" si="5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f>'28-7-26'!I100</f>
        <v>20000000</v>
      </c>
      <c r="E100" s="24"/>
      <c r="F100" s="25"/>
      <c r="G100" s="25"/>
      <c r="H100" s="27">
        <f t="shared" si="3"/>
        <v>0</v>
      </c>
      <c r="I100" s="27">
        <f t="shared" si="4"/>
        <v>20000000</v>
      </c>
      <c r="J100" s="25">
        <f t="shared" si="5"/>
        <v>0</v>
      </c>
    </row>
    <row r="101" s="1" customFormat="1" ht="12.75" customHeight="1" spans="1:10">
      <c r="A101" s="24">
        <v>93</v>
      </c>
      <c r="B101" s="25" t="s">
        <v>236</v>
      </c>
      <c r="C101" s="133" t="s">
        <v>237</v>
      </c>
      <c r="D101" s="27">
        <f>'28-7-26'!I101</f>
        <v>2100000</v>
      </c>
      <c r="E101" s="24"/>
      <c r="F101" s="25"/>
      <c r="G101" s="25"/>
      <c r="H101" s="27">
        <f t="shared" ref="H73:H136" si="6">SUM(F101:G101)</f>
        <v>0</v>
      </c>
      <c r="I101" s="27">
        <f t="shared" si="4"/>
        <v>2100000</v>
      </c>
      <c r="J101" s="25">
        <f t="shared" si="5"/>
        <v>0</v>
      </c>
    </row>
    <row r="102" s="1" customFormat="1" ht="12.75" customHeight="1" spans="1:10">
      <c r="A102" s="24"/>
      <c r="B102" s="25"/>
      <c r="C102" s="26"/>
      <c r="D102" s="27">
        <f>'28-7-26'!I102</f>
        <v>0</v>
      </c>
      <c r="E102" s="24"/>
      <c r="F102" s="25"/>
      <c r="G102" s="25"/>
      <c r="H102" s="27">
        <f t="shared" si="6"/>
        <v>0</v>
      </c>
      <c r="I102" s="27">
        <f t="shared" si="4"/>
        <v>0</v>
      </c>
      <c r="J102" s="25">
        <f t="shared" si="5"/>
        <v>0</v>
      </c>
    </row>
    <row r="103" s="1" customFormat="1" ht="12.75" customHeight="1" spans="1:10">
      <c r="A103" s="24"/>
      <c r="B103" s="25"/>
      <c r="C103" s="26"/>
      <c r="D103" s="27">
        <f>'28-7-26'!I103</f>
        <v>0</v>
      </c>
      <c r="E103" s="24"/>
      <c r="F103" s="25"/>
      <c r="G103" s="25"/>
      <c r="H103" s="27">
        <f t="shared" si="6"/>
        <v>0</v>
      </c>
      <c r="I103" s="27">
        <f t="shared" si="4"/>
        <v>0</v>
      </c>
      <c r="J103" s="25">
        <f t="shared" si="5"/>
        <v>0</v>
      </c>
    </row>
    <row r="104" s="1" customFormat="1" ht="12.75" customHeight="1" spans="1:10">
      <c r="A104" s="24"/>
      <c r="B104" s="25"/>
      <c r="C104" s="26"/>
      <c r="D104" s="27">
        <f>'28-7-26'!I104</f>
        <v>0</v>
      </c>
      <c r="E104" s="24"/>
      <c r="F104" s="25"/>
      <c r="G104" s="25"/>
      <c r="H104" s="27">
        <f t="shared" si="6"/>
        <v>0</v>
      </c>
      <c r="I104" s="27">
        <f t="shared" si="4"/>
        <v>0</v>
      </c>
      <c r="J104" s="25">
        <f t="shared" si="5"/>
        <v>0</v>
      </c>
    </row>
    <row r="105" s="1" customFormat="1" ht="12.75" customHeight="1" spans="1:10">
      <c r="A105" s="24"/>
      <c r="B105" s="25"/>
      <c r="C105" s="26"/>
      <c r="D105" s="27">
        <f>'28-7-26'!I105</f>
        <v>0</v>
      </c>
      <c r="E105" s="24"/>
      <c r="F105" s="25"/>
      <c r="G105" s="25"/>
      <c r="H105" s="27">
        <f t="shared" si="6"/>
        <v>0</v>
      </c>
      <c r="I105" s="27">
        <f t="shared" si="4"/>
        <v>0</v>
      </c>
      <c r="J105" s="25">
        <f t="shared" si="5"/>
        <v>0</v>
      </c>
    </row>
    <row r="106" s="1" customFormat="1" ht="12.75" customHeight="1" spans="1:10">
      <c r="A106" s="24"/>
      <c r="B106" s="25"/>
      <c r="C106" s="26"/>
      <c r="D106" s="27">
        <f>'28-7-26'!I106</f>
        <v>0</v>
      </c>
      <c r="E106" s="24"/>
      <c r="F106" s="25"/>
      <c r="G106" s="25"/>
      <c r="H106" s="27">
        <f t="shared" si="6"/>
        <v>0</v>
      </c>
      <c r="I106" s="27">
        <f t="shared" si="4"/>
        <v>0</v>
      </c>
      <c r="J106" s="25">
        <f t="shared" si="5"/>
        <v>0</v>
      </c>
    </row>
    <row r="107" s="1" customFormat="1" ht="12.75" customHeight="1" spans="1:10">
      <c r="A107" s="24"/>
      <c r="B107" s="25"/>
      <c r="C107" s="26"/>
      <c r="D107" s="27">
        <f>'28-7-26'!I107</f>
        <v>0</v>
      </c>
      <c r="E107" s="24"/>
      <c r="F107" s="25"/>
      <c r="G107" s="25"/>
      <c r="H107" s="27">
        <f t="shared" si="6"/>
        <v>0</v>
      </c>
      <c r="I107" s="27">
        <f t="shared" si="4"/>
        <v>0</v>
      </c>
      <c r="J107" s="25">
        <f t="shared" si="5"/>
        <v>0</v>
      </c>
    </row>
    <row r="108" s="1" customFormat="1" ht="12.75" customHeight="1" spans="1:10">
      <c r="A108" s="24"/>
      <c r="B108" s="25"/>
      <c r="C108" s="26"/>
      <c r="D108" s="27">
        <f>'28-7-26'!I108</f>
        <v>0</v>
      </c>
      <c r="E108" s="24"/>
      <c r="F108" s="25"/>
      <c r="G108" s="25"/>
      <c r="H108" s="27">
        <f t="shared" si="6"/>
        <v>0</v>
      </c>
      <c r="I108" s="27">
        <f t="shared" si="4"/>
        <v>0</v>
      </c>
      <c r="J108" s="25">
        <f t="shared" si="5"/>
        <v>0</v>
      </c>
    </row>
    <row r="109" s="1" customFormat="1" ht="12.75" customHeight="1" spans="1:10">
      <c r="A109" s="24"/>
      <c r="B109" s="25"/>
      <c r="C109" s="26"/>
      <c r="D109" s="27">
        <f>'28-7-26'!I109</f>
        <v>0</v>
      </c>
      <c r="E109" s="24"/>
      <c r="F109" s="25"/>
      <c r="G109" s="25"/>
      <c r="H109" s="27">
        <f t="shared" si="6"/>
        <v>0</v>
      </c>
      <c r="I109" s="27">
        <f t="shared" si="4"/>
        <v>0</v>
      </c>
      <c r="J109" s="25">
        <f t="shared" si="5"/>
        <v>0</v>
      </c>
    </row>
    <row r="110" s="1" customFormat="1" ht="12.75" customHeight="1" spans="1:10">
      <c r="A110" s="24"/>
      <c r="B110" s="25"/>
      <c r="C110" s="26"/>
      <c r="D110" s="27">
        <f>'16-6-26'!I110</f>
        <v>0</v>
      </c>
      <c r="E110" s="24"/>
      <c r="F110" s="25"/>
      <c r="G110" s="25"/>
      <c r="H110" s="27">
        <f t="shared" si="6"/>
        <v>0</v>
      </c>
      <c r="I110" s="27">
        <f t="shared" si="4"/>
        <v>0</v>
      </c>
      <c r="J110" s="25">
        <f t="shared" si="5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6"/>
        <v>0</v>
      </c>
      <c r="I111" s="27">
        <f t="shared" si="4"/>
        <v>0</v>
      </c>
      <c r="J111" s="25">
        <f t="shared" si="5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6"/>
        <v>0</v>
      </c>
      <c r="I112" s="27">
        <f t="shared" si="4"/>
        <v>0</v>
      </c>
      <c r="J112" s="25">
        <f t="shared" si="5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6"/>
        <v>0</v>
      </c>
      <c r="I113" s="27">
        <f t="shared" si="4"/>
        <v>0</v>
      </c>
      <c r="J113" s="25">
        <f t="shared" si="5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6"/>
        <v>0</v>
      </c>
      <c r="I114" s="27">
        <f t="shared" si="4"/>
        <v>0</v>
      </c>
      <c r="J114" s="25">
        <f t="shared" si="5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6"/>
        <v>0</v>
      </c>
      <c r="I115" s="27">
        <f t="shared" si="4"/>
        <v>0</v>
      </c>
      <c r="J115" s="25">
        <f t="shared" si="5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6"/>
        <v>0</v>
      </c>
      <c r="I116" s="27">
        <f t="shared" si="4"/>
        <v>0</v>
      </c>
      <c r="J116" s="25">
        <f t="shared" si="5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6"/>
        <v>0</v>
      </c>
      <c r="I117" s="27">
        <f t="shared" si="4"/>
        <v>0</v>
      </c>
      <c r="J117" s="25">
        <f t="shared" si="5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6"/>
        <v>0</v>
      </c>
      <c r="I118" s="27">
        <f t="shared" si="4"/>
        <v>0</v>
      </c>
      <c r="J118" s="25">
        <f t="shared" si="5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6"/>
        <v>0</v>
      </c>
      <c r="I119" s="27">
        <f t="shared" si="4"/>
        <v>0</v>
      </c>
      <c r="J119" s="25">
        <f t="shared" si="5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6"/>
        <v>0</v>
      </c>
      <c r="I120" s="27">
        <f t="shared" si="4"/>
        <v>0</v>
      </c>
      <c r="J120" s="25">
        <f t="shared" si="5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6"/>
        <v>0</v>
      </c>
      <c r="I121" s="27">
        <f t="shared" si="4"/>
        <v>0</v>
      </c>
      <c r="J121" s="25">
        <f t="shared" si="5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6"/>
        <v>0</v>
      </c>
      <c r="I122" s="27">
        <f t="shared" si="4"/>
        <v>0</v>
      </c>
      <c r="J122" s="25">
        <f t="shared" si="5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6"/>
        <v>0</v>
      </c>
      <c r="I123" s="27">
        <f t="shared" si="4"/>
        <v>0</v>
      </c>
      <c r="J123" s="25">
        <f t="shared" si="5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6"/>
        <v>0</v>
      </c>
      <c r="I124" s="27">
        <f t="shared" si="4"/>
        <v>0</v>
      </c>
      <c r="J124" s="25">
        <f t="shared" si="5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6"/>
        <v>0</v>
      </c>
      <c r="I125" s="27">
        <f t="shared" si="4"/>
        <v>0</v>
      </c>
      <c r="J125" s="25">
        <f t="shared" si="5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6"/>
        <v>0</v>
      </c>
      <c r="I126" s="27">
        <f t="shared" si="4"/>
        <v>0</v>
      </c>
      <c r="J126" s="25">
        <f t="shared" si="5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6"/>
        <v>0</v>
      </c>
      <c r="I127" s="27">
        <f t="shared" si="4"/>
        <v>0</v>
      </c>
      <c r="J127" s="25">
        <f t="shared" si="5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6"/>
        <v>0</v>
      </c>
      <c r="I128" s="27">
        <f t="shared" si="4"/>
        <v>0</v>
      </c>
      <c r="J128" s="25">
        <f t="shared" si="5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6"/>
        <v>0</v>
      </c>
      <c r="I129" s="27">
        <f t="shared" si="4"/>
        <v>0</v>
      </c>
      <c r="J129" s="25">
        <f t="shared" si="5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6"/>
        <v>0</v>
      </c>
      <c r="I130" s="27">
        <f t="shared" si="4"/>
        <v>0</v>
      </c>
      <c r="J130" s="25">
        <f t="shared" si="5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6"/>
        <v>0</v>
      </c>
      <c r="I131" s="27">
        <f t="shared" si="4"/>
        <v>0</v>
      </c>
      <c r="J131" s="25">
        <f t="shared" si="5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6"/>
        <v>0</v>
      </c>
      <c r="I132" s="27">
        <f t="shared" si="4"/>
        <v>0</v>
      </c>
      <c r="J132" s="25">
        <f t="shared" si="5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6"/>
        <v>0</v>
      </c>
      <c r="I133" s="27">
        <f t="shared" si="4"/>
        <v>0</v>
      </c>
      <c r="J133" s="25">
        <f t="shared" si="5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6"/>
        <v>0</v>
      </c>
      <c r="I134" s="27">
        <f t="shared" si="4"/>
        <v>0</v>
      </c>
      <c r="J134" s="25">
        <f t="shared" si="5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6"/>
        <v>0</v>
      </c>
      <c r="I135" s="27">
        <f t="shared" si="4"/>
        <v>0</v>
      </c>
      <c r="J135" s="25">
        <f t="shared" si="5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6"/>
        <v>0</v>
      </c>
      <c r="I136" s="27">
        <f t="shared" si="4"/>
        <v>0</v>
      </c>
      <c r="J136" s="25">
        <f t="shared" si="5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7">SUM(F137:G137)</f>
        <v>0</v>
      </c>
      <c r="I137" s="27">
        <f t="shared" ref="I137:I187" si="8">D137-F137</f>
        <v>0</v>
      </c>
      <c r="J137" s="25">
        <f t="shared" ref="J137:J187" si="9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7"/>
        <v>0</v>
      </c>
      <c r="I138" s="27">
        <f t="shared" si="8"/>
        <v>0</v>
      </c>
      <c r="J138" s="25">
        <f t="shared" si="9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7"/>
        <v>0</v>
      </c>
      <c r="I139" s="27">
        <f t="shared" si="8"/>
        <v>0</v>
      </c>
      <c r="J139" s="25">
        <f t="shared" si="9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7"/>
        <v>0</v>
      </c>
      <c r="I140" s="27">
        <f t="shared" si="8"/>
        <v>0</v>
      </c>
      <c r="J140" s="25">
        <f t="shared" si="9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7"/>
        <v>0</v>
      </c>
      <c r="I141" s="27">
        <f t="shared" si="8"/>
        <v>0</v>
      </c>
      <c r="J141" s="25">
        <f t="shared" si="9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7"/>
        <v>0</v>
      </c>
      <c r="I142" s="27">
        <f t="shared" si="8"/>
        <v>0</v>
      </c>
      <c r="J142" s="25">
        <f t="shared" si="9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7"/>
        <v>0</v>
      </c>
      <c r="I143" s="27">
        <f t="shared" si="8"/>
        <v>0</v>
      </c>
      <c r="J143" s="25">
        <f t="shared" si="9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7"/>
        <v>0</v>
      </c>
      <c r="I144" s="27">
        <f t="shared" si="8"/>
        <v>0</v>
      </c>
      <c r="J144" s="25">
        <f t="shared" si="9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7"/>
        <v>0</v>
      </c>
      <c r="I145" s="27">
        <f t="shared" si="8"/>
        <v>0</v>
      </c>
      <c r="J145" s="25">
        <f t="shared" si="9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7"/>
        <v>0</v>
      </c>
      <c r="I146" s="27">
        <f t="shared" si="8"/>
        <v>0</v>
      </c>
      <c r="J146" s="25">
        <f t="shared" si="9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7"/>
        <v>0</v>
      </c>
      <c r="I147" s="27">
        <f t="shared" si="8"/>
        <v>0</v>
      </c>
      <c r="J147" s="25">
        <f t="shared" si="9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7"/>
        <v>0</v>
      </c>
      <c r="I148" s="27">
        <f t="shared" si="8"/>
        <v>0</v>
      </c>
      <c r="J148" s="25">
        <f t="shared" si="9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7"/>
        <v>0</v>
      </c>
      <c r="I149" s="27">
        <f t="shared" si="8"/>
        <v>0</v>
      </c>
      <c r="J149" s="25">
        <f t="shared" si="9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7"/>
        <v>0</v>
      </c>
      <c r="I150" s="27">
        <f t="shared" si="8"/>
        <v>0</v>
      </c>
      <c r="J150" s="25">
        <f t="shared" si="9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7"/>
        <v>0</v>
      </c>
      <c r="I151" s="27">
        <f t="shared" si="8"/>
        <v>0</v>
      </c>
      <c r="J151" s="25">
        <f t="shared" si="9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7"/>
        <v>0</v>
      </c>
      <c r="I152" s="27">
        <f t="shared" si="8"/>
        <v>0</v>
      </c>
      <c r="J152" s="25">
        <f t="shared" si="9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7"/>
        <v>0</v>
      </c>
      <c r="I153" s="27">
        <f t="shared" si="8"/>
        <v>0</v>
      </c>
      <c r="J153" s="25">
        <f t="shared" si="9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7"/>
        <v>0</v>
      </c>
      <c r="I154" s="27">
        <f t="shared" si="8"/>
        <v>0</v>
      </c>
      <c r="J154" s="25">
        <f t="shared" si="9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7"/>
        <v>0</v>
      </c>
      <c r="I155" s="27">
        <f t="shared" si="8"/>
        <v>0</v>
      </c>
      <c r="J155" s="25">
        <f t="shared" si="9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7"/>
        <v>0</v>
      </c>
      <c r="I156" s="27">
        <f t="shared" si="8"/>
        <v>0</v>
      </c>
      <c r="J156" s="25">
        <f t="shared" si="9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7"/>
        <v>0</v>
      </c>
      <c r="I157" s="27">
        <f t="shared" si="8"/>
        <v>0</v>
      </c>
      <c r="J157" s="25">
        <f t="shared" si="9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7"/>
        <v>0</v>
      </c>
      <c r="I158" s="27">
        <f t="shared" si="8"/>
        <v>0</v>
      </c>
      <c r="J158" s="25">
        <f t="shared" si="9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7"/>
        <v>0</v>
      </c>
      <c r="I159" s="27">
        <f t="shared" si="8"/>
        <v>0</v>
      </c>
      <c r="J159" s="25">
        <f t="shared" si="9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7"/>
        <v>0</v>
      </c>
      <c r="I160" s="27">
        <f t="shared" si="8"/>
        <v>0</v>
      </c>
      <c r="J160" s="25">
        <f t="shared" si="9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7"/>
        <v>0</v>
      </c>
      <c r="I161" s="27">
        <f t="shared" si="8"/>
        <v>0</v>
      </c>
      <c r="J161" s="25">
        <f t="shared" si="9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7"/>
        <v>0</v>
      </c>
      <c r="I162" s="27">
        <f t="shared" si="8"/>
        <v>0</v>
      </c>
      <c r="J162" s="25">
        <f t="shared" si="9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7"/>
        <v>0</v>
      </c>
      <c r="I163" s="27">
        <f t="shared" si="8"/>
        <v>0</v>
      </c>
      <c r="J163" s="25">
        <f t="shared" si="9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7"/>
        <v>0</v>
      </c>
      <c r="I164" s="27">
        <f t="shared" si="8"/>
        <v>0</v>
      </c>
      <c r="J164" s="25">
        <f t="shared" si="9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7"/>
        <v>0</v>
      </c>
      <c r="I165" s="27">
        <f t="shared" si="8"/>
        <v>0</v>
      </c>
      <c r="J165" s="25">
        <f t="shared" si="9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7"/>
        <v>0</v>
      </c>
      <c r="I166" s="27">
        <f t="shared" si="8"/>
        <v>0</v>
      </c>
      <c r="J166" s="25">
        <f t="shared" si="9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7"/>
        <v>0</v>
      </c>
      <c r="I167" s="27">
        <f t="shared" si="8"/>
        <v>0</v>
      </c>
      <c r="J167" s="25">
        <f t="shared" si="9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7"/>
        <v>0</v>
      </c>
      <c r="I168" s="27">
        <f t="shared" si="8"/>
        <v>0</v>
      </c>
      <c r="J168" s="25">
        <f t="shared" si="9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7"/>
        <v>0</v>
      </c>
      <c r="I169" s="27">
        <f t="shared" si="8"/>
        <v>0</v>
      </c>
      <c r="J169" s="25">
        <f t="shared" si="9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7"/>
        <v>0</v>
      </c>
      <c r="I170" s="27">
        <f t="shared" si="8"/>
        <v>0</v>
      </c>
      <c r="J170" s="25">
        <f t="shared" si="9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7"/>
        <v>0</v>
      </c>
      <c r="I171" s="27">
        <f t="shared" si="8"/>
        <v>0</v>
      </c>
      <c r="J171" s="25">
        <f t="shared" si="9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7"/>
        <v>0</v>
      </c>
      <c r="I172" s="27">
        <f t="shared" si="8"/>
        <v>0</v>
      </c>
      <c r="J172" s="25">
        <f t="shared" si="9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7"/>
        <v>0</v>
      </c>
      <c r="I173" s="27">
        <f t="shared" si="8"/>
        <v>0</v>
      </c>
      <c r="J173" s="25">
        <f t="shared" si="9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7"/>
        <v>0</v>
      </c>
      <c r="I174" s="27">
        <f t="shared" si="8"/>
        <v>0</v>
      </c>
      <c r="J174" s="25">
        <f t="shared" si="9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7"/>
        <v>0</v>
      </c>
      <c r="I175" s="27">
        <f t="shared" si="8"/>
        <v>0</v>
      </c>
      <c r="J175" s="25">
        <f t="shared" si="9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7"/>
        <v>0</v>
      </c>
      <c r="I176" s="27">
        <f t="shared" si="8"/>
        <v>0</v>
      </c>
      <c r="J176" s="25">
        <f t="shared" si="9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7"/>
        <v>0</v>
      </c>
      <c r="I177" s="27">
        <f t="shared" si="8"/>
        <v>0</v>
      </c>
      <c r="J177" s="25">
        <f t="shared" si="9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7"/>
        <v>0</v>
      </c>
      <c r="I178" s="27">
        <f t="shared" si="8"/>
        <v>0</v>
      </c>
      <c r="J178" s="25">
        <f t="shared" si="9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7"/>
        <v>0</v>
      </c>
      <c r="I179" s="27">
        <f t="shared" si="8"/>
        <v>0</v>
      </c>
      <c r="J179" s="25">
        <f t="shared" si="9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7"/>
        <v>0</v>
      </c>
      <c r="I180" s="27">
        <f t="shared" si="8"/>
        <v>0</v>
      </c>
      <c r="J180" s="25">
        <f t="shared" si="9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7"/>
        <v>0</v>
      </c>
      <c r="I181" s="27">
        <f t="shared" si="8"/>
        <v>0</v>
      </c>
      <c r="J181" s="25">
        <f t="shared" si="9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7"/>
        <v>0</v>
      </c>
      <c r="I182" s="27">
        <f t="shared" si="8"/>
        <v>0</v>
      </c>
      <c r="J182" s="25">
        <f t="shared" si="9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7"/>
        <v>0</v>
      </c>
      <c r="I183" s="27">
        <f t="shared" si="8"/>
        <v>0</v>
      </c>
      <c r="J183" s="25">
        <f t="shared" si="9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7"/>
        <v>0</v>
      </c>
      <c r="I184" s="27">
        <f t="shared" si="8"/>
        <v>0</v>
      </c>
      <c r="J184" s="25">
        <f t="shared" si="9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7"/>
        <v>0</v>
      </c>
      <c r="I185" s="27">
        <f t="shared" si="8"/>
        <v>0</v>
      </c>
      <c r="J185" s="25">
        <f t="shared" si="9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7"/>
        <v>0</v>
      </c>
      <c r="I186" s="27">
        <f t="shared" si="8"/>
        <v>0</v>
      </c>
      <c r="J186" s="25">
        <f t="shared" si="9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7"/>
        <v>0</v>
      </c>
      <c r="I187" s="27">
        <f t="shared" si="8"/>
        <v>0</v>
      </c>
      <c r="J187" s="25">
        <f t="shared" si="9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0">SUM(D9:D187)</f>
        <v>472502000</v>
      </c>
      <c r="E188" s="34">
        <f t="shared" si="10"/>
        <v>15</v>
      </c>
      <c r="F188" s="33">
        <f t="shared" si="10"/>
        <v>3200000</v>
      </c>
      <c r="G188" s="33">
        <f t="shared" si="10"/>
        <v>440000</v>
      </c>
      <c r="H188" s="33">
        <f t="shared" si="10"/>
        <v>3640000</v>
      </c>
      <c r="I188" s="33">
        <f t="shared" si="10"/>
        <v>469302000</v>
      </c>
      <c r="J188" s="33">
        <f t="shared" si="10"/>
        <v>44000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440000</v>
      </c>
      <c r="E191" s="3"/>
      <c r="F191" s="135" t="s">
        <v>242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22000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242000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11000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11000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11000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11000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44000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110000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440000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zoomScale="150" zoomScaleNormal="150" workbookViewId="0">
      <selection activeCell="A1" sqref="$A1:$XFD1048576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79047619047619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243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'4-8-26'!I9</f>
        <v>5500000</v>
      </c>
      <c r="E9" s="24"/>
      <c r="F9" s="25"/>
      <c r="G9" s="25"/>
      <c r="H9" s="27">
        <f t="shared" ref="H9:H72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'4-8-26'!I10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'4-8-26'!I11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'4-8-26'!I12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'4-8-26'!I13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'4-8-26'!I14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'4-8-26'!I15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'4-8-26'!I16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'4-8-26'!I17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'4-8-26'!I18</f>
        <v>11995000</v>
      </c>
      <c r="E18" s="24"/>
      <c r="F18" s="25"/>
      <c r="G18" s="25"/>
      <c r="H18" s="27">
        <f t="shared" si="0"/>
        <v>0</v>
      </c>
      <c r="I18" s="27">
        <f t="shared" si="1"/>
        <v>11995000</v>
      </c>
      <c r="J18" s="25">
        <f t="shared" si="2"/>
        <v>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'4-8-26'!I19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'4-8-26'!I20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'4-8-26'!I21</f>
        <v>11850000</v>
      </c>
      <c r="E21" s="24"/>
      <c r="F21" s="25"/>
      <c r="G21" s="25"/>
      <c r="H21" s="27">
        <f t="shared" si="0"/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'4-8-26'!I22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'4-8-26'!I23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'4-8-26'!I24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'4-8-26'!I25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'4-8-26'!I26</f>
        <v>3800000</v>
      </c>
      <c r="E26" s="24"/>
      <c r="F26" s="25"/>
      <c r="G26" s="25"/>
      <c r="H26" s="27">
        <f t="shared" si="0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'4-8-26'!I27</f>
        <v>220000</v>
      </c>
      <c r="E27" s="24"/>
      <c r="F27" s="25"/>
      <c r="G27" s="25"/>
      <c r="H27" s="27">
        <f t="shared" si="0"/>
        <v>0</v>
      </c>
      <c r="I27" s="27">
        <f t="shared" si="1"/>
        <v>220000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'4-8-26'!I28</f>
        <v>0</v>
      </c>
      <c r="E28" s="24"/>
      <c r="F28" s="25"/>
      <c r="G28" s="25"/>
      <c r="H28" s="27">
        <f t="shared" si="0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'4-8-26'!I29</f>
        <v>0</v>
      </c>
      <c r="E29" s="24"/>
      <c r="F29" s="25"/>
      <c r="G29" s="25"/>
      <c r="H29" s="27">
        <f t="shared" si="0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'4-8-26'!I30</f>
        <v>2500000</v>
      </c>
      <c r="E30" s="24"/>
      <c r="F30" s="25"/>
      <c r="G30" s="25"/>
      <c r="H30" s="27">
        <f t="shared" si="0"/>
        <v>0</v>
      </c>
      <c r="I30" s="27">
        <f t="shared" si="1"/>
        <v>2500000</v>
      </c>
      <c r="J30" s="25">
        <f t="shared" si="2"/>
        <v>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'4-8-26'!I31</f>
        <v>0</v>
      </c>
      <c r="E31" s="24"/>
      <c r="F31" s="25"/>
      <c r="G31" s="25"/>
      <c r="H31" s="27">
        <f t="shared" si="0"/>
        <v>0</v>
      </c>
      <c r="I31" s="27">
        <f t="shared" si="1"/>
        <v>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'4-8-26'!I32</f>
        <v>12000000</v>
      </c>
      <c r="E32" s="24"/>
      <c r="F32" s="25"/>
      <c r="G32" s="25"/>
      <c r="H32" s="27">
        <f t="shared" si="0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'4-8-26'!I33</f>
        <v>450000</v>
      </c>
      <c r="E33" s="24"/>
      <c r="F33" s="25"/>
      <c r="G33" s="25"/>
      <c r="H33" s="27">
        <f t="shared" si="0"/>
        <v>0</v>
      </c>
      <c r="I33" s="27">
        <f t="shared" si="1"/>
        <v>450000</v>
      </c>
      <c r="J33" s="25">
        <f t="shared" si="2"/>
        <v>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'4-8-26'!I34</f>
        <v>2400000</v>
      </c>
      <c r="E34" s="24"/>
      <c r="F34" s="25"/>
      <c r="G34" s="25"/>
      <c r="H34" s="27">
        <f t="shared" si="0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'4-8-26'!I35</f>
        <v>3250000</v>
      </c>
      <c r="E35" s="24"/>
      <c r="F35" s="25"/>
      <c r="G35" s="25"/>
      <c r="H35" s="27">
        <f t="shared" si="0"/>
        <v>0</v>
      </c>
      <c r="I35" s="27">
        <f t="shared" si="1"/>
        <v>3250000</v>
      </c>
      <c r="J35" s="25">
        <f t="shared" si="2"/>
        <v>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'4-8-26'!I36</f>
        <v>3600000</v>
      </c>
      <c r="E36" s="24"/>
      <c r="F36" s="25"/>
      <c r="G36" s="25"/>
      <c r="H36" s="27">
        <f t="shared" si="0"/>
        <v>0</v>
      </c>
      <c r="I36" s="27">
        <f t="shared" si="1"/>
        <v>3600000</v>
      </c>
      <c r="J36" s="25">
        <f t="shared" si="2"/>
        <v>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'4-8-26'!I37</f>
        <v>0</v>
      </c>
      <c r="E37" s="24"/>
      <c r="F37" s="25"/>
      <c r="G37" s="25"/>
      <c r="H37" s="27">
        <f t="shared" si="0"/>
        <v>0</v>
      </c>
      <c r="I37" s="27">
        <f t="shared" si="1"/>
        <v>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'4-8-26'!I38</f>
        <v>5800000</v>
      </c>
      <c r="E38" s="24"/>
      <c r="F38" s="25"/>
      <c r="G38" s="25"/>
      <c r="H38" s="27">
        <f t="shared" si="0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'4-8-26'!I39</f>
        <v>13060000</v>
      </c>
      <c r="E39" s="24"/>
      <c r="F39" s="25"/>
      <c r="G39" s="25"/>
      <c r="H39" s="27">
        <f t="shared" si="0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'4-8-26'!I40</f>
        <v>0</v>
      </c>
      <c r="E40" s="24"/>
      <c r="F40" s="25"/>
      <c r="G40" s="25"/>
      <c r="H40" s="27">
        <f t="shared" si="0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'4-8-26'!I41</f>
        <v>1200000</v>
      </c>
      <c r="E41" s="24"/>
      <c r="F41" s="25"/>
      <c r="G41" s="25"/>
      <c r="H41" s="27">
        <f t="shared" si="0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'4-8-26'!I42</f>
        <v>900000</v>
      </c>
      <c r="E42" s="24"/>
      <c r="F42" s="25"/>
      <c r="G42" s="25"/>
      <c r="H42" s="27">
        <f t="shared" si="0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'4-8-26'!I43</f>
        <v>3750000</v>
      </c>
      <c r="E43" s="24"/>
      <c r="F43" s="25"/>
      <c r="G43" s="25"/>
      <c r="H43" s="27">
        <f t="shared" si="0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'4-8-26'!I44</f>
        <v>10320000</v>
      </c>
      <c r="E44" s="24"/>
      <c r="F44" s="25"/>
      <c r="G44" s="25"/>
      <c r="H44" s="27">
        <f t="shared" si="0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'4-8-26'!I45</f>
        <v>10500000</v>
      </c>
      <c r="E45" s="24"/>
      <c r="F45" s="25"/>
      <c r="G45" s="25"/>
      <c r="H45" s="27">
        <f t="shared" si="0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'4-8-26'!I46</f>
        <v>0</v>
      </c>
      <c r="E46" s="24"/>
      <c r="F46" s="25"/>
      <c r="G46" s="25"/>
      <c r="H46" s="27">
        <f t="shared" si="0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'4-8-26'!I47</f>
        <v>9000000</v>
      </c>
      <c r="E47" s="24"/>
      <c r="F47" s="25"/>
      <c r="G47" s="25"/>
      <c r="H47" s="27">
        <f t="shared" si="0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'4-8-26'!I48</f>
        <v>400000</v>
      </c>
      <c r="E48" s="24"/>
      <c r="F48" s="25"/>
      <c r="G48" s="25"/>
      <c r="H48" s="27">
        <f t="shared" si="0"/>
        <v>0</v>
      </c>
      <c r="I48" s="27">
        <f t="shared" si="1"/>
        <v>400000</v>
      </c>
      <c r="J48" s="25">
        <f t="shared" si="2"/>
        <v>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'4-8-26'!I49</f>
        <v>0</v>
      </c>
      <c r="E49" s="24"/>
      <c r="F49" s="25"/>
      <c r="G49" s="25"/>
      <c r="H49" s="27">
        <f t="shared" si="0"/>
        <v>0</v>
      </c>
      <c r="I49" s="27">
        <f t="shared" si="1"/>
        <v>0</v>
      </c>
      <c r="J49" s="25">
        <f t="shared" si="2"/>
        <v>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'4-8-26'!I50</f>
        <v>0</v>
      </c>
      <c r="E50" s="24"/>
      <c r="F50" s="25"/>
      <c r="G50" s="25"/>
      <c r="H50" s="27">
        <f t="shared" si="0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'4-8-26'!I51</f>
        <v>14700000</v>
      </c>
      <c r="E51" s="24"/>
      <c r="F51" s="25"/>
      <c r="G51" s="25"/>
      <c r="H51" s="27">
        <f t="shared" si="0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'4-8-26'!I52</f>
        <v>23800000</v>
      </c>
      <c r="E52" s="24"/>
      <c r="F52" s="25"/>
      <c r="G52" s="25"/>
      <c r="H52" s="27">
        <f t="shared" si="0"/>
        <v>0</v>
      </c>
      <c r="I52" s="27">
        <f t="shared" si="1"/>
        <v>23800000</v>
      </c>
      <c r="J52" s="25">
        <f t="shared" si="2"/>
        <v>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'4-8-26'!I53</f>
        <v>0</v>
      </c>
      <c r="E53" s="24"/>
      <c r="F53" s="25"/>
      <c r="G53" s="25"/>
      <c r="H53" s="27">
        <f t="shared" si="0"/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'4-8-26'!I54</f>
        <v>4200000</v>
      </c>
      <c r="E54" s="24"/>
      <c r="F54" s="25"/>
      <c r="G54" s="25"/>
      <c r="H54" s="27">
        <f t="shared" si="0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'4-8-26'!I55</f>
        <v>7460000</v>
      </c>
      <c r="E55" s="24"/>
      <c r="F55" s="25"/>
      <c r="G55" s="25"/>
      <c r="H55" s="27">
        <f t="shared" si="0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'4-8-26'!I56</f>
        <v>0</v>
      </c>
      <c r="E56" s="24"/>
      <c r="F56" s="25"/>
      <c r="G56" s="25"/>
      <c r="H56" s="27">
        <f t="shared" si="0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'4-8-26'!I57</f>
        <v>20000000</v>
      </c>
      <c r="E57" s="24"/>
      <c r="F57" s="25"/>
      <c r="G57" s="25"/>
      <c r="H57" s="27">
        <f t="shared" si="0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'4-8-26'!I58</f>
        <v>0</v>
      </c>
      <c r="E58" s="24"/>
      <c r="F58" s="25"/>
      <c r="G58" s="25"/>
      <c r="H58" s="27">
        <f t="shared" si="0"/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'4-8-26'!I59</f>
        <v>0</v>
      </c>
      <c r="E59" s="24"/>
      <c r="F59" s="25"/>
      <c r="G59" s="25"/>
      <c r="H59" s="27">
        <f t="shared" si="0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'4-8-26'!I60</f>
        <v>0</v>
      </c>
      <c r="E60" s="24"/>
      <c r="F60" s="25"/>
      <c r="G60" s="25"/>
      <c r="H60" s="27">
        <f t="shared" si="0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'4-8-26'!I61</f>
        <v>230000</v>
      </c>
      <c r="E61" s="24"/>
      <c r="F61" s="25"/>
      <c r="G61" s="25"/>
      <c r="H61" s="27">
        <f t="shared" si="0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'4-8-26'!I62</f>
        <v>0</v>
      </c>
      <c r="E62" s="24"/>
      <c r="F62" s="25"/>
      <c r="G62" s="25"/>
      <c r="H62" s="27">
        <f t="shared" si="0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'4-8-26'!I63</f>
        <v>0</v>
      </c>
      <c r="E63" s="24"/>
      <c r="F63" s="25"/>
      <c r="G63" s="25"/>
      <c r="H63" s="27">
        <f t="shared" si="0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'4-8-26'!I64</f>
        <v>0</v>
      </c>
      <c r="E64" s="24"/>
      <c r="F64" s="25"/>
      <c r="G64" s="25"/>
      <c r="H64" s="27">
        <f t="shared" si="0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'4-8-26'!I65</f>
        <v>5862000</v>
      </c>
      <c r="E65" s="24"/>
      <c r="F65" s="25"/>
      <c r="G65" s="25"/>
      <c r="H65" s="27">
        <f t="shared" si="0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'4-8-26'!I66</f>
        <v>0</v>
      </c>
      <c r="E66" s="24"/>
      <c r="F66" s="25"/>
      <c r="G66" s="25"/>
      <c r="H66" s="27">
        <f t="shared" si="0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'4-8-26'!I67</f>
        <v>0</v>
      </c>
      <c r="E67" s="24"/>
      <c r="F67" s="25"/>
      <c r="G67" s="25"/>
      <c r="H67" s="27">
        <f t="shared" si="0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'4-8-26'!I68</f>
        <v>400000</v>
      </c>
      <c r="E68" s="24"/>
      <c r="F68" s="25"/>
      <c r="G68" s="25"/>
      <c r="H68" s="27">
        <f t="shared" si="0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'4-8-26'!I69</f>
        <v>50000000</v>
      </c>
      <c r="E69" s="24"/>
      <c r="F69" s="25"/>
      <c r="G69" s="25"/>
      <c r="H69" s="27">
        <f t="shared" si="0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'4-8-26'!I70</f>
        <v>600000</v>
      </c>
      <c r="E70" s="24"/>
      <c r="F70" s="25"/>
      <c r="G70" s="25"/>
      <c r="H70" s="27">
        <f t="shared" si="0"/>
        <v>0</v>
      </c>
      <c r="I70" s="27">
        <f t="shared" si="1"/>
        <v>600000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'4-8-26'!I71</f>
        <v>500000</v>
      </c>
      <c r="E71" s="24"/>
      <c r="F71" s="25"/>
      <c r="G71" s="25"/>
      <c r="H71" s="27">
        <f t="shared" si="0"/>
        <v>0</v>
      </c>
      <c r="I71" s="27">
        <f t="shared" si="1"/>
        <v>500000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'4-8-26'!I72</f>
        <v>1400000</v>
      </c>
      <c r="E72" s="24"/>
      <c r="F72" s="25"/>
      <c r="G72" s="25"/>
      <c r="H72" s="27">
        <f t="shared" si="0"/>
        <v>0</v>
      </c>
      <c r="I72" s="27">
        <f t="shared" si="1"/>
        <v>1400000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'4-8-26'!I73</f>
        <v>0</v>
      </c>
      <c r="E73" s="25"/>
      <c r="F73" s="25"/>
      <c r="G73" s="25"/>
      <c r="H73" s="27">
        <f t="shared" ref="H73:H136" si="3">SUM(F73:G73)</f>
        <v>0</v>
      </c>
      <c r="I73" s="27">
        <f t="shared" ref="I73:I136" si="4">D73-F73</f>
        <v>0</v>
      </c>
      <c r="J73" s="25">
        <f t="shared" ref="J73:J136" si="5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'4-8-26'!I74</f>
        <v>0</v>
      </c>
      <c r="E74" s="24"/>
      <c r="F74" s="25"/>
      <c r="G74" s="25"/>
      <c r="H74" s="27">
        <f t="shared" si="3"/>
        <v>0</v>
      </c>
      <c r="I74" s="27">
        <f t="shared" si="4"/>
        <v>0</v>
      </c>
      <c r="J74" s="25">
        <f t="shared" si="5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'4-8-26'!I75</f>
        <v>2100000</v>
      </c>
      <c r="E75" s="24"/>
      <c r="F75" s="25"/>
      <c r="G75" s="25"/>
      <c r="H75" s="27">
        <f t="shared" si="3"/>
        <v>0</v>
      </c>
      <c r="I75" s="27">
        <f t="shared" si="4"/>
        <v>2100000</v>
      </c>
      <c r="J75" s="25">
        <f t="shared" si="5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'4-8-26'!I76</f>
        <v>660000</v>
      </c>
      <c r="E76" s="24">
        <v>5</v>
      </c>
      <c r="F76" s="25">
        <v>110000</v>
      </c>
      <c r="G76" s="25">
        <v>22000</v>
      </c>
      <c r="H76" s="27">
        <f t="shared" si="3"/>
        <v>132000</v>
      </c>
      <c r="I76" s="27">
        <f t="shared" si="4"/>
        <v>550000</v>
      </c>
      <c r="J76" s="25">
        <f t="shared" si="5"/>
        <v>2200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'4-8-26'!I77</f>
        <v>4000000</v>
      </c>
      <c r="E77" s="24"/>
      <c r="F77" s="25"/>
      <c r="G77" s="25"/>
      <c r="H77" s="27">
        <f t="shared" si="3"/>
        <v>0</v>
      </c>
      <c r="I77" s="27">
        <f t="shared" si="4"/>
        <v>4000000</v>
      </c>
      <c r="J77" s="25">
        <f t="shared" si="5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'4-8-26'!I78</f>
        <v>7500000</v>
      </c>
      <c r="E78" s="24"/>
      <c r="F78" s="25"/>
      <c r="G78" s="25"/>
      <c r="H78" s="27">
        <f t="shared" si="3"/>
        <v>0</v>
      </c>
      <c r="I78" s="27">
        <f t="shared" si="4"/>
        <v>7500000</v>
      </c>
      <c r="J78" s="25">
        <f t="shared" si="5"/>
        <v>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'4-8-26'!I79</f>
        <v>1200000</v>
      </c>
      <c r="E79" s="24">
        <v>7</v>
      </c>
      <c r="F79" s="25">
        <v>1200000</v>
      </c>
      <c r="G79" s="25"/>
      <c r="H79" s="27">
        <f t="shared" ref="H79:H92" si="6">SUM(F79:G79)</f>
        <v>1200000</v>
      </c>
      <c r="I79" s="27">
        <f t="shared" si="4"/>
        <v>0</v>
      </c>
      <c r="J79" s="25">
        <f t="shared" si="5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'4-8-26'!I80</f>
        <v>500000</v>
      </c>
      <c r="E80" s="24"/>
      <c r="F80" s="25"/>
      <c r="G80" s="25"/>
      <c r="H80" s="27">
        <f t="shared" si="6"/>
        <v>0</v>
      </c>
      <c r="I80" s="27">
        <f t="shared" si="4"/>
        <v>500000</v>
      </c>
      <c r="J80" s="25">
        <f t="shared" si="5"/>
        <v>0</v>
      </c>
    </row>
    <row r="81" s="1" customFormat="1" ht="12.75" customHeight="1" spans="1:12">
      <c r="A81" s="24">
        <v>73</v>
      </c>
      <c r="B81" s="25" t="s">
        <v>178</v>
      </c>
      <c r="C81" s="133" t="s">
        <v>176</v>
      </c>
      <c r="D81" s="27">
        <f>'4-8-26'!I81</f>
        <v>4900000</v>
      </c>
      <c r="E81" s="24"/>
      <c r="F81" s="25"/>
      <c r="G81" s="25"/>
      <c r="H81" s="27">
        <f t="shared" si="6"/>
        <v>0</v>
      </c>
      <c r="I81" s="27">
        <f t="shared" si="4"/>
        <v>4900000</v>
      </c>
      <c r="J81" s="25">
        <f t="shared" si="5"/>
        <v>0</v>
      </c>
    </row>
    <row r="82" s="1" customFormat="1" ht="12.75" customHeight="1" spans="1:12">
      <c r="A82" s="24">
        <v>74</v>
      </c>
      <c r="B82" s="25" t="s">
        <v>183</v>
      </c>
      <c r="C82" s="133" t="s">
        <v>184</v>
      </c>
      <c r="D82" s="27">
        <f>'4-8-26'!I82</f>
        <v>400000</v>
      </c>
      <c r="E82" s="25"/>
      <c r="F82" s="25"/>
      <c r="G82" s="25"/>
      <c r="H82" s="27">
        <f t="shared" si="6"/>
        <v>0</v>
      </c>
      <c r="I82" s="27">
        <f t="shared" si="4"/>
        <v>400000</v>
      </c>
      <c r="J82" s="25">
        <f t="shared" si="5"/>
        <v>0</v>
      </c>
    </row>
    <row r="83" s="1" customFormat="1" ht="12.75" customHeight="1" spans="1:12">
      <c r="A83" s="24">
        <v>75</v>
      </c>
      <c r="B83" s="25" t="s">
        <v>51</v>
      </c>
      <c r="C83" s="26" t="s">
        <v>189</v>
      </c>
      <c r="D83" s="27">
        <f>'4-8-26'!I83</f>
        <v>500000</v>
      </c>
      <c r="E83" s="24"/>
      <c r="F83" s="25"/>
      <c r="G83" s="25"/>
      <c r="H83" s="27">
        <f t="shared" si="6"/>
        <v>0</v>
      </c>
      <c r="I83" s="27">
        <f t="shared" si="4"/>
        <v>500000</v>
      </c>
      <c r="J83" s="25">
        <f t="shared" si="5"/>
        <v>0</v>
      </c>
    </row>
    <row r="84" s="1" customFormat="1" ht="12.75" customHeight="1" spans="1:12">
      <c r="A84" s="24">
        <v>76</v>
      </c>
      <c r="B84" s="25" t="s">
        <v>117</v>
      </c>
      <c r="C84" s="26" t="s">
        <v>189</v>
      </c>
      <c r="D84" s="27">
        <f>'4-8-26'!I84</f>
        <v>0</v>
      </c>
      <c r="E84" s="24"/>
      <c r="F84" s="25"/>
      <c r="G84" s="25"/>
      <c r="H84" s="27">
        <f t="shared" si="6"/>
        <v>0</v>
      </c>
      <c r="I84" s="27">
        <f t="shared" si="4"/>
        <v>0</v>
      </c>
      <c r="J84" s="25">
        <f t="shared" si="5"/>
        <v>0</v>
      </c>
    </row>
    <row r="85" s="1" customFormat="1" ht="12.75" customHeight="1" spans="1:12">
      <c r="A85" s="24">
        <v>77</v>
      </c>
      <c r="B85" s="25" t="s">
        <v>122</v>
      </c>
      <c r="C85" s="133" t="s">
        <v>199</v>
      </c>
      <c r="D85" s="27">
        <f>'4-8-26'!I85</f>
        <v>5000000</v>
      </c>
      <c r="E85" s="24"/>
      <c r="F85" s="25"/>
      <c r="G85" s="25"/>
      <c r="H85" s="27">
        <f t="shared" si="6"/>
        <v>0</v>
      </c>
      <c r="I85" s="27">
        <f t="shared" si="4"/>
        <v>5000000</v>
      </c>
      <c r="J85" s="25">
        <f t="shared" si="5"/>
        <v>0</v>
      </c>
    </row>
    <row r="86" s="1" customFormat="1" ht="12.75" customHeight="1" spans="1:12">
      <c r="A86" s="24">
        <v>78</v>
      </c>
      <c r="B86" s="25" t="s">
        <v>200</v>
      </c>
      <c r="C86" s="133" t="s">
        <v>201</v>
      </c>
      <c r="D86" s="27">
        <f>'4-8-26'!I86</f>
        <v>900000</v>
      </c>
      <c r="E86" s="24"/>
      <c r="F86" s="25"/>
      <c r="G86" s="25"/>
      <c r="H86" s="27">
        <f t="shared" si="6"/>
        <v>0</v>
      </c>
      <c r="I86" s="27">
        <f t="shared" si="4"/>
        <v>900000</v>
      </c>
      <c r="J86" s="25">
        <f t="shared" si="5"/>
        <v>0</v>
      </c>
    </row>
    <row r="87" s="1" customFormat="1" ht="12.75" customHeight="1" spans="1:12">
      <c r="A87" s="24">
        <v>79</v>
      </c>
      <c r="B87" s="25" t="s">
        <v>202</v>
      </c>
      <c r="C87" s="133" t="s">
        <v>201</v>
      </c>
      <c r="D87" s="27">
        <f>'4-8-26'!I87</f>
        <v>500000</v>
      </c>
      <c r="E87" s="24"/>
      <c r="F87" s="25"/>
      <c r="G87" s="25"/>
      <c r="H87" s="27">
        <f t="shared" si="6"/>
        <v>0</v>
      </c>
      <c r="I87" s="27">
        <f t="shared" si="4"/>
        <v>500000</v>
      </c>
      <c r="J87" s="25">
        <f t="shared" si="5"/>
        <v>0</v>
      </c>
    </row>
    <row r="88" s="1" customFormat="1" ht="12.75" customHeight="1" spans="1:12">
      <c r="A88" s="24">
        <v>80</v>
      </c>
      <c r="B88" s="25" t="s">
        <v>105</v>
      </c>
      <c r="C88" s="133" t="s">
        <v>203</v>
      </c>
      <c r="D88" s="27">
        <f>'4-8-26'!I88</f>
        <v>2400000</v>
      </c>
      <c r="E88" s="24"/>
      <c r="F88" s="25"/>
      <c r="G88" s="25"/>
      <c r="H88" s="27">
        <f t="shared" si="6"/>
        <v>0</v>
      </c>
      <c r="I88" s="27">
        <f t="shared" si="4"/>
        <v>2400000</v>
      </c>
      <c r="J88" s="25">
        <f t="shared" si="5"/>
        <v>0</v>
      </c>
    </row>
    <row r="89" s="1" customFormat="1" ht="12.75" customHeight="1" spans="1:12">
      <c r="A89" s="24">
        <v>81</v>
      </c>
      <c r="B89" s="25" t="s">
        <v>206</v>
      </c>
      <c r="C89" s="133" t="s">
        <v>207</v>
      </c>
      <c r="D89" s="27">
        <f>'4-8-26'!I89</f>
        <v>4000000</v>
      </c>
      <c r="E89" s="24"/>
      <c r="F89" s="25"/>
      <c r="G89" s="25"/>
      <c r="H89" s="27">
        <f t="shared" si="6"/>
        <v>0</v>
      </c>
      <c r="I89" s="27">
        <f t="shared" si="4"/>
        <v>4000000</v>
      </c>
      <c r="J89" s="25">
        <f t="shared" si="5"/>
        <v>0</v>
      </c>
    </row>
    <row r="90" s="1" customFormat="1" ht="12.75" customHeight="1" spans="1:12">
      <c r="A90" s="24">
        <v>82</v>
      </c>
      <c r="B90" s="25" t="s">
        <v>208</v>
      </c>
      <c r="C90" s="133" t="s">
        <v>207</v>
      </c>
      <c r="D90" s="27">
        <f>'4-8-26'!I90</f>
        <v>1400000</v>
      </c>
      <c r="E90" s="24"/>
      <c r="F90" s="25"/>
      <c r="G90" s="25"/>
      <c r="H90" s="27">
        <f t="shared" si="6"/>
        <v>0</v>
      </c>
      <c r="I90" s="27">
        <f t="shared" si="4"/>
        <v>1400000</v>
      </c>
      <c r="J90" s="25">
        <f t="shared" si="5"/>
        <v>0</v>
      </c>
    </row>
    <row r="91" s="1" customFormat="1" ht="12.75" customHeight="1" spans="1:12">
      <c r="A91" s="24">
        <v>83</v>
      </c>
      <c r="B91" s="25" t="s">
        <v>211</v>
      </c>
      <c r="C91" s="133" t="s">
        <v>212</v>
      </c>
      <c r="D91" s="27">
        <f>'4-8-26'!I91</f>
        <v>4000000</v>
      </c>
      <c r="E91" s="24"/>
      <c r="F91" s="25"/>
      <c r="G91" s="25"/>
      <c r="H91" s="27">
        <f t="shared" si="6"/>
        <v>0</v>
      </c>
      <c r="I91" s="27">
        <f t="shared" si="4"/>
        <v>4000000</v>
      </c>
      <c r="J91" s="25">
        <f t="shared" si="5"/>
        <v>0</v>
      </c>
    </row>
    <row r="92" s="1" customFormat="1" ht="12.75" customHeight="1" spans="1:12">
      <c r="A92" s="24">
        <v>84</v>
      </c>
      <c r="B92" s="25" t="s">
        <v>121</v>
      </c>
      <c r="C92" s="133" t="s">
        <v>215</v>
      </c>
      <c r="D92" s="27">
        <f>'4-8-26'!I92</f>
        <v>400000</v>
      </c>
      <c r="E92" s="24"/>
      <c r="F92" s="25"/>
      <c r="G92" s="25"/>
      <c r="H92" s="27">
        <f t="shared" si="6"/>
        <v>0</v>
      </c>
      <c r="I92" s="27">
        <f t="shared" si="4"/>
        <v>400000</v>
      </c>
      <c r="J92" s="25">
        <f t="shared" si="5"/>
        <v>0</v>
      </c>
    </row>
    <row r="93" s="1" customFormat="1" ht="12.75" customHeight="1" spans="1:12">
      <c r="A93" s="24">
        <v>85</v>
      </c>
      <c r="B93" s="25" t="s">
        <v>117</v>
      </c>
      <c r="C93" s="133" t="s">
        <v>215</v>
      </c>
      <c r="D93" s="27">
        <f>'4-8-26'!I93</f>
        <v>0</v>
      </c>
      <c r="E93" s="24"/>
      <c r="F93" s="25"/>
      <c r="G93" s="25"/>
      <c r="H93" s="27">
        <f t="shared" si="3"/>
        <v>0</v>
      </c>
      <c r="I93" s="27">
        <f t="shared" si="4"/>
        <v>0</v>
      </c>
      <c r="J93" s="25">
        <f t="shared" si="5"/>
        <v>0</v>
      </c>
      <c r="L93" s="1">
        <v>2000000</v>
      </c>
    </row>
    <row r="94" s="1" customFormat="1" ht="12.75" customHeight="1" spans="1:12">
      <c r="A94" s="24">
        <v>86</v>
      </c>
      <c r="B94" s="25" t="s">
        <v>163</v>
      </c>
      <c r="C94" s="133" t="s">
        <v>215</v>
      </c>
      <c r="D94" s="27">
        <f>'4-8-26'!I94</f>
        <v>15000000</v>
      </c>
      <c r="E94" s="24"/>
      <c r="F94" s="25"/>
      <c r="G94" s="25"/>
      <c r="H94" s="27">
        <f t="shared" si="3"/>
        <v>0</v>
      </c>
      <c r="I94" s="27">
        <f t="shared" si="4"/>
        <v>15000000</v>
      </c>
      <c r="J94" s="25">
        <f t="shared" si="5"/>
        <v>0</v>
      </c>
      <c r="L94" s="1">
        <v>570000</v>
      </c>
    </row>
    <row r="95" s="1" customFormat="1" ht="12.75" customHeight="1" spans="1:12">
      <c r="A95" s="24">
        <v>87</v>
      </c>
      <c r="B95" s="25" t="s">
        <v>85</v>
      </c>
      <c r="C95" s="133" t="s">
        <v>220</v>
      </c>
      <c r="D95" s="27">
        <f>'4-8-26'!I95</f>
        <v>1875000</v>
      </c>
      <c r="E95" s="24">
        <v>2</v>
      </c>
      <c r="F95" s="25">
        <v>125000</v>
      </c>
      <c r="G95" s="25">
        <v>50000</v>
      </c>
      <c r="H95" s="27">
        <f t="shared" si="3"/>
        <v>175000</v>
      </c>
      <c r="I95" s="27">
        <f t="shared" si="4"/>
        <v>1750000</v>
      </c>
      <c r="J95" s="25">
        <f t="shared" si="5"/>
        <v>5000</v>
      </c>
      <c r="L95" s="1">
        <v>60000</v>
      </c>
    </row>
    <row r="96" s="1" customFormat="1" ht="12.75" customHeight="1" spans="1:12">
      <c r="A96" s="24">
        <v>88</v>
      </c>
      <c r="B96" s="25" t="s">
        <v>103</v>
      </c>
      <c r="C96" s="133" t="s">
        <v>223</v>
      </c>
      <c r="D96" s="27">
        <f>'4-8-26'!I96</f>
        <v>2000000</v>
      </c>
      <c r="E96" s="24"/>
      <c r="F96" s="25"/>
      <c r="G96" s="25"/>
      <c r="H96" s="27">
        <f t="shared" si="3"/>
        <v>0</v>
      </c>
      <c r="I96" s="27">
        <f t="shared" si="4"/>
        <v>2000000</v>
      </c>
      <c r="J96" s="25">
        <f t="shared" si="5"/>
        <v>0</v>
      </c>
      <c r="L96" s="1">
        <f>SUM(L94:L95)</f>
        <v>630000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'4-8-26'!I97</f>
        <v>0</v>
      </c>
      <c r="E97" s="24"/>
      <c r="F97" s="25"/>
      <c r="G97" s="25"/>
      <c r="H97" s="27">
        <f t="shared" si="3"/>
        <v>0</v>
      </c>
      <c r="I97" s="27">
        <f t="shared" si="4"/>
        <v>0</v>
      </c>
      <c r="J97" s="25">
        <f t="shared" si="5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'4-8-26'!I98</f>
        <v>0</v>
      </c>
      <c r="E98" s="24"/>
      <c r="F98" s="25"/>
      <c r="G98" s="25"/>
      <c r="H98" s="27">
        <f t="shared" si="3"/>
        <v>0</v>
      </c>
      <c r="I98" s="27">
        <f t="shared" si="4"/>
        <v>0</v>
      </c>
      <c r="J98" s="25">
        <f t="shared" si="5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'4-8-26'!I99</f>
        <v>10000000</v>
      </c>
      <c r="E99" s="24"/>
      <c r="F99" s="25"/>
      <c r="G99" s="25"/>
      <c r="H99" s="27">
        <f t="shared" si="3"/>
        <v>0</v>
      </c>
      <c r="I99" s="27">
        <f t="shared" si="4"/>
        <v>10000000</v>
      </c>
      <c r="J99" s="25">
        <f t="shared" si="5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f>'4-8-26'!I100</f>
        <v>20000000</v>
      </c>
      <c r="E100" s="24">
        <v>1</v>
      </c>
      <c r="F100" s="25">
        <v>700000</v>
      </c>
      <c r="G100" s="25">
        <v>400000</v>
      </c>
      <c r="H100" s="27">
        <f t="shared" si="3"/>
        <v>1100000</v>
      </c>
      <c r="I100" s="27">
        <f t="shared" si="4"/>
        <v>19300000</v>
      </c>
      <c r="J100" s="25">
        <f t="shared" si="5"/>
        <v>40000</v>
      </c>
    </row>
    <row r="101" s="1" customFormat="1" ht="12.75" customHeight="1" spans="1:10">
      <c r="A101" s="24">
        <v>93</v>
      </c>
      <c r="B101" s="25" t="s">
        <v>236</v>
      </c>
      <c r="C101" s="133" t="s">
        <v>237</v>
      </c>
      <c r="D101" s="27">
        <f>'4-8-26'!I101</f>
        <v>2100000</v>
      </c>
      <c r="E101" s="24"/>
      <c r="F101" s="25"/>
      <c r="G101" s="25"/>
      <c r="H101" s="27">
        <f t="shared" si="3"/>
        <v>0</v>
      </c>
      <c r="I101" s="27">
        <f t="shared" si="4"/>
        <v>2100000</v>
      </c>
      <c r="J101" s="25">
        <f t="shared" si="5"/>
        <v>0</v>
      </c>
    </row>
    <row r="102" s="1" customFormat="1" ht="12.75" customHeight="1" spans="1:10">
      <c r="A102" s="24">
        <v>94</v>
      </c>
      <c r="B102" s="25" t="s">
        <v>107</v>
      </c>
      <c r="C102" s="133" t="s">
        <v>244</v>
      </c>
      <c r="D102" s="27">
        <v>5000000</v>
      </c>
      <c r="E102" s="24"/>
      <c r="F102" s="25"/>
      <c r="G102" s="25"/>
      <c r="H102" s="27">
        <f t="shared" si="3"/>
        <v>0</v>
      </c>
      <c r="I102" s="27">
        <f t="shared" si="4"/>
        <v>5000000</v>
      </c>
      <c r="J102" s="25">
        <f t="shared" si="5"/>
        <v>0</v>
      </c>
    </row>
    <row r="103" s="1" customFormat="1" ht="12.75" customHeight="1" spans="1:10">
      <c r="A103" s="24"/>
      <c r="B103" s="25"/>
      <c r="C103" s="26"/>
      <c r="D103" s="27">
        <f>'4-8-26'!I103</f>
        <v>0</v>
      </c>
      <c r="E103" s="24"/>
      <c r="F103" s="25"/>
      <c r="G103" s="25"/>
      <c r="H103" s="27">
        <f t="shared" si="3"/>
        <v>0</v>
      </c>
      <c r="I103" s="27">
        <f t="shared" si="4"/>
        <v>0</v>
      </c>
      <c r="J103" s="25">
        <f t="shared" si="5"/>
        <v>0</v>
      </c>
    </row>
    <row r="104" s="1" customFormat="1" ht="12.75" customHeight="1" spans="1:10">
      <c r="A104" s="24"/>
      <c r="B104" s="25"/>
      <c r="C104" s="26"/>
      <c r="D104" s="27">
        <f>'4-8-26'!I104</f>
        <v>0</v>
      </c>
      <c r="E104" s="24"/>
      <c r="F104" s="25"/>
      <c r="G104" s="25"/>
      <c r="H104" s="27">
        <f t="shared" si="3"/>
        <v>0</v>
      </c>
      <c r="I104" s="27">
        <f t="shared" si="4"/>
        <v>0</v>
      </c>
      <c r="J104" s="25">
        <f t="shared" si="5"/>
        <v>0</v>
      </c>
    </row>
    <row r="105" s="1" customFormat="1" ht="12.75" customHeight="1" spans="1:10">
      <c r="A105" s="24"/>
      <c r="B105" s="25"/>
      <c r="C105" s="26"/>
      <c r="D105" s="27">
        <f>'4-8-26'!I105</f>
        <v>0</v>
      </c>
      <c r="E105" s="24"/>
      <c r="F105" s="25"/>
      <c r="G105" s="25"/>
      <c r="H105" s="27">
        <f t="shared" si="3"/>
        <v>0</v>
      </c>
      <c r="I105" s="27">
        <f t="shared" si="4"/>
        <v>0</v>
      </c>
      <c r="J105" s="25">
        <f t="shared" si="5"/>
        <v>0</v>
      </c>
    </row>
    <row r="106" s="1" customFormat="1" ht="12.75" customHeight="1" spans="1:10">
      <c r="A106" s="24"/>
      <c r="B106" s="25"/>
      <c r="C106" s="26"/>
      <c r="D106" s="27">
        <f>'4-8-26'!I106</f>
        <v>0</v>
      </c>
      <c r="E106" s="24"/>
      <c r="F106" s="25"/>
      <c r="G106" s="25"/>
      <c r="H106" s="27">
        <f t="shared" si="3"/>
        <v>0</v>
      </c>
      <c r="I106" s="27">
        <f t="shared" si="4"/>
        <v>0</v>
      </c>
      <c r="J106" s="25">
        <f t="shared" si="5"/>
        <v>0</v>
      </c>
    </row>
    <row r="107" s="1" customFormat="1" ht="12.75" customHeight="1" spans="1:10">
      <c r="A107" s="24"/>
      <c r="B107" s="25"/>
      <c r="C107" s="26"/>
      <c r="D107" s="27">
        <f>'4-8-26'!I107</f>
        <v>0</v>
      </c>
      <c r="E107" s="24"/>
      <c r="F107" s="25"/>
      <c r="G107" s="25"/>
      <c r="H107" s="27">
        <f t="shared" si="3"/>
        <v>0</v>
      </c>
      <c r="I107" s="27">
        <f t="shared" si="4"/>
        <v>0</v>
      </c>
      <c r="J107" s="25">
        <f t="shared" si="5"/>
        <v>0</v>
      </c>
    </row>
    <row r="108" s="1" customFormat="1" ht="12.75" customHeight="1" spans="1:10">
      <c r="A108" s="24"/>
      <c r="B108" s="25"/>
      <c r="C108" s="26"/>
      <c r="D108" s="27">
        <f>'4-8-26'!I108</f>
        <v>0</v>
      </c>
      <c r="E108" s="24"/>
      <c r="F108" s="25"/>
      <c r="G108" s="25"/>
      <c r="H108" s="27">
        <f t="shared" si="3"/>
        <v>0</v>
      </c>
      <c r="I108" s="27">
        <f t="shared" si="4"/>
        <v>0</v>
      </c>
      <c r="J108" s="25">
        <f t="shared" si="5"/>
        <v>0</v>
      </c>
    </row>
    <row r="109" s="1" customFormat="1" ht="12.75" customHeight="1" spans="1:10">
      <c r="A109" s="24"/>
      <c r="B109" s="25"/>
      <c r="C109" s="26"/>
      <c r="D109" s="27">
        <f>'4-8-26'!I109</f>
        <v>0</v>
      </c>
      <c r="E109" s="24"/>
      <c r="F109" s="25"/>
      <c r="G109" s="25"/>
      <c r="H109" s="27">
        <f t="shared" si="3"/>
        <v>0</v>
      </c>
      <c r="I109" s="27">
        <f t="shared" si="4"/>
        <v>0</v>
      </c>
      <c r="J109" s="25">
        <f t="shared" si="5"/>
        <v>0</v>
      </c>
    </row>
    <row r="110" s="1" customFormat="1" ht="12.75" customHeight="1" spans="1:10">
      <c r="A110" s="24"/>
      <c r="B110" s="25"/>
      <c r="C110" s="26"/>
      <c r="D110" s="27">
        <f>'4-8-26'!I110</f>
        <v>0</v>
      </c>
      <c r="E110" s="24"/>
      <c r="F110" s="25"/>
      <c r="G110" s="25"/>
      <c r="H110" s="27">
        <f t="shared" si="3"/>
        <v>0</v>
      </c>
      <c r="I110" s="27">
        <f t="shared" si="4"/>
        <v>0</v>
      </c>
      <c r="J110" s="25">
        <f t="shared" si="5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3"/>
        <v>0</v>
      </c>
      <c r="I111" s="27">
        <f t="shared" si="4"/>
        <v>0</v>
      </c>
      <c r="J111" s="25">
        <f t="shared" si="5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3"/>
        <v>0</v>
      </c>
      <c r="I112" s="27">
        <f t="shared" si="4"/>
        <v>0</v>
      </c>
      <c r="J112" s="25">
        <f t="shared" si="5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3"/>
        <v>0</v>
      </c>
      <c r="I113" s="27">
        <f t="shared" si="4"/>
        <v>0</v>
      </c>
      <c r="J113" s="25">
        <f t="shared" si="5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3"/>
        <v>0</v>
      </c>
      <c r="I114" s="27">
        <f t="shared" si="4"/>
        <v>0</v>
      </c>
      <c r="J114" s="25">
        <f t="shared" si="5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3"/>
        <v>0</v>
      </c>
      <c r="I115" s="27">
        <f t="shared" si="4"/>
        <v>0</v>
      </c>
      <c r="J115" s="25">
        <f t="shared" si="5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3"/>
        <v>0</v>
      </c>
      <c r="I116" s="27">
        <f t="shared" si="4"/>
        <v>0</v>
      </c>
      <c r="J116" s="25">
        <f t="shared" si="5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3"/>
        <v>0</v>
      </c>
      <c r="I117" s="27">
        <f t="shared" si="4"/>
        <v>0</v>
      </c>
      <c r="J117" s="25">
        <f t="shared" si="5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3"/>
        <v>0</v>
      </c>
      <c r="I118" s="27">
        <f t="shared" si="4"/>
        <v>0</v>
      </c>
      <c r="J118" s="25">
        <f t="shared" si="5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3"/>
        <v>0</v>
      </c>
      <c r="I119" s="27">
        <f t="shared" si="4"/>
        <v>0</v>
      </c>
      <c r="J119" s="25">
        <f t="shared" si="5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3"/>
        <v>0</v>
      </c>
      <c r="I120" s="27">
        <f t="shared" si="4"/>
        <v>0</v>
      </c>
      <c r="J120" s="25">
        <f t="shared" si="5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3"/>
        <v>0</v>
      </c>
      <c r="I121" s="27">
        <f t="shared" si="4"/>
        <v>0</v>
      </c>
      <c r="J121" s="25">
        <f t="shared" si="5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3"/>
        <v>0</v>
      </c>
      <c r="I122" s="27">
        <f t="shared" si="4"/>
        <v>0</v>
      </c>
      <c r="J122" s="25">
        <f t="shared" si="5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3"/>
        <v>0</v>
      </c>
      <c r="I123" s="27">
        <f t="shared" si="4"/>
        <v>0</v>
      </c>
      <c r="J123" s="25">
        <f t="shared" si="5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3"/>
        <v>0</v>
      </c>
      <c r="I124" s="27">
        <f t="shared" si="4"/>
        <v>0</v>
      </c>
      <c r="J124" s="25">
        <f t="shared" si="5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3"/>
        <v>0</v>
      </c>
      <c r="I125" s="27">
        <f t="shared" si="4"/>
        <v>0</v>
      </c>
      <c r="J125" s="25">
        <f t="shared" si="5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3"/>
        <v>0</v>
      </c>
      <c r="I126" s="27">
        <f t="shared" si="4"/>
        <v>0</v>
      </c>
      <c r="J126" s="25">
        <f t="shared" si="5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3"/>
        <v>0</v>
      </c>
      <c r="I127" s="27">
        <f t="shared" si="4"/>
        <v>0</v>
      </c>
      <c r="J127" s="25">
        <f t="shared" si="5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3"/>
        <v>0</v>
      </c>
      <c r="I128" s="27">
        <f t="shared" si="4"/>
        <v>0</v>
      </c>
      <c r="J128" s="25">
        <f t="shared" si="5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3"/>
        <v>0</v>
      </c>
      <c r="I129" s="27">
        <f t="shared" si="4"/>
        <v>0</v>
      </c>
      <c r="J129" s="25">
        <f t="shared" si="5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3"/>
        <v>0</v>
      </c>
      <c r="I130" s="27">
        <f t="shared" si="4"/>
        <v>0</v>
      </c>
      <c r="J130" s="25">
        <f t="shared" si="5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3"/>
        <v>0</v>
      </c>
      <c r="I131" s="27">
        <f t="shared" si="4"/>
        <v>0</v>
      </c>
      <c r="J131" s="25">
        <f t="shared" si="5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3"/>
        <v>0</v>
      </c>
      <c r="I132" s="27">
        <f t="shared" si="4"/>
        <v>0</v>
      </c>
      <c r="J132" s="25">
        <f t="shared" si="5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3"/>
        <v>0</v>
      </c>
      <c r="I133" s="27">
        <f t="shared" si="4"/>
        <v>0</v>
      </c>
      <c r="J133" s="25">
        <f t="shared" si="5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3"/>
        <v>0</v>
      </c>
      <c r="I134" s="27">
        <f t="shared" si="4"/>
        <v>0</v>
      </c>
      <c r="J134" s="25">
        <f t="shared" si="5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3"/>
        <v>0</v>
      </c>
      <c r="I135" s="27">
        <f t="shared" si="4"/>
        <v>0</v>
      </c>
      <c r="J135" s="25">
        <f t="shared" si="5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3"/>
        <v>0</v>
      </c>
      <c r="I136" s="27">
        <f t="shared" si="4"/>
        <v>0</v>
      </c>
      <c r="J136" s="25">
        <f t="shared" si="5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7">SUM(F137:G137)</f>
        <v>0</v>
      </c>
      <c r="I137" s="27">
        <f t="shared" ref="I137:I187" si="8">D137-F137</f>
        <v>0</v>
      </c>
      <c r="J137" s="25">
        <f t="shared" ref="J137:J187" si="9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7"/>
        <v>0</v>
      </c>
      <c r="I138" s="27">
        <f t="shared" si="8"/>
        <v>0</v>
      </c>
      <c r="J138" s="25">
        <f t="shared" si="9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7"/>
        <v>0</v>
      </c>
      <c r="I139" s="27">
        <f t="shared" si="8"/>
        <v>0</v>
      </c>
      <c r="J139" s="25">
        <f t="shared" si="9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7"/>
        <v>0</v>
      </c>
      <c r="I140" s="27">
        <f t="shared" si="8"/>
        <v>0</v>
      </c>
      <c r="J140" s="25">
        <f t="shared" si="9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7"/>
        <v>0</v>
      </c>
      <c r="I141" s="27">
        <f t="shared" si="8"/>
        <v>0</v>
      </c>
      <c r="J141" s="25">
        <f t="shared" si="9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7"/>
        <v>0</v>
      </c>
      <c r="I142" s="27">
        <f t="shared" si="8"/>
        <v>0</v>
      </c>
      <c r="J142" s="25">
        <f t="shared" si="9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7"/>
        <v>0</v>
      </c>
      <c r="I143" s="27">
        <f t="shared" si="8"/>
        <v>0</v>
      </c>
      <c r="J143" s="25">
        <f t="shared" si="9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7"/>
        <v>0</v>
      </c>
      <c r="I144" s="27">
        <f t="shared" si="8"/>
        <v>0</v>
      </c>
      <c r="J144" s="25">
        <f t="shared" si="9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7"/>
        <v>0</v>
      </c>
      <c r="I145" s="27">
        <f t="shared" si="8"/>
        <v>0</v>
      </c>
      <c r="J145" s="25">
        <f t="shared" si="9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7"/>
        <v>0</v>
      </c>
      <c r="I146" s="27">
        <f t="shared" si="8"/>
        <v>0</v>
      </c>
      <c r="J146" s="25">
        <f t="shared" si="9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7"/>
        <v>0</v>
      </c>
      <c r="I147" s="27">
        <f t="shared" si="8"/>
        <v>0</v>
      </c>
      <c r="J147" s="25">
        <f t="shared" si="9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7"/>
        <v>0</v>
      </c>
      <c r="I148" s="27">
        <f t="shared" si="8"/>
        <v>0</v>
      </c>
      <c r="J148" s="25">
        <f t="shared" si="9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7"/>
        <v>0</v>
      </c>
      <c r="I149" s="27">
        <f t="shared" si="8"/>
        <v>0</v>
      </c>
      <c r="J149" s="25">
        <f t="shared" si="9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7"/>
        <v>0</v>
      </c>
      <c r="I150" s="27">
        <f t="shared" si="8"/>
        <v>0</v>
      </c>
      <c r="J150" s="25">
        <f t="shared" si="9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7"/>
        <v>0</v>
      </c>
      <c r="I151" s="27">
        <f t="shared" si="8"/>
        <v>0</v>
      </c>
      <c r="J151" s="25">
        <f t="shared" si="9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7"/>
        <v>0</v>
      </c>
      <c r="I152" s="27">
        <f t="shared" si="8"/>
        <v>0</v>
      </c>
      <c r="J152" s="25">
        <f t="shared" si="9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7"/>
        <v>0</v>
      </c>
      <c r="I153" s="27">
        <f t="shared" si="8"/>
        <v>0</v>
      </c>
      <c r="J153" s="25">
        <f t="shared" si="9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7"/>
        <v>0</v>
      </c>
      <c r="I154" s="27">
        <f t="shared" si="8"/>
        <v>0</v>
      </c>
      <c r="J154" s="25">
        <f t="shared" si="9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7"/>
        <v>0</v>
      </c>
      <c r="I155" s="27">
        <f t="shared" si="8"/>
        <v>0</v>
      </c>
      <c r="J155" s="25">
        <f t="shared" si="9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7"/>
        <v>0</v>
      </c>
      <c r="I156" s="27">
        <f t="shared" si="8"/>
        <v>0</v>
      </c>
      <c r="J156" s="25">
        <f t="shared" si="9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7"/>
        <v>0</v>
      </c>
      <c r="I157" s="27">
        <f t="shared" si="8"/>
        <v>0</v>
      </c>
      <c r="J157" s="25">
        <f t="shared" si="9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7"/>
        <v>0</v>
      </c>
      <c r="I158" s="27">
        <f t="shared" si="8"/>
        <v>0</v>
      </c>
      <c r="J158" s="25">
        <f t="shared" si="9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7"/>
        <v>0</v>
      </c>
      <c r="I159" s="27">
        <f t="shared" si="8"/>
        <v>0</v>
      </c>
      <c r="J159" s="25">
        <f t="shared" si="9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7"/>
        <v>0</v>
      </c>
      <c r="I160" s="27">
        <f t="shared" si="8"/>
        <v>0</v>
      </c>
      <c r="J160" s="25">
        <f t="shared" si="9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7"/>
        <v>0</v>
      </c>
      <c r="I161" s="27">
        <f t="shared" si="8"/>
        <v>0</v>
      </c>
      <c r="J161" s="25">
        <f t="shared" si="9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7"/>
        <v>0</v>
      </c>
      <c r="I162" s="27">
        <f t="shared" si="8"/>
        <v>0</v>
      </c>
      <c r="J162" s="25">
        <f t="shared" si="9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7"/>
        <v>0</v>
      </c>
      <c r="I163" s="27">
        <f t="shared" si="8"/>
        <v>0</v>
      </c>
      <c r="J163" s="25">
        <f t="shared" si="9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7"/>
        <v>0</v>
      </c>
      <c r="I164" s="27">
        <f t="shared" si="8"/>
        <v>0</v>
      </c>
      <c r="J164" s="25">
        <f t="shared" si="9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7"/>
        <v>0</v>
      </c>
      <c r="I165" s="27">
        <f t="shared" si="8"/>
        <v>0</v>
      </c>
      <c r="J165" s="25">
        <f t="shared" si="9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7"/>
        <v>0</v>
      </c>
      <c r="I166" s="27">
        <f t="shared" si="8"/>
        <v>0</v>
      </c>
      <c r="J166" s="25">
        <f t="shared" si="9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7"/>
        <v>0</v>
      </c>
      <c r="I167" s="27">
        <f t="shared" si="8"/>
        <v>0</v>
      </c>
      <c r="J167" s="25">
        <f t="shared" si="9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7"/>
        <v>0</v>
      </c>
      <c r="I168" s="27">
        <f t="shared" si="8"/>
        <v>0</v>
      </c>
      <c r="J168" s="25">
        <f t="shared" si="9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7"/>
        <v>0</v>
      </c>
      <c r="I169" s="27">
        <f t="shared" si="8"/>
        <v>0</v>
      </c>
      <c r="J169" s="25">
        <f t="shared" si="9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7"/>
        <v>0</v>
      </c>
      <c r="I170" s="27">
        <f t="shared" si="8"/>
        <v>0</v>
      </c>
      <c r="J170" s="25">
        <f t="shared" si="9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7"/>
        <v>0</v>
      </c>
      <c r="I171" s="27">
        <f t="shared" si="8"/>
        <v>0</v>
      </c>
      <c r="J171" s="25">
        <f t="shared" si="9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7"/>
        <v>0</v>
      </c>
      <c r="I172" s="27">
        <f t="shared" si="8"/>
        <v>0</v>
      </c>
      <c r="J172" s="25">
        <f t="shared" si="9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7"/>
        <v>0</v>
      </c>
      <c r="I173" s="27">
        <f t="shared" si="8"/>
        <v>0</v>
      </c>
      <c r="J173" s="25">
        <f t="shared" si="9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7"/>
        <v>0</v>
      </c>
      <c r="I174" s="27">
        <f t="shared" si="8"/>
        <v>0</v>
      </c>
      <c r="J174" s="25">
        <f t="shared" si="9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7"/>
        <v>0</v>
      </c>
      <c r="I175" s="27">
        <f t="shared" si="8"/>
        <v>0</v>
      </c>
      <c r="J175" s="25">
        <f t="shared" si="9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7"/>
        <v>0</v>
      </c>
      <c r="I176" s="27">
        <f t="shared" si="8"/>
        <v>0</v>
      </c>
      <c r="J176" s="25">
        <f t="shared" si="9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7"/>
        <v>0</v>
      </c>
      <c r="I177" s="27">
        <f t="shared" si="8"/>
        <v>0</v>
      </c>
      <c r="J177" s="25">
        <f t="shared" si="9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7"/>
        <v>0</v>
      </c>
      <c r="I178" s="27">
        <f t="shared" si="8"/>
        <v>0</v>
      </c>
      <c r="J178" s="25">
        <f t="shared" si="9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7"/>
        <v>0</v>
      </c>
      <c r="I179" s="27">
        <f t="shared" si="8"/>
        <v>0</v>
      </c>
      <c r="J179" s="25">
        <f t="shared" si="9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7"/>
        <v>0</v>
      </c>
      <c r="I180" s="27">
        <f t="shared" si="8"/>
        <v>0</v>
      </c>
      <c r="J180" s="25">
        <f t="shared" si="9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7"/>
        <v>0</v>
      </c>
      <c r="I181" s="27">
        <f t="shared" si="8"/>
        <v>0</v>
      </c>
      <c r="J181" s="25">
        <f t="shared" si="9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7"/>
        <v>0</v>
      </c>
      <c r="I182" s="27">
        <f t="shared" si="8"/>
        <v>0</v>
      </c>
      <c r="J182" s="25">
        <f t="shared" si="9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7"/>
        <v>0</v>
      </c>
      <c r="I183" s="27">
        <f t="shared" si="8"/>
        <v>0</v>
      </c>
      <c r="J183" s="25">
        <f t="shared" si="9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7"/>
        <v>0</v>
      </c>
      <c r="I184" s="27">
        <f t="shared" si="8"/>
        <v>0</v>
      </c>
      <c r="J184" s="25">
        <f t="shared" si="9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7"/>
        <v>0</v>
      </c>
      <c r="I185" s="27">
        <f t="shared" si="8"/>
        <v>0</v>
      </c>
      <c r="J185" s="25">
        <f t="shared" si="9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7"/>
        <v>0</v>
      </c>
      <c r="I186" s="27">
        <f t="shared" si="8"/>
        <v>0</v>
      </c>
      <c r="J186" s="25">
        <f t="shared" si="9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7"/>
        <v>0</v>
      </c>
      <c r="I187" s="27">
        <f t="shared" si="8"/>
        <v>0</v>
      </c>
      <c r="J187" s="25">
        <f t="shared" si="9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0">SUM(D9:D187)</f>
        <v>474302000</v>
      </c>
      <c r="E188" s="34">
        <f t="shared" si="10"/>
        <v>15</v>
      </c>
      <c r="F188" s="33">
        <f t="shared" si="10"/>
        <v>2135000</v>
      </c>
      <c r="G188" s="33">
        <f t="shared" si="10"/>
        <v>472000</v>
      </c>
      <c r="H188" s="33">
        <f t="shared" si="10"/>
        <v>2607000</v>
      </c>
      <c r="I188" s="33">
        <f t="shared" si="10"/>
        <v>472167000</v>
      </c>
      <c r="J188" s="33">
        <f t="shared" si="10"/>
        <v>47200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472000</v>
      </c>
      <c r="E191" s="3"/>
      <c r="F191" s="135" t="s">
        <v>245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23600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259600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11800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11800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11800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11800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47200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118000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472000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tabSelected="1" zoomScale="150" zoomScaleNormal="150" topLeftCell="A178" workbookViewId="0">
      <selection activeCell="L9" sqref="L9"/>
    </sheetView>
  </sheetViews>
  <sheetFormatPr defaultColWidth="9.14285714285714" defaultRowHeight="11.1" customHeight="1"/>
  <cols>
    <col min="1" max="1" width="4.42857142857143" style="1" customWidth="1"/>
    <col min="2" max="2" width="16.4857142857143" style="1" customWidth="1"/>
    <col min="3" max="3" width="9.43809523809524" style="2" customWidth="1"/>
    <col min="4" max="4" width="10.9809523809524" style="1" customWidth="1"/>
    <col min="5" max="5" width="5.04761904761905" style="3" customWidth="1"/>
    <col min="6" max="6" width="9.33333333333333" style="1" customWidth="1"/>
    <col min="7" max="7" width="8.57142857142857" style="1" customWidth="1"/>
    <col min="8" max="8" width="9.79047619047619" style="1" customWidth="1"/>
    <col min="9" max="9" width="11.0952380952381" style="1" customWidth="1"/>
    <col min="10" max="10" width="7.14285714285714" style="1" customWidth="1"/>
    <col min="11" max="11" width="9.14285714285714" style="1"/>
    <col min="12" max="12" width="10.8571428571429" style="1"/>
    <col min="13" max="16384" width="9.14285714285714" style="1"/>
  </cols>
  <sheetData>
    <row r="1" s="1" customFormat="1" ht="12.75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12.75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3.5" spans="1:10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="1" customFormat="1" ht="12.75" spans="1:10">
      <c r="A4" s="7"/>
      <c r="B4" s="7"/>
      <c r="C4" s="8"/>
      <c r="D4" s="9"/>
      <c r="E4" s="10"/>
      <c r="F4" s="9"/>
      <c r="G4" s="9"/>
      <c r="H4" s="9"/>
      <c r="I4" s="9"/>
      <c r="J4" s="9"/>
    </row>
    <row r="5" s="1" customFormat="1" ht="12.75" spans="1:10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="1" customFormat="1" ht="12.75" spans="1:10">
      <c r="A6" s="11" t="s">
        <v>246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6"/>
      <c r="G7" s="16"/>
      <c r="H7" s="17"/>
      <c r="I7" s="18" t="s">
        <v>9</v>
      </c>
      <c r="J7" s="18" t="s">
        <v>10</v>
      </c>
    </row>
    <row r="8" s="1" customFormat="1" ht="12.75" spans="1:10">
      <c r="A8" s="19"/>
      <c r="B8" s="19"/>
      <c r="C8" s="20"/>
      <c r="D8" s="21"/>
      <c r="E8" s="22" t="s">
        <v>11</v>
      </c>
      <c r="F8" s="22" t="s">
        <v>12</v>
      </c>
      <c r="G8" s="22" t="s">
        <v>13</v>
      </c>
      <c r="H8" s="22" t="s">
        <v>14</v>
      </c>
      <c r="I8" s="23"/>
      <c r="J8" s="23"/>
    </row>
    <row r="9" s="1" customFormat="1" ht="12.75" spans="1:10">
      <c r="A9" s="24">
        <v>1</v>
      </c>
      <c r="B9" s="25" t="s">
        <v>15</v>
      </c>
      <c r="C9" s="133" t="s">
        <v>16</v>
      </c>
      <c r="D9" s="27">
        <f>'11-8-26'!I9</f>
        <v>5500000</v>
      </c>
      <c r="E9" s="24"/>
      <c r="F9" s="25"/>
      <c r="G9" s="25"/>
      <c r="H9" s="27">
        <f t="shared" ref="H9:H72" si="0">SUM(F9:G9)</f>
        <v>0</v>
      </c>
      <c r="I9" s="27">
        <f t="shared" ref="I9:I72" si="1">D9-F9</f>
        <v>5500000</v>
      </c>
      <c r="J9" s="25">
        <f t="shared" ref="J9:J72" si="2">1/10*G9</f>
        <v>0</v>
      </c>
    </row>
    <row r="10" s="1" customFormat="1" ht="12.75" spans="1:10">
      <c r="A10" s="24">
        <v>2</v>
      </c>
      <c r="B10" s="25" t="s">
        <v>17</v>
      </c>
      <c r="C10" s="133" t="s">
        <v>18</v>
      </c>
      <c r="D10" s="27">
        <f>'11-8-26'!I10</f>
        <v>1910000</v>
      </c>
      <c r="E10" s="24"/>
      <c r="F10" s="25"/>
      <c r="G10" s="25"/>
      <c r="H10" s="27">
        <f t="shared" si="0"/>
        <v>0</v>
      </c>
      <c r="I10" s="27">
        <f t="shared" si="1"/>
        <v>1910000</v>
      </c>
      <c r="J10" s="25">
        <f t="shared" si="2"/>
        <v>0</v>
      </c>
    </row>
    <row r="11" s="1" customFormat="1" ht="12.75" spans="1:10">
      <c r="A11" s="24">
        <v>3</v>
      </c>
      <c r="B11" s="25" t="s">
        <v>19</v>
      </c>
      <c r="C11" s="133" t="s">
        <v>20</v>
      </c>
      <c r="D11" s="27">
        <f>'11-8-26'!I11</f>
        <v>0</v>
      </c>
      <c r="E11" s="28"/>
      <c r="F11" s="27"/>
      <c r="G11" s="27"/>
      <c r="H11" s="27">
        <f t="shared" si="0"/>
        <v>0</v>
      </c>
      <c r="I11" s="27">
        <f t="shared" si="1"/>
        <v>0</v>
      </c>
      <c r="J11" s="25">
        <f t="shared" si="2"/>
        <v>0</v>
      </c>
    </row>
    <row r="12" s="1" customFormat="1" ht="12.75" spans="1:10">
      <c r="A12" s="24">
        <v>4</v>
      </c>
      <c r="B12" s="25" t="s">
        <v>21</v>
      </c>
      <c r="C12" s="133" t="s">
        <v>22</v>
      </c>
      <c r="D12" s="27">
        <f>'11-8-26'!I12</f>
        <v>13750000</v>
      </c>
      <c r="E12" s="24"/>
      <c r="F12" s="25"/>
      <c r="G12" s="25"/>
      <c r="H12" s="27">
        <f t="shared" si="0"/>
        <v>0</v>
      </c>
      <c r="I12" s="27">
        <f t="shared" si="1"/>
        <v>13750000</v>
      </c>
      <c r="J12" s="25">
        <f t="shared" si="2"/>
        <v>0</v>
      </c>
    </row>
    <row r="13" s="1" customFormat="1" ht="12.75" spans="1:10">
      <c r="A13" s="24">
        <v>5</v>
      </c>
      <c r="B13" s="25" t="s">
        <v>23</v>
      </c>
      <c r="C13" s="133" t="s">
        <v>24</v>
      </c>
      <c r="D13" s="27">
        <f>'11-8-26'!I13</f>
        <v>19950000</v>
      </c>
      <c r="E13" s="24"/>
      <c r="F13" s="25"/>
      <c r="G13" s="25"/>
      <c r="H13" s="27">
        <f t="shared" si="0"/>
        <v>0</v>
      </c>
      <c r="I13" s="27">
        <f t="shared" si="1"/>
        <v>19950000</v>
      </c>
      <c r="J13" s="25">
        <f t="shared" si="2"/>
        <v>0</v>
      </c>
    </row>
    <row r="14" s="1" customFormat="1" ht="12.75" spans="1:10">
      <c r="A14" s="24">
        <v>6</v>
      </c>
      <c r="B14" s="25" t="s">
        <v>25</v>
      </c>
      <c r="C14" s="133" t="s">
        <v>26</v>
      </c>
      <c r="D14" s="27">
        <f>'11-8-26'!I14</f>
        <v>100000</v>
      </c>
      <c r="E14" s="24"/>
      <c r="F14" s="25"/>
      <c r="G14" s="25"/>
      <c r="H14" s="27">
        <f t="shared" si="0"/>
        <v>0</v>
      </c>
      <c r="I14" s="27">
        <f t="shared" si="1"/>
        <v>100000</v>
      </c>
      <c r="J14" s="25">
        <f t="shared" si="2"/>
        <v>0</v>
      </c>
    </row>
    <row r="15" s="1" customFormat="1" ht="12.75" spans="1:10">
      <c r="A15" s="24">
        <v>7</v>
      </c>
      <c r="B15" s="25" t="s">
        <v>27</v>
      </c>
      <c r="C15" s="133" t="s">
        <v>28</v>
      </c>
      <c r="D15" s="27">
        <f>'11-8-26'!I15</f>
        <v>10500000</v>
      </c>
      <c r="E15" s="24"/>
      <c r="F15" s="25"/>
      <c r="G15" s="25"/>
      <c r="H15" s="27">
        <f t="shared" si="0"/>
        <v>0</v>
      </c>
      <c r="I15" s="27">
        <f t="shared" si="1"/>
        <v>10500000</v>
      </c>
      <c r="J15" s="25">
        <f t="shared" si="2"/>
        <v>0</v>
      </c>
    </row>
    <row r="16" s="1" customFormat="1" ht="12.75" spans="1:10">
      <c r="A16" s="24">
        <v>8</v>
      </c>
      <c r="B16" s="25" t="s">
        <v>29</v>
      </c>
      <c r="C16" s="133" t="s">
        <v>30</v>
      </c>
      <c r="D16" s="27">
        <f>'11-8-26'!I16</f>
        <v>15310000</v>
      </c>
      <c r="E16" s="24"/>
      <c r="F16" s="25"/>
      <c r="G16" s="25"/>
      <c r="H16" s="27">
        <f t="shared" si="0"/>
        <v>0</v>
      </c>
      <c r="I16" s="27">
        <f t="shared" si="1"/>
        <v>15310000</v>
      </c>
      <c r="J16" s="25">
        <f t="shared" si="2"/>
        <v>0</v>
      </c>
    </row>
    <row r="17" s="1" customFormat="1" ht="12.75" spans="1:10">
      <c r="A17" s="24">
        <v>9</v>
      </c>
      <c r="B17" s="25" t="s">
        <v>31</v>
      </c>
      <c r="C17" s="134" t="s">
        <v>32</v>
      </c>
      <c r="D17" s="27">
        <f>'11-8-26'!I17</f>
        <v>5800000</v>
      </c>
      <c r="E17" s="24"/>
      <c r="F17" s="25"/>
      <c r="G17" s="25"/>
      <c r="H17" s="27">
        <f t="shared" si="0"/>
        <v>0</v>
      </c>
      <c r="I17" s="27">
        <f t="shared" si="1"/>
        <v>5800000</v>
      </c>
      <c r="J17" s="25">
        <f t="shared" si="2"/>
        <v>0</v>
      </c>
    </row>
    <row r="18" s="1" customFormat="1" ht="12.75" spans="1:10">
      <c r="A18" s="24">
        <v>10</v>
      </c>
      <c r="B18" s="25" t="s">
        <v>33</v>
      </c>
      <c r="C18" s="134" t="s">
        <v>34</v>
      </c>
      <c r="D18" s="27">
        <f>'11-8-26'!I18</f>
        <v>11995000</v>
      </c>
      <c r="E18" s="24">
        <v>13</v>
      </c>
      <c r="F18" s="25">
        <v>700000</v>
      </c>
      <c r="G18" s="25">
        <v>400000</v>
      </c>
      <c r="H18" s="27">
        <f t="shared" si="0"/>
        <v>1100000</v>
      </c>
      <c r="I18" s="27">
        <f t="shared" si="1"/>
        <v>11295000</v>
      </c>
      <c r="J18" s="25">
        <f t="shared" si="2"/>
        <v>40000</v>
      </c>
    </row>
    <row r="19" s="1" customFormat="1" ht="12.75" spans="1:10">
      <c r="A19" s="24">
        <v>11</v>
      </c>
      <c r="B19" s="25" t="s">
        <v>35</v>
      </c>
      <c r="C19" s="134" t="s">
        <v>36</v>
      </c>
      <c r="D19" s="27">
        <f>'11-8-26'!I19</f>
        <v>3500000</v>
      </c>
      <c r="E19" s="24"/>
      <c r="F19" s="25"/>
      <c r="G19" s="25"/>
      <c r="H19" s="27">
        <f t="shared" si="0"/>
        <v>0</v>
      </c>
      <c r="I19" s="27">
        <f t="shared" si="1"/>
        <v>3500000</v>
      </c>
      <c r="J19" s="25">
        <f t="shared" si="2"/>
        <v>0</v>
      </c>
    </row>
    <row r="20" s="1" customFormat="1" ht="12.75" spans="1:10">
      <c r="A20" s="24">
        <v>12</v>
      </c>
      <c r="B20" s="25" t="s">
        <v>37</v>
      </c>
      <c r="C20" s="134" t="s">
        <v>38</v>
      </c>
      <c r="D20" s="27">
        <f>'11-8-26'!I20</f>
        <v>42000000</v>
      </c>
      <c r="E20" s="24"/>
      <c r="F20" s="25"/>
      <c r="G20" s="25"/>
      <c r="H20" s="27">
        <f t="shared" si="0"/>
        <v>0</v>
      </c>
      <c r="I20" s="27">
        <f t="shared" si="1"/>
        <v>42000000</v>
      </c>
      <c r="J20" s="25">
        <f t="shared" si="2"/>
        <v>0</v>
      </c>
    </row>
    <row r="21" s="1" customFormat="1" ht="12.75" spans="1:10">
      <c r="A21" s="24">
        <v>13</v>
      </c>
      <c r="B21" s="25" t="s">
        <v>39</v>
      </c>
      <c r="C21" s="134" t="s">
        <v>40</v>
      </c>
      <c r="D21" s="27">
        <f>'11-8-26'!I21</f>
        <v>11850000</v>
      </c>
      <c r="E21" s="24"/>
      <c r="F21" s="25"/>
      <c r="G21" s="25"/>
      <c r="H21" s="27">
        <f t="shared" si="0"/>
        <v>0</v>
      </c>
      <c r="I21" s="27">
        <f t="shared" si="1"/>
        <v>11850000</v>
      </c>
      <c r="J21" s="25">
        <f t="shared" si="2"/>
        <v>0</v>
      </c>
    </row>
    <row r="22" s="1" customFormat="1" ht="12.75" spans="1:10">
      <c r="A22" s="24">
        <v>14</v>
      </c>
      <c r="B22" s="25" t="s">
        <v>41</v>
      </c>
      <c r="C22" s="134" t="s">
        <v>42</v>
      </c>
      <c r="D22" s="27">
        <f>'11-8-26'!I22</f>
        <v>0</v>
      </c>
      <c r="E22" s="24"/>
      <c r="F22" s="25"/>
      <c r="G22" s="25"/>
      <c r="H22" s="27">
        <f t="shared" si="0"/>
        <v>0</v>
      </c>
      <c r="I22" s="27">
        <f t="shared" si="1"/>
        <v>0</v>
      </c>
      <c r="J22" s="25">
        <f t="shared" si="2"/>
        <v>0</v>
      </c>
    </row>
    <row r="23" s="1" customFormat="1" ht="12.75" spans="1:10">
      <c r="A23" s="24">
        <v>15</v>
      </c>
      <c r="B23" s="25" t="s">
        <v>43</v>
      </c>
      <c r="C23" s="134" t="s">
        <v>42</v>
      </c>
      <c r="D23" s="27">
        <f>'11-8-26'!I23</f>
        <v>1500000</v>
      </c>
      <c r="E23" s="24"/>
      <c r="F23" s="25"/>
      <c r="G23" s="25"/>
      <c r="H23" s="27">
        <f t="shared" si="0"/>
        <v>0</v>
      </c>
      <c r="I23" s="27">
        <f t="shared" si="1"/>
        <v>1500000</v>
      </c>
      <c r="J23" s="25">
        <f t="shared" si="2"/>
        <v>0</v>
      </c>
    </row>
    <row r="24" s="1" customFormat="1" ht="12.75" spans="1:10">
      <c r="A24" s="24">
        <v>16</v>
      </c>
      <c r="B24" s="25" t="s">
        <v>44</v>
      </c>
      <c r="C24" s="134" t="s">
        <v>42</v>
      </c>
      <c r="D24" s="27">
        <f>'11-8-26'!I24</f>
        <v>600000</v>
      </c>
      <c r="E24" s="24"/>
      <c r="F24" s="25"/>
      <c r="G24" s="25"/>
      <c r="H24" s="27">
        <f t="shared" si="0"/>
        <v>0</v>
      </c>
      <c r="I24" s="27">
        <f t="shared" si="1"/>
        <v>600000</v>
      </c>
      <c r="J24" s="25">
        <f t="shared" si="2"/>
        <v>0</v>
      </c>
    </row>
    <row r="25" s="1" customFormat="1" ht="12.75" spans="1:10">
      <c r="A25" s="24">
        <v>17</v>
      </c>
      <c r="B25" s="25" t="s">
        <v>45</v>
      </c>
      <c r="C25" s="134" t="s">
        <v>46</v>
      </c>
      <c r="D25" s="27">
        <f>'11-8-26'!I25</f>
        <v>21400000</v>
      </c>
      <c r="E25" s="24"/>
      <c r="F25" s="25"/>
      <c r="G25" s="25"/>
      <c r="H25" s="27">
        <f t="shared" si="0"/>
        <v>0</v>
      </c>
      <c r="I25" s="27">
        <f t="shared" si="1"/>
        <v>21400000</v>
      </c>
      <c r="J25" s="25">
        <f t="shared" si="2"/>
        <v>0</v>
      </c>
    </row>
    <row r="26" s="1" customFormat="1" ht="12.75" spans="1:10">
      <c r="A26" s="24">
        <v>18</v>
      </c>
      <c r="B26" s="25" t="s">
        <v>47</v>
      </c>
      <c r="C26" s="134" t="s">
        <v>48</v>
      </c>
      <c r="D26" s="27">
        <f>'11-8-26'!I26</f>
        <v>3800000</v>
      </c>
      <c r="E26" s="24"/>
      <c r="F26" s="25"/>
      <c r="G26" s="25"/>
      <c r="H26" s="27">
        <f t="shared" si="0"/>
        <v>0</v>
      </c>
      <c r="I26" s="27">
        <f t="shared" si="1"/>
        <v>3800000</v>
      </c>
      <c r="J26" s="25">
        <f t="shared" si="2"/>
        <v>0</v>
      </c>
    </row>
    <row r="27" s="1" customFormat="1" ht="12.75" spans="1:10">
      <c r="A27" s="24">
        <v>19</v>
      </c>
      <c r="B27" s="25" t="s">
        <v>49</v>
      </c>
      <c r="C27" s="134" t="s">
        <v>50</v>
      </c>
      <c r="D27" s="27">
        <f>'11-8-26'!I27</f>
        <v>220000</v>
      </c>
      <c r="E27" s="24"/>
      <c r="F27" s="25"/>
      <c r="G27" s="25"/>
      <c r="H27" s="27">
        <f t="shared" si="0"/>
        <v>0</v>
      </c>
      <c r="I27" s="27">
        <f t="shared" si="1"/>
        <v>220000</v>
      </c>
      <c r="J27" s="25">
        <f t="shared" si="2"/>
        <v>0</v>
      </c>
    </row>
    <row r="28" s="1" customFormat="1" ht="12.75" spans="1:10">
      <c r="A28" s="24">
        <v>20</v>
      </c>
      <c r="B28" s="25" t="s">
        <v>51</v>
      </c>
      <c r="C28" s="134" t="s">
        <v>52</v>
      </c>
      <c r="D28" s="27">
        <f>'11-8-26'!I28</f>
        <v>0</v>
      </c>
      <c r="E28" s="24"/>
      <c r="F28" s="25"/>
      <c r="G28" s="25"/>
      <c r="H28" s="27">
        <f t="shared" si="0"/>
        <v>0</v>
      </c>
      <c r="I28" s="27">
        <f t="shared" si="1"/>
        <v>0</v>
      </c>
      <c r="J28" s="25">
        <f t="shared" si="2"/>
        <v>0</v>
      </c>
    </row>
    <row r="29" s="1" customFormat="1" ht="12.75" spans="1:10">
      <c r="A29" s="24">
        <v>21</v>
      </c>
      <c r="B29" s="25" t="s">
        <v>53</v>
      </c>
      <c r="C29" s="134" t="s">
        <v>54</v>
      </c>
      <c r="D29" s="27">
        <f>'11-8-26'!I29</f>
        <v>0</v>
      </c>
      <c r="E29" s="24"/>
      <c r="F29" s="25"/>
      <c r="G29" s="25"/>
      <c r="H29" s="27">
        <f t="shared" si="0"/>
        <v>0</v>
      </c>
      <c r="I29" s="27">
        <f t="shared" si="1"/>
        <v>0</v>
      </c>
      <c r="J29" s="25">
        <f t="shared" si="2"/>
        <v>0</v>
      </c>
    </row>
    <row r="30" s="1" customFormat="1" ht="12.75" spans="1:10">
      <c r="A30" s="24">
        <v>22</v>
      </c>
      <c r="B30" s="25" t="s">
        <v>55</v>
      </c>
      <c r="C30" s="134" t="s">
        <v>56</v>
      </c>
      <c r="D30" s="27">
        <f>'11-8-26'!I30</f>
        <v>2500000</v>
      </c>
      <c r="E30" s="24">
        <v>11</v>
      </c>
      <c r="F30" s="25">
        <v>250000</v>
      </c>
      <c r="G30" s="25">
        <v>100000</v>
      </c>
      <c r="H30" s="27">
        <f t="shared" si="0"/>
        <v>350000</v>
      </c>
      <c r="I30" s="27">
        <f t="shared" si="1"/>
        <v>2250000</v>
      </c>
      <c r="J30" s="25">
        <f t="shared" si="2"/>
        <v>10000</v>
      </c>
    </row>
    <row r="31" s="1" customFormat="1" ht="12.75" spans="1:10">
      <c r="A31" s="24">
        <v>23</v>
      </c>
      <c r="B31" s="25" t="s">
        <v>57</v>
      </c>
      <c r="C31" s="134" t="s">
        <v>58</v>
      </c>
      <c r="D31" s="27">
        <f>'11-8-26'!I31</f>
        <v>0</v>
      </c>
      <c r="E31" s="24"/>
      <c r="F31" s="25"/>
      <c r="G31" s="25"/>
      <c r="H31" s="27">
        <f t="shared" si="0"/>
        <v>0</v>
      </c>
      <c r="I31" s="27">
        <f t="shared" si="1"/>
        <v>0</v>
      </c>
      <c r="J31" s="25">
        <f t="shared" si="2"/>
        <v>0</v>
      </c>
    </row>
    <row r="32" s="1" customFormat="1" ht="12.75" spans="1:10">
      <c r="A32" s="24">
        <v>24</v>
      </c>
      <c r="B32" s="25" t="s">
        <v>59</v>
      </c>
      <c r="C32" s="134" t="s">
        <v>58</v>
      </c>
      <c r="D32" s="27">
        <f>'11-8-26'!I32</f>
        <v>12000000</v>
      </c>
      <c r="E32" s="24"/>
      <c r="F32" s="25"/>
      <c r="G32" s="25"/>
      <c r="H32" s="27">
        <f t="shared" si="0"/>
        <v>0</v>
      </c>
      <c r="I32" s="27">
        <f t="shared" si="1"/>
        <v>12000000</v>
      </c>
      <c r="J32" s="25">
        <f t="shared" si="2"/>
        <v>0</v>
      </c>
    </row>
    <row r="33" s="1" customFormat="1" ht="12.75" spans="1:10">
      <c r="A33" s="24">
        <v>25</v>
      </c>
      <c r="B33" s="25" t="s">
        <v>60</v>
      </c>
      <c r="C33" s="133" t="s">
        <v>61</v>
      </c>
      <c r="D33" s="27">
        <f>'11-8-26'!I33</f>
        <v>450000</v>
      </c>
      <c r="E33" s="24">
        <v>18</v>
      </c>
      <c r="F33" s="25">
        <v>150000</v>
      </c>
      <c r="G33" s="25">
        <v>60000</v>
      </c>
      <c r="H33" s="27">
        <f t="shared" si="0"/>
        <v>210000</v>
      </c>
      <c r="I33" s="27">
        <f t="shared" si="1"/>
        <v>300000</v>
      </c>
      <c r="J33" s="25">
        <f t="shared" si="2"/>
        <v>6000</v>
      </c>
    </row>
    <row r="34" s="1" customFormat="1" ht="12.75" spans="1:10">
      <c r="A34" s="24">
        <v>26</v>
      </c>
      <c r="B34" s="25" t="s">
        <v>62</v>
      </c>
      <c r="C34" s="133" t="s">
        <v>63</v>
      </c>
      <c r="D34" s="27">
        <f>'11-8-26'!I34</f>
        <v>2400000</v>
      </c>
      <c r="E34" s="24"/>
      <c r="F34" s="25"/>
      <c r="G34" s="25"/>
      <c r="H34" s="27">
        <f t="shared" si="0"/>
        <v>0</v>
      </c>
      <c r="I34" s="27">
        <f t="shared" si="1"/>
        <v>2400000</v>
      </c>
      <c r="J34" s="25">
        <f t="shared" si="2"/>
        <v>0</v>
      </c>
    </row>
    <row r="35" s="1" customFormat="1" ht="12.75" spans="1:10">
      <c r="A35" s="24">
        <v>27</v>
      </c>
      <c r="B35" s="25" t="s">
        <v>64</v>
      </c>
      <c r="C35" s="133" t="s">
        <v>63</v>
      </c>
      <c r="D35" s="27">
        <f>'11-8-26'!I35</f>
        <v>3250000</v>
      </c>
      <c r="E35" s="24">
        <v>8</v>
      </c>
      <c r="F35" s="25">
        <v>250000</v>
      </c>
      <c r="G35" s="25">
        <v>100000</v>
      </c>
      <c r="H35" s="27">
        <f t="shared" si="0"/>
        <v>350000</v>
      </c>
      <c r="I35" s="27">
        <f t="shared" si="1"/>
        <v>3000000</v>
      </c>
      <c r="J35" s="25">
        <f t="shared" si="2"/>
        <v>10000</v>
      </c>
    </row>
    <row r="36" s="1" customFormat="1" ht="12.75" spans="1:10">
      <c r="A36" s="24">
        <v>28</v>
      </c>
      <c r="B36" s="25" t="s">
        <v>65</v>
      </c>
      <c r="C36" s="133" t="s">
        <v>66</v>
      </c>
      <c r="D36" s="27">
        <f>'11-8-26'!I36</f>
        <v>3600000</v>
      </c>
      <c r="E36" s="24">
        <v>27</v>
      </c>
      <c r="F36" s="25">
        <v>1400000</v>
      </c>
      <c r="G36" s="25">
        <v>800000</v>
      </c>
      <c r="H36" s="27">
        <f t="shared" si="0"/>
        <v>2200000</v>
      </c>
      <c r="I36" s="27">
        <f t="shared" si="1"/>
        <v>2200000</v>
      </c>
      <c r="J36" s="25">
        <f t="shared" si="2"/>
        <v>80000</v>
      </c>
    </row>
    <row r="37" s="1" customFormat="1" ht="12.75" spans="1:10">
      <c r="A37" s="24">
        <v>29</v>
      </c>
      <c r="B37" s="25" t="s">
        <v>67</v>
      </c>
      <c r="C37" s="133" t="s">
        <v>68</v>
      </c>
      <c r="D37" s="27">
        <f>'11-8-26'!I37</f>
        <v>0</v>
      </c>
      <c r="E37" s="24"/>
      <c r="F37" s="25"/>
      <c r="G37" s="25"/>
      <c r="H37" s="27">
        <f t="shared" si="0"/>
        <v>0</v>
      </c>
      <c r="I37" s="27">
        <f t="shared" si="1"/>
        <v>0</v>
      </c>
      <c r="J37" s="25">
        <f t="shared" si="2"/>
        <v>0</v>
      </c>
    </row>
    <row r="38" s="1" customFormat="1" ht="12.75" spans="1:10">
      <c r="A38" s="24">
        <v>30</v>
      </c>
      <c r="B38" s="25" t="s">
        <v>69</v>
      </c>
      <c r="C38" s="133" t="s">
        <v>70</v>
      </c>
      <c r="D38" s="27">
        <f>'11-8-26'!I38</f>
        <v>5800000</v>
      </c>
      <c r="E38" s="24"/>
      <c r="F38" s="25"/>
      <c r="G38" s="25"/>
      <c r="H38" s="27">
        <f t="shared" si="0"/>
        <v>0</v>
      </c>
      <c r="I38" s="27">
        <f t="shared" si="1"/>
        <v>5800000</v>
      </c>
      <c r="J38" s="25">
        <f t="shared" si="2"/>
        <v>0</v>
      </c>
    </row>
    <row r="39" s="1" customFormat="1" ht="12.75" spans="1:10">
      <c r="A39" s="24">
        <v>31</v>
      </c>
      <c r="B39" s="25" t="s">
        <v>71</v>
      </c>
      <c r="C39" s="133" t="s">
        <v>72</v>
      </c>
      <c r="D39" s="27">
        <f>'11-8-26'!I39</f>
        <v>13060000</v>
      </c>
      <c r="E39" s="24"/>
      <c r="F39" s="25"/>
      <c r="G39" s="25"/>
      <c r="H39" s="27">
        <f t="shared" si="0"/>
        <v>0</v>
      </c>
      <c r="I39" s="27">
        <f t="shared" si="1"/>
        <v>13060000</v>
      </c>
      <c r="J39" s="25">
        <f t="shared" si="2"/>
        <v>0</v>
      </c>
    </row>
    <row r="40" s="1" customFormat="1" ht="12.75" spans="1:10">
      <c r="A40" s="24">
        <v>32</v>
      </c>
      <c r="B40" s="25" t="s">
        <v>73</v>
      </c>
      <c r="C40" s="133" t="s">
        <v>74</v>
      </c>
      <c r="D40" s="27">
        <f>'11-8-26'!I40</f>
        <v>0</v>
      </c>
      <c r="E40" s="24"/>
      <c r="F40" s="25"/>
      <c r="G40" s="25"/>
      <c r="H40" s="27">
        <f t="shared" si="0"/>
        <v>0</v>
      </c>
      <c r="I40" s="27">
        <f t="shared" si="1"/>
        <v>0</v>
      </c>
      <c r="J40" s="25">
        <f t="shared" si="2"/>
        <v>0</v>
      </c>
    </row>
    <row r="41" s="1" customFormat="1" ht="12.75" spans="1:10">
      <c r="A41" s="24">
        <v>33</v>
      </c>
      <c r="B41" s="25" t="s">
        <v>75</v>
      </c>
      <c r="C41" s="133" t="s">
        <v>76</v>
      </c>
      <c r="D41" s="27">
        <f>'11-8-26'!I41</f>
        <v>1200000</v>
      </c>
      <c r="E41" s="24"/>
      <c r="F41" s="25"/>
      <c r="G41" s="25"/>
      <c r="H41" s="27">
        <f t="shared" si="0"/>
        <v>0</v>
      </c>
      <c r="I41" s="27">
        <f t="shared" si="1"/>
        <v>1200000</v>
      </c>
      <c r="J41" s="25">
        <f t="shared" si="2"/>
        <v>0</v>
      </c>
    </row>
    <row r="42" s="1" customFormat="1" ht="12.75" spans="1:10">
      <c r="A42" s="24">
        <v>34</v>
      </c>
      <c r="B42" s="25" t="s">
        <v>77</v>
      </c>
      <c r="C42" s="133" t="s">
        <v>78</v>
      </c>
      <c r="D42" s="27">
        <f>'11-8-26'!I42</f>
        <v>900000</v>
      </c>
      <c r="E42" s="24"/>
      <c r="F42" s="25"/>
      <c r="G42" s="25"/>
      <c r="H42" s="27">
        <f t="shared" si="0"/>
        <v>0</v>
      </c>
      <c r="I42" s="27">
        <f t="shared" si="1"/>
        <v>900000</v>
      </c>
      <c r="J42" s="25">
        <f t="shared" si="2"/>
        <v>0</v>
      </c>
    </row>
    <row r="43" s="1" customFormat="1" ht="12.75" spans="1:10">
      <c r="A43" s="24">
        <v>35</v>
      </c>
      <c r="B43" s="25" t="s">
        <v>79</v>
      </c>
      <c r="C43" s="133" t="s">
        <v>80</v>
      </c>
      <c r="D43" s="27">
        <f>'11-8-26'!I43</f>
        <v>3750000</v>
      </c>
      <c r="E43" s="24"/>
      <c r="F43" s="25"/>
      <c r="G43" s="25"/>
      <c r="H43" s="27">
        <f t="shared" si="0"/>
        <v>0</v>
      </c>
      <c r="I43" s="27">
        <f t="shared" si="1"/>
        <v>3750000</v>
      </c>
      <c r="J43" s="25">
        <f t="shared" si="2"/>
        <v>0</v>
      </c>
    </row>
    <row r="44" s="1" customFormat="1" ht="12.75" spans="1:10">
      <c r="A44" s="24">
        <v>36</v>
      </c>
      <c r="B44" s="25" t="s">
        <v>81</v>
      </c>
      <c r="C44" s="133" t="s">
        <v>82</v>
      </c>
      <c r="D44" s="27">
        <f>'11-8-26'!I44</f>
        <v>10320000</v>
      </c>
      <c r="E44" s="24"/>
      <c r="F44" s="25"/>
      <c r="G44" s="25"/>
      <c r="H44" s="27">
        <f t="shared" si="0"/>
        <v>0</v>
      </c>
      <c r="I44" s="27">
        <f t="shared" si="1"/>
        <v>10320000</v>
      </c>
      <c r="J44" s="25">
        <f t="shared" si="2"/>
        <v>0</v>
      </c>
    </row>
    <row r="45" s="1" customFormat="1" ht="12.75" spans="1:10">
      <c r="A45" s="24">
        <v>37</v>
      </c>
      <c r="B45" s="25" t="s">
        <v>83</v>
      </c>
      <c r="C45" s="26" t="s">
        <v>84</v>
      </c>
      <c r="D45" s="27">
        <f>'11-8-26'!I45</f>
        <v>10500000</v>
      </c>
      <c r="E45" s="24"/>
      <c r="F45" s="25"/>
      <c r="G45" s="25"/>
      <c r="H45" s="27">
        <f t="shared" si="0"/>
        <v>0</v>
      </c>
      <c r="I45" s="27">
        <f t="shared" si="1"/>
        <v>10500000</v>
      </c>
      <c r="J45" s="25">
        <f t="shared" si="2"/>
        <v>0</v>
      </c>
    </row>
    <row r="46" s="1" customFormat="1" ht="12.75" spans="1:10">
      <c r="A46" s="24">
        <v>38</v>
      </c>
      <c r="B46" s="25" t="s">
        <v>85</v>
      </c>
      <c r="C46" s="133" t="s">
        <v>86</v>
      </c>
      <c r="D46" s="27">
        <f>'11-8-26'!I46</f>
        <v>0</v>
      </c>
      <c r="E46" s="24"/>
      <c r="F46" s="25"/>
      <c r="G46" s="25"/>
      <c r="H46" s="27">
        <f t="shared" si="0"/>
        <v>0</v>
      </c>
      <c r="I46" s="27">
        <f t="shared" si="1"/>
        <v>0</v>
      </c>
      <c r="J46" s="25">
        <f t="shared" si="2"/>
        <v>0</v>
      </c>
    </row>
    <row r="47" s="1" customFormat="1" ht="12.75" spans="1:10">
      <c r="A47" s="24">
        <v>39</v>
      </c>
      <c r="B47" s="25" t="s">
        <v>87</v>
      </c>
      <c r="C47" s="133" t="s">
        <v>88</v>
      </c>
      <c r="D47" s="27">
        <f>'11-8-26'!I47</f>
        <v>9000000</v>
      </c>
      <c r="E47" s="24"/>
      <c r="F47" s="25"/>
      <c r="G47" s="25"/>
      <c r="H47" s="27">
        <f t="shared" si="0"/>
        <v>0</v>
      </c>
      <c r="I47" s="27">
        <f t="shared" si="1"/>
        <v>9000000</v>
      </c>
      <c r="J47" s="25">
        <f t="shared" si="2"/>
        <v>0</v>
      </c>
    </row>
    <row r="48" s="1" customFormat="1" ht="12.75" spans="1:10">
      <c r="A48" s="24">
        <v>40</v>
      </c>
      <c r="B48" s="25" t="s">
        <v>89</v>
      </c>
      <c r="C48" s="133" t="s">
        <v>88</v>
      </c>
      <c r="D48" s="27">
        <f>'11-8-26'!I48</f>
        <v>400000</v>
      </c>
      <c r="E48" s="24">
        <v>14</v>
      </c>
      <c r="F48" s="25">
        <v>200000</v>
      </c>
      <c r="G48" s="25">
        <v>60000</v>
      </c>
      <c r="H48" s="27">
        <f t="shared" si="0"/>
        <v>260000</v>
      </c>
      <c r="I48" s="27">
        <f t="shared" si="1"/>
        <v>200000</v>
      </c>
      <c r="J48" s="25">
        <f t="shared" si="2"/>
        <v>6000</v>
      </c>
    </row>
    <row r="49" s="1" customFormat="1" ht="12.75" spans="1:12">
      <c r="A49" s="24">
        <v>41</v>
      </c>
      <c r="B49" s="25" t="s">
        <v>90</v>
      </c>
      <c r="C49" s="133" t="s">
        <v>91</v>
      </c>
      <c r="D49" s="27">
        <f>'11-8-26'!I49</f>
        <v>0</v>
      </c>
      <c r="E49" s="24"/>
      <c r="F49" s="25"/>
      <c r="G49" s="25"/>
      <c r="H49" s="27">
        <f t="shared" si="0"/>
        <v>0</v>
      </c>
      <c r="I49" s="27">
        <f t="shared" si="1"/>
        <v>0</v>
      </c>
      <c r="J49" s="25">
        <f t="shared" si="2"/>
        <v>0</v>
      </c>
      <c r="L49" s="1">
        <v>20000000</v>
      </c>
    </row>
    <row r="50" s="1" customFormat="1" ht="12.75" spans="1:12">
      <c r="A50" s="24">
        <v>42</v>
      </c>
      <c r="B50" s="25" t="s">
        <v>92</v>
      </c>
      <c r="C50" s="133" t="s">
        <v>93</v>
      </c>
      <c r="D50" s="27">
        <f>'11-8-26'!I50</f>
        <v>0</v>
      </c>
      <c r="E50" s="24"/>
      <c r="F50" s="25"/>
      <c r="G50" s="25"/>
      <c r="H50" s="27">
        <f t="shared" si="0"/>
        <v>0</v>
      </c>
      <c r="I50" s="27">
        <f t="shared" si="1"/>
        <v>0</v>
      </c>
      <c r="J50" s="25">
        <f t="shared" si="2"/>
        <v>0</v>
      </c>
      <c r="L50" s="1">
        <v>3020000</v>
      </c>
    </row>
    <row r="51" s="1" customFormat="1" ht="12.75" spans="1:12">
      <c r="A51" s="24">
        <v>43</v>
      </c>
      <c r="B51" s="25" t="s">
        <v>94</v>
      </c>
      <c r="C51" s="26" t="s">
        <v>95</v>
      </c>
      <c r="D51" s="27">
        <f>'11-8-26'!I51</f>
        <v>14700000</v>
      </c>
      <c r="E51" s="24"/>
      <c r="F51" s="25"/>
      <c r="G51" s="25"/>
      <c r="H51" s="27">
        <f t="shared" si="0"/>
        <v>0</v>
      </c>
      <c r="I51" s="27">
        <f t="shared" si="1"/>
        <v>14700000</v>
      </c>
      <c r="J51" s="25">
        <f t="shared" si="2"/>
        <v>0</v>
      </c>
      <c r="L51" s="1">
        <v>600000</v>
      </c>
    </row>
    <row r="52" s="1" customFormat="1" ht="12.75" spans="1:12">
      <c r="A52" s="24">
        <v>44</v>
      </c>
      <c r="B52" s="25" t="s">
        <v>96</v>
      </c>
      <c r="C52" s="26" t="s">
        <v>97</v>
      </c>
      <c r="D52" s="27">
        <f>'11-8-26'!I52</f>
        <v>23800000</v>
      </c>
      <c r="E52" s="24"/>
      <c r="F52" s="25"/>
      <c r="G52" s="25"/>
      <c r="H52" s="27">
        <f t="shared" si="0"/>
        <v>0</v>
      </c>
      <c r="I52" s="27">
        <f t="shared" si="1"/>
        <v>23800000</v>
      </c>
      <c r="J52" s="25">
        <f t="shared" si="2"/>
        <v>0</v>
      </c>
      <c r="L52" s="1">
        <f>SUM(L50:L51)</f>
        <v>3620000</v>
      </c>
    </row>
    <row r="53" s="1" customFormat="1" ht="12.75" spans="1:12">
      <c r="A53" s="24">
        <v>45</v>
      </c>
      <c r="B53" s="25" t="s">
        <v>98</v>
      </c>
      <c r="C53" s="133" t="s">
        <v>99</v>
      </c>
      <c r="D53" s="27">
        <f>'11-8-26'!I53</f>
        <v>0</v>
      </c>
      <c r="E53" s="24"/>
      <c r="F53" s="25"/>
      <c r="G53" s="25"/>
      <c r="H53" s="27">
        <f t="shared" si="0"/>
        <v>0</v>
      </c>
      <c r="I53" s="27">
        <f t="shared" si="1"/>
        <v>0</v>
      </c>
      <c r="J53" s="25">
        <f t="shared" si="2"/>
        <v>0</v>
      </c>
      <c r="L53" s="1">
        <f>L49-L52</f>
        <v>16380000</v>
      </c>
    </row>
    <row r="54" s="1" customFormat="1" ht="12.75" spans="1:12">
      <c r="A54" s="24">
        <v>46</v>
      </c>
      <c r="B54" s="25" t="s">
        <v>100</v>
      </c>
      <c r="C54" s="133" t="s">
        <v>99</v>
      </c>
      <c r="D54" s="27">
        <f>'11-8-26'!I54</f>
        <v>4200000</v>
      </c>
      <c r="E54" s="24"/>
      <c r="F54" s="25"/>
      <c r="G54" s="25"/>
      <c r="H54" s="27">
        <f t="shared" si="0"/>
        <v>0</v>
      </c>
      <c r="I54" s="27">
        <f t="shared" si="1"/>
        <v>4200000</v>
      </c>
      <c r="J54" s="25">
        <f t="shared" si="2"/>
        <v>0</v>
      </c>
    </row>
    <row r="55" s="1" customFormat="1" ht="12.75" spans="1:12">
      <c r="A55" s="24">
        <v>47</v>
      </c>
      <c r="B55" s="25" t="s">
        <v>101</v>
      </c>
      <c r="C55" s="133" t="s">
        <v>102</v>
      </c>
      <c r="D55" s="27">
        <f>'11-8-26'!I55</f>
        <v>7460000</v>
      </c>
      <c r="E55" s="24"/>
      <c r="F55" s="25"/>
      <c r="G55" s="25"/>
      <c r="H55" s="27">
        <f t="shared" si="0"/>
        <v>0</v>
      </c>
      <c r="I55" s="27">
        <f t="shared" si="1"/>
        <v>7460000</v>
      </c>
      <c r="J55" s="25">
        <f t="shared" si="2"/>
        <v>0</v>
      </c>
    </row>
    <row r="56" s="1" customFormat="1" ht="12.75" spans="1:12">
      <c r="A56" s="24">
        <v>48</v>
      </c>
      <c r="B56" s="25" t="s">
        <v>103</v>
      </c>
      <c r="C56" s="133" t="s">
        <v>102</v>
      </c>
      <c r="D56" s="27">
        <f>'11-8-26'!I56</f>
        <v>0</v>
      </c>
      <c r="E56" s="24"/>
      <c r="F56" s="25"/>
      <c r="G56" s="25"/>
      <c r="H56" s="27">
        <f t="shared" si="0"/>
        <v>0</v>
      </c>
      <c r="I56" s="27">
        <f t="shared" si="1"/>
        <v>0</v>
      </c>
      <c r="J56" s="25">
        <f t="shared" si="2"/>
        <v>0</v>
      </c>
    </row>
    <row r="57" s="1" customFormat="1" ht="12.75" spans="1:12">
      <c r="A57" s="24">
        <v>49</v>
      </c>
      <c r="B57" s="25" t="s">
        <v>104</v>
      </c>
      <c r="C57" s="133" t="s">
        <v>102</v>
      </c>
      <c r="D57" s="27">
        <f>'11-8-26'!I57</f>
        <v>20000000</v>
      </c>
      <c r="E57" s="24"/>
      <c r="F57" s="25"/>
      <c r="G57" s="25"/>
      <c r="H57" s="27">
        <f t="shared" si="0"/>
        <v>0</v>
      </c>
      <c r="I57" s="27">
        <f t="shared" si="1"/>
        <v>20000000</v>
      </c>
      <c r="J57" s="25">
        <f t="shared" si="2"/>
        <v>0</v>
      </c>
    </row>
    <row r="58" s="1" customFormat="1" ht="12.75" spans="1:12">
      <c r="A58" s="24">
        <v>50</v>
      </c>
      <c r="B58" s="25" t="s">
        <v>105</v>
      </c>
      <c r="C58" s="26" t="s">
        <v>106</v>
      </c>
      <c r="D58" s="27">
        <f>'11-8-26'!I58</f>
        <v>0</v>
      </c>
      <c r="E58" s="24"/>
      <c r="F58" s="25"/>
      <c r="G58" s="25"/>
      <c r="H58" s="27">
        <f t="shared" si="0"/>
        <v>0</v>
      </c>
      <c r="I58" s="27">
        <f t="shared" si="1"/>
        <v>0</v>
      </c>
      <c r="J58" s="25">
        <f t="shared" si="2"/>
        <v>0</v>
      </c>
    </row>
    <row r="59" s="1" customFormat="1" ht="12.75" spans="1:12">
      <c r="A59" s="24">
        <v>51</v>
      </c>
      <c r="B59" s="25" t="s">
        <v>107</v>
      </c>
      <c r="C59" s="133" t="s">
        <v>108</v>
      </c>
      <c r="D59" s="27">
        <f>'11-8-26'!I59</f>
        <v>0</v>
      </c>
      <c r="E59" s="24"/>
      <c r="F59" s="25"/>
      <c r="G59" s="25"/>
      <c r="H59" s="27">
        <f t="shared" si="0"/>
        <v>0</v>
      </c>
      <c r="I59" s="27">
        <f t="shared" si="1"/>
        <v>0</v>
      </c>
      <c r="J59" s="25">
        <f t="shared" si="2"/>
        <v>0</v>
      </c>
    </row>
    <row r="60" s="1" customFormat="1" ht="12.75" spans="1:12">
      <c r="A60" s="24">
        <v>52</v>
      </c>
      <c r="B60" s="25" t="s">
        <v>109</v>
      </c>
      <c r="C60" s="133" t="s">
        <v>110</v>
      </c>
      <c r="D60" s="27">
        <f>'11-8-26'!I60</f>
        <v>0</v>
      </c>
      <c r="E60" s="24"/>
      <c r="F60" s="25"/>
      <c r="G60" s="25"/>
      <c r="H60" s="27">
        <f t="shared" si="0"/>
        <v>0</v>
      </c>
      <c r="I60" s="27">
        <f t="shared" si="1"/>
        <v>0</v>
      </c>
      <c r="J60" s="25">
        <f t="shared" si="2"/>
        <v>0</v>
      </c>
    </row>
    <row r="61" s="1" customFormat="1" ht="12.75" spans="1:12">
      <c r="A61" s="24">
        <v>53</v>
      </c>
      <c r="B61" s="25" t="s">
        <v>111</v>
      </c>
      <c r="C61" s="26" t="s">
        <v>112</v>
      </c>
      <c r="D61" s="27">
        <f>'11-8-26'!I61</f>
        <v>230000</v>
      </c>
      <c r="E61" s="24"/>
      <c r="F61" s="25"/>
      <c r="G61" s="25"/>
      <c r="H61" s="27">
        <f t="shared" si="0"/>
        <v>0</v>
      </c>
      <c r="I61" s="27">
        <f t="shared" si="1"/>
        <v>230000</v>
      </c>
      <c r="J61" s="25">
        <f t="shared" si="2"/>
        <v>0</v>
      </c>
    </row>
    <row r="62" s="1" customFormat="1" ht="12.75" spans="1:12">
      <c r="A62" s="24">
        <v>54</v>
      </c>
      <c r="B62" s="25" t="s">
        <v>113</v>
      </c>
      <c r="C62" s="133" t="s">
        <v>114</v>
      </c>
      <c r="D62" s="27">
        <f>'11-8-26'!I62</f>
        <v>0</v>
      </c>
      <c r="E62" s="24"/>
      <c r="F62" s="25"/>
      <c r="G62" s="25"/>
      <c r="H62" s="27">
        <f t="shared" si="0"/>
        <v>0</v>
      </c>
      <c r="I62" s="27">
        <f t="shared" si="1"/>
        <v>0</v>
      </c>
      <c r="J62" s="25">
        <f t="shared" si="2"/>
        <v>0</v>
      </c>
    </row>
    <row r="63" s="1" customFormat="1" ht="12.75" spans="1:12">
      <c r="A63" s="24">
        <v>55</v>
      </c>
      <c r="B63" s="25" t="s">
        <v>115</v>
      </c>
      <c r="C63" s="133" t="s">
        <v>116</v>
      </c>
      <c r="D63" s="27">
        <f>'11-8-26'!I63</f>
        <v>0</v>
      </c>
      <c r="E63" s="24"/>
      <c r="F63" s="25"/>
      <c r="G63" s="25"/>
      <c r="H63" s="27">
        <f t="shared" si="0"/>
        <v>0</v>
      </c>
      <c r="I63" s="27">
        <f t="shared" si="1"/>
        <v>0</v>
      </c>
      <c r="J63" s="25">
        <f t="shared" si="2"/>
        <v>0</v>
      </c>
    </row>
    <row r="64" s="1" customFormat="1" ht="12.75" spans="1:12">
      <c r="A64" s="24">
        <v>56</v>
      </c>
      <c r="B64" s="25" t="s">
        <v>117</v>
      </c>
      <c r="C64" s="133" t="s">
        <v>118</v>
      </c>
      <c r="D64" s="27">
        <f>'11-8-26'!I64</f>
        <v>0</v>
      </c>
      <c r="E64" s="24"/>
      <c r="F64" s="25"/>
      <c r="G64" s="25"/>
      <c r="H64" s="27">
        <f t="shared" si="0"/>
        <v>0</v>
      </c>
      <c r="I64" s="27">
        <f t="shared" si="1"/>
        <v>0</v>
      </c>
      <c r="J64" s="25">
        <f t="shared" si="2"/>
        <v>0</v>
      </c>
    </row>
    <row r="65" s="1" customFormat="1" ht="12.75" spans="1:10">
      <c r="A65" s="24">
        <v>57</v>
      </c>
      <c r="B65" s="25" t="s">
        <v>119</v>
      </c>
      <c r="C65" s="133" t="s">
        <v>120</v>
      </c>
      <c r="D65" s="27">
        <f>'11-8-26'!I65</f>
        <v>5862000</v>
      </c>
      <c r="E65" s="24"/>
      <c r="F65" s="25"/>
      <c r="G65" s="25"/>
      <c r="H65" s="27">
        <f t="shared" si="0"/>
        <v>0</v>
      </c>
      <c r="I65" s="27">
        <f t="shared" si="1"/>
        <v>5862000</v>
      </c>
      <c r="J65" s="25">
        <f t="shared" si="2"/>
        <v>0</v>
      </c>
    </row>
    <row r="66" s="1" customFormat="1" ht="12.75" spans="1:10">
      <c r="A66" s="24">
        <v>58</v>
      </c>
      <c r="B66" s="25" t="s">
        <v>121</v>
      </c>
      <c r="C66" s="133" t="s">
        <v>120</v>
      </c>
      <c r="D66" s="27">
        <f>'11-8-26'!I66</f>
        <v>0</v>
      </c>
      <c r="E66" s="24"/>
      <c r="F66" s="25"/>
      <c r="G66" s="25"/>
      <c r="H66" s="27">
        <f t="shared" si="0"/>
        <v>0</v>
      </c>
      <c r="I66" s="27">
        <f t="shared" si="1"/>
        <v>0</v>
      </c>
      <c r="J66" s="25">
        <f t="shared" si="2"/>
        <v>0</v>
      </c>
    </row>
    <row r="67" s="1" customFormat="1" ht="12.75" customHeight="1" spans="1:10">
      <c r="A67" s="24">
        <v>59</v>
      </c>
      <c r="B67" s="25" t="s">
        <v>122</v>
      </c>
      <c r="C67" s="133" t="s">
        <v>123</v>
      </c>
      <c r="D67" s="27">
        <f>'11-8-26'!I67</f>
        <v>0</v>
      </c>
      <c r="E67" s="24"/>
      <c r="F67" s="25"/>
      <c r="G67" s="25"/>
      <c r="H67" s="27">
        <f t="shared" si="0"/>
        <v>0</v>
      </c>
      <c r="I67" s="27">
        <f t="shared" si="1"/>
        <v>0</v>
      </c>
      <c r="J67" s="25">
        <f t="shared" si="2"/>
        <v>0</v>
      </c>
    </row>
    <row r="68" s="1" customFormat="1" ht="12.75" customHeight="1" spans="1:10">
      <c r="A68" s="24">
        <v>60</v>
      </c>
      <c r="B68" s="25" t="s">
        <v>159</v>
      </c>
      <c r="C68" s="133" t="s">
        <v>160</v>
      </c>
      <c r="D68" s="27">
        <f>'11-8-26'!I68</f>
        <v>400000</v>
      </c>
      <c r="E68" s="24"/>
      <c r="F68" s="25"/>
      <c r="G68" s="25"/>
      <c r="H68" s="27">
        <f t="shared" si="0"/>
        <v>0</v>
      </c>
      <c r="I68" s="27">
        <f t="shared" si="1"/>
        <v>400000</v>
      </c>
      <c r="J68" s="25">
        <f t="shared" si="2"/>
        <v>0</v>
      </c>
    </row>
    <row r="69" s="1" customFormat="1" ht="12.75" customHeight="1" spans="1:10">
      <c r="A69" s="24">
        <v>61</v>
      </c>
      <c r="B69" s="25" t="s">
        <v>161</v>
      </c>
      <c r="C69" s="133" t="s">
        <v>160</v>
      </c>
      <c r="D69" s="27">
        <f>'11-8-26'!I69</f>
        <v>50000000</v>
      </c>
      <c r="E69" s="24"/>
      <c r="F69" s="25"/>
      <c r="G69" s="25"/>
      <c r="H69" s="27">
        <f t="shared" si="0"/>
        <v>0</v>
      </c>
      <c r="I69" s="27">
        <f t="shared" si="1"/>
        <v>50000000</v>
      </c>
      <c r="J69" s="25">
        <f t="shared" si="2"/>
        <v>0</v>
      </c>
    </row>
    <row r="70" s="1" customFormat="1" ht="12.75" customHeight="1" spans="1:10">
      <c r="A70" s="24">
        <v>62</v>
      </c>
      <c r="B70" s="25" t="s">
        <v>141</v>
      </c>
      <c r="C70" s="133" t="s">
        <v>160</v>
      </c>
      <c r="D70" s="27">
        <f>'11-8-26'!I70</f>
        <v>600000</v>
      </c>
      <c r="E70" s="24"/>
      <c r="F70" s="25"/>
      <c r="G70" s="25"/>
      <c r="H70" s="27">
        <f t="shared" si="0"/>
        <v>0</v>
      </c>
      <c r="I70" s="27">
        <f t="shared" si="1"/>
        <v>600000</v>
      </c>
      <c r="J70" s="25">
        <f t="shared" si="2"/>
        <v>0</v>
      </c>
    </row>
    <row r="71" s="1" customFormat="1" ht="12.75" customHeight="1" spans="1:10">
      <c r="A71" s="24">
        <v>63</v>
      </c>
      <c r="B71" s="25" t="s">
        <v>162</v>
      </c>
      <c r="C71" s="133" t="s">
        <v>160</v>
      </c>
      <c r="D71" s="27">
        <f>'11-8-26'!I71</f>
        <v>500000</v>
      </c>
      <c r="E71" s="24"/>
      <c r="F71" s="25"/>
      <c r="G71" s="25"/>
      <c r="H71" s="27">
        <f t="shared" si="0"/>
        <v>0</v>
      </c>
      <c r="I71" s="27">
        <f t="shared" si="1"/>
        <v>500000</v>
      </c>
      <c r="J71" s="25">
        <f t="shared" si="2"/>
        <v>0</v>
      </c>
    </row>
    <row r="72" s="1" customFormat="1" ht="12.75" customHeight="1" spans="1:10">
      <c r="A72" s="24">
        <v>64</v>
      </c>
      <c r="B72" s="25" t="s">
        <v>98</v>
      </c>
      <c r="C72" s="133" t="s">
        <v>160</v>
      </c>
      <c r="D72" s="27">
        <f>'11-8-26'!I72</f>
        <v>1400000</v>
      </c>
      <c r="E72" s="24"/>
      <c r="F72" s="25"/>
      <c r="G72" s="25"/>
      <c r="H72" s="27">
        <f t="shared" si="0"/>
        <v>0</v>
      </c>
      <c r="I72" s="27">
        <f t="shared" si="1"/>
        <v>1400000</v>
      </c>
      <c r="J72" s="25">
        <f t="shared" si="2"/>
        <v>0</v>
      </c>
    </row>
    <row r="73" s="1" customFormat="1" ht="12.75" customHeight="1" spans="1:10">
      <c r="A73" s="24">
        <v>65</v>
      </c>
      <c r="B73" s="25" t="s">
        <v>163</v>
      </c>
      <c r="C73" s="133" t="s">
        <v>160</v>
      </c>
      <c r="D73" s="27">
        <f>'11-8-26'!I73</f>
        <v>0</v>
      </c>
      <c r="E73" s="25"/>
      <c r="F73" s="25"/>
      <c r="G73" s="25"/>
      <c r="H73" s="27">
        <f t="shared" ref="H73:H136" si="3">SUM(F73:G73)</f>
        <v>0</v>
      </c>
      <c r="I73" s="27">
        <f t="shared" ref="I73:I136" si="4">D73-F73</f>
        <v>0</v>
      </c>
      <c r="J73" s="25">
        <f t="shared" ref="J73:J136" si="5">1/10*G73</f>
        <v>0</v>
      </c>
    </row>
    <row r="74" s="1" customFormat="1" ht="12.75" customHeight="1" spans="1:10">
      <c r="A74" s="24">
        <v>66</v>
      </c>
      <c r="B74" s="25" t="s">
        <v>166</v>
      </c>
      <c r="C74" s="133" t="s">
        <v>167</v>
      </c>
      <c r="D74" s="27">
        <f>'11-8-26'!I74</f>
        <v>0</v>
      </c>
      <c r="E74" s="24"/>
      <c r="F74" s="25"/>
      <c r="G74" s="25"/>
      <c r="H74" s="27">
        <f t="shared" si="3"/>
        <v>0</v>
      </c>
      <c r="I74" s="27">
        <f t="shared" si="4"/>
        <v>0</v>
      </c>
      <c r="J74" s="25">
        <f t="shared" si="5"/>
        <v>0</v>
      </c>
    </row>
    <row r="75" s="1" customFormat="1" ht="12.75" customHeight="1" spans="1:10">
      <c r="A75" s="24">
        <v>67</v>
      </c>
      <c r="B75" s="25" t="s">
        <v>53</v>
      </c>
      <c r="C75" s="133" t="s">
        <v>167</v>
      </c>
      <c r="D75" s="27">
        <f>'11-8-26'!I75</f>
        <v>2100000</v>
      </c>
      <c r="E75" s="24"/>
      <c r="F75" s="25"/>
      <c r="G75" s="25"/>
      <c r="H75" s="27">
        <f t="shared" si="3"/>
        <v>0</v>
      </c>
      <c r="I75" s="27">
        <f t="shared" si="4"/>
        <v>2100000</v>
      </c>
      <c r="J75" s="25">
        <f t="shared" si="5"/>
        <v>0</v>
      </c>
    </row>
    <row r="76" s="1" customFormat="1" ht="12.75" customHeight="1" spans="1:10">
      <c r="A76" s="24">
        <v>68</v>
      </c>
      <c r="B76" s="25" t="s">
        <v>170</v>
      </c>
      <c r="C76" s="133" t="s">
        <v>171</v>
      </c>
      <c r="D76" s="27">
        <f>'11-8-26'!I76</f>
        <v>550000</v>
      </c>
      <c r="E76" s="24"/>
      <c r="F76" s="25"/>
      <c r="G76" s="25"/>
      <c r="H76" s="27">
        <f t="shared" ref="H76:H104" si="6">SUM(F76:G76)</f>
        <v>0</v>
      </c>
      <c r="I76" s="27">
        <f t="shared" si="4"/>
        <v>550000</v>
      </c>
      <c r="J76" s="25">
        <f t="shared" si="5"/>
        <v>0</v>
      </c>
    </row>
    <row r="77" s="1" customFormat="1" ht="12.75" customHeight="1" spans="1:10">
      <c r="A77" s="24">
        <v>69</v>
      </c>
      <c r="B77" s="25" t="s">
        <v>172</v>
      </c>
      <c r="C77" s="133" t="s">
        <v>171</v>
      </c>
      <c r="D77" s="27">
        <f>'11-8-26'!I77</f>
        <v>4000000</v>
      </c>
      <c r="E77" s="24"/>
      <c r="F77" s="25"/>
      <c r="G77" s="25"/>
      <c r="H77" s="27">
        <f t="shared" si="6"/>
        <v>0</v>
      </c>
      <c r="I77" s="27">
        <f t="shared" si="4"/>
        <v>4000000</v>
      </c>
      <c r="J77" s="25">
        <f t="shared" si="5"/>
        <v>0</v>
      </c>
    </row>
    <row r="78" s="1" customFormat="1" ht="12.75" customHeight="1" spans="1:10">
      <c r="A78" s="24">
        <v>70</v>
      </c>
      <c r="B78" s="25" t="s">
        <v>175</v>
      </c>
      <c r="C78" s="133" t="s">
        <v>176</v>
      </c>
      <c r="D78" s="27">
        <f>'11-8-26'!I78</f>
        <v>7500000</v>
      </c>
      <c r="E78" s="24">
        <v>6</v>
      </c>
      <c r="F78" s="25">
        <v>500000</v>
      </c>
      <c r="G78" s="25">
        <v>200000</v>
      </c>
      <c r="H78" s="27">
        <f t="shared" si="6"/>
        <v>700000</v>
      </c>
      <c r="I78" s="27">
        <f t="shared" si="4"/>
        <v>7000000</v>
      </c>
      <c r="J78" s="25">
        <f t="shared" si="5"/>
        <v>20000</v>
      </c>
    </row>
    <row r="79" s="1" customFormat="1" ht="12.75" customHeight="1" spans="1:10">
      <c r="A79" s="24">
        <v>71</v>
      </c>
      <c r="B79" s="25" t="s">
        <v>107</v>
      </c>
      <c r="C79" s="133" t="s">
        <v>176</v>
      </c>
      <c r="D79" s="27">
        <f>'11-8-26'!I79</f>
        <v>0</v>
      </c>
      <c r="E79" s="24"/>
      <c r="F79" s="25"/>
      <c r="G79" s="25"/>
      <c r="H79" s="27">
        <f t="shared" si="6"/>
        <v>0</v>
      </c>
      <c r="I79" s="27">
        <f t="shared" si="4"/>
        <v>0</v>
      </c>
      <c r="J79" s="25">
        <f t="shared" si="5"/>
        <v>0</v>
      </c>
    </row>
    <row r="80" s="1" customFormat="1" ht="12.75" customHeight="1" spans="1:10">
      <c r="A80" s="24">
        <v>72</v>
      </c>
      <c r="B80" s="25" t="s">
        <v>177</v>
      </c>
      <c r="C80" s="133" t="s">
        <v>176</v>
      </c>
      <c r="D80" s="27">
        <f>'11-8-26'!I80</f>
        <v>500000</v>
      </c>
      <c r="E80" s="24"/>
      <c r="F80" s="25"/>
      <c r="G80" s="25"/>
      <c r="H80" s="27">
        <f t="shared" si="6"/>
        <v>0</v>
      </c>
      <c r="I80" s="27">
        <f t="shared" si="4"/>
        <v>500000</v>
      </c>
      <c r="J80" s="25">
        <f t="shared" si="5"/>
        <v>0</v>
      </c>
    </row>
    <row r="81" s="1" customFormat="1" ht="12.75" customHeight="1" spans="1:12">
      <c r="A81" s="24">
        <v>73</v>
      </c>
      <c r="B81" s="25" t="s">
        <v>178</v>
      </c>
      <c r="C81" s="133" t="s">
        <v>176</v>
      </c>
      <c r="D81" s="27">
        <f>'11-8-26'!I81</f>
        <v>4900000</v>
      </c>
      <c r="E81" s="24"/>
      <c r="F81" s="25"/>
      <c r="G81" s="25"/>
      <c r="H81" s="27">
        <f t="shared" si="6"/>
        <v>0</v>
      </c>
      <c r="I81" s="27">
        <f t="shared" si="4"/>
        <v>4900000</v>
      </c>
      <c r="J81" s="25">
        <f t="shared" si="5"/>
        <v>0</v>
      </c>
    </row>
    <row r="82" s="1" customFormat="1" ht="12.75" customHeight="1" spans="1:12">
      <c r="A82" s="24">
        <v>74</v>
      </c>
      <c r="B82" s="25" t="s">
        <v>183</v>
      </c>
      <c r="C82" s="133" t="s">
        <v>184</v>
      </c>
      <c r="D82" s="27">
        <f>'11-8-26'!I82</f>
        <v>400000</v>
      </c>
      <c r="E82" s="25"/>
      <c r="F82" s="25"/>
      <c r="G82" s="25"/>
      <c r="H82" s="27">
        <f t="shared" si="6"/>
        <v>0</v>
      </c>
      <c r="I82" s="27">
        <f t="shared" si="4"/>
        <v>400000</v>
      </c>
      <c r="J82" s="25">
        <f t="shared" si="5"/>
        <v>0</v>
      </c>
    </row>
    <row r="83" s="1" customFormat="1" ht="12.75" customHeight="1" spans="1:12">
      <c r="A83" s="24">
        <v>75</v>
      </c>
      <c r="B83" s="25" t="s">
        <v>51</v>
      </c>
      <c r="C83" s="26" t="s">
        <v>189</v>
      </c>
      <c r="D83" s="27">
        <f>'11-8-26'!I83</f>
        <v>500000</v>
      </c>
      <c r="E83" s="24"/>
      <c r="F83" s="25"/>
      <c r="G83" s="25"/>
      <c r="H83" s="27">
        <f t="shared" si="6"/>
        <v>0</v>
      </c>
      <c r="I83" s="27">
        <f t="shared" si="4"/>
        <v>500000</v>
      </c>
      <c r="J83" s="25">
        <f t="shared" si="5"/>
        <v>0</v>
      </c>
    </row>
    <row r="84" s="1" customFormat="1" ht="12.75" customHeight="1" spans="1:12">
      <c r="A84" s="24">
        <v>76</v>
      </c>
      <c r="B84" s="25" t="s">
        <v>117</v>
      </c>
      <c r="C84" s="26" t="s">
        <v>189</v>
      </c>
      <c r="D84" s="27">
        <f>'11-8-26'!I84</f>
        <v>0</v>
      </c>
      <c r="E84" s="24"/>
      <c r="F84" s="25"/>
      <c r="G84" s="25"/>
      <c r="H84" s="27">
        <f t="shared" si="6"/>
        <v>0</v>
      </c>
      <c r="I84" s="27">
        <f t="shared" si="4"/>
        <v>0</v>
      </c>
      <c r="J84" s="25">
        <f t="shared" si="5"/>
        <v>0</v>
      </c>
    </row>
    <row r="85" s="1" customFormat="1" ht="12.75" customHeight="1" spans="1:12">
      <c r="A85" s="24">
        <v>77</v>
      </c>
      <c r="B85" s="25" t="s">
        <v>122</v>
      </c>
      <c r="C85" s="133" t="s">
        <v>199</v>
      </c>
      <c r="D85" s="27">
        <f>'11-8-26'!I85</f>
        <v>5000000</v>
      </c>
      <c r="E85" s="24"/>
      <c r="F85" s="25"/>
      <c r="G85" s="25"/>
      <c r="H85" s="27">
        <f t="shared" si="6"/>
        <v>0</v>
      </c>
      <c r="I85" s="27">
        <f t="shared" si="4"/>
        <v>5000000</v>
      </c>
      <c r="J85" s="25">
        <f t="shared" si="5"/>
        <v>0</v>
      </c>
    </row>
    <row r="86" s="1" customFormat="1" ht="12.75" customHeight="1" spans="1:12">
      <c r="A86" s="24">
        <v>78</v>
      </c>
      <c r="B86" s="25" t="s">
        <v>200</v>
      </c>
      <c r="C86" s="133" t="s">
        <v>201</v>
      </c>
      <c r="D86" s="27">
        <f>'11-8-26'!I86</f>
        <v>900000</v>
      </c>
      <c r="E86" s="24">
        <v>2</v>
      </c>
      <c r="F86" s="25">
        <v>100000</v>
      </c>
      <c r="G86" s="25">
        <v>20000</v>
      </c>
      <c r="H86" s="27">
        <f t="shared" si="6"/>
        <v>120000</v>
      </c>
      <c r="I86" s="27">
        <f t="shared" si="4"/>
        <v>800000</v>
      </c>
      <c r="J86" s="25">
        <f t="shared" si="5"/>
        <v>2000</v>
      </c>
    </row>
    <row r="87" s="1" customFormat="1" ht="12.75" customHeight="1" spans="1:12">
      <c r="A87" s="24">
        <v>79</v>
      </c>
      <c r="B87" s="25" t="s">
        <v>202</v>
      </c>
      <c r="C87" s="133" t="s">
        <v>201</v>
      </c>
      <c r="D87" s="27">
        <f>'11-8-26'!I87</f>
        <v>500000</v>
      </c>
      <c r="E87" s="24"/>
      <c r="F87" s="25"/>
      <c r="G87" s="25"/>
      <c r="H87" s="27">
        <f t="shared" si="6"/>
        <v>0</v>
      </c>
      <c r="I87" s="27">
        <f t="shared" si="4"/>
        <v>500000</v>
      </c>
      <c r="J87" s="25">
        <f t="shared" si="5"/>
        <v>0</v>
      </c>
    </row>
    <row r="88" s="1" customFormat="1" ht="12.75" customHeight="1" spans="1:12">
      <c r="A88" s="24">
        <v>80</v>
      </c>
      <c r="B88" s="25" t="s">
        <v>105</v>
      </c>
      <c r="C88" s="133" t="s">
        <v>203</v>
      </c>
      <c r="D88" s="27">
        <f>'11-8-26'!I88</f>
        <v>2400000</v>
      </c>
      <c r="E88" s="24">
        <v>3</v>
      </c>
      <c r="F88" s="25">
        <v>300000</v>
      </c>
      <c r="G88" s="25">
        <v>60000</v>
      </c>
      <c r="H88" s="27">
        <f t="shared" si="6"/>
        <v>360000</v>
      </c>
      <c r="I88" s="27">
        <f t="shared" si="4"/>
        <v>2100000</v>
      </c>
      <c r="J88" s="25">
        <f t="shared" si="5"/>
        <v>6000</v>
      </c>
    </row>
    <row r="89" s="1" customFormat="1" ht="12.75" customHeight="1" spans="1:12">
      <c r="A89" s="24">
        <v>81</v>
      </c>
      <c r="B89" s="25" t="s">
        <v>206</v>
      </c>
      <c r="C89" s="133" t="s">
        <v>207</v>
      </c>
      <c r="D89" s="27">
        <f>'11-8-26'!I89</f>
        <v>4000000</v>
      </c>
      <c r="E89" s="24"/>
      <c r="F89" s="25"/>
      <c r="G89" s="25"/>
      <c r="H89" s="27">
        <f t="shared" si="6"/>
        <v>0</v>
      </c>
      <c r="I89" s="27">
        <f t="shared" si="4"/>
        <v>4000000</v>
      </c>
      <c r="J89" s="25">
        <f t="shared" si="5"/>
        <v>0</v>
      </c>
    </row>
    <row r="90" s="1" customFormat="1" ht="12.75" customHeight="1" spans="1:12">
      <c r="A90" s="24">
        <v>82</v>
      </c>
      <c r="B90" s="25" t="s">
        <v>208</v>
      </c>
      <c r="C90" s="133" t="s">
        <v>207</v>
      </c>
      <c r="D90" s="27">
        <f>'11-8-26'!I90</f>
        <v>1400000</v>
      </c>
      <c r="E90" s="24"/>
      <c r="F90" s="25"/>
      <c r="G90" s="25"/>
      <c r="H90" s="27">
        <f t="shared" si="6"/>
        <v>0</v>
      </c>
      <c r="I90" s="27">
        <f t="shared" si="4"/>
        <v>1400000</v>
      </c>
      <c r="J90" s="25">
        <f t="shared" si="5"/>
        <v>0</v>
      </c>
    </row>
    <row r="91" s="1" customFormat="1" ht="12.75" customHeight="1" spans="1:12">
      <c r="A91" s="24">
        <v>83</v>
      </c>
      <c r="B91" s="25" t="s">
        <v>211</v>
      </c>
      <c r="C91" s="133" t="s">
        <v>212</v>
      </c>
      <c r="D91" s="27">
        <f>'11-8-26'!I91</f>
        <v>4000000</v>
      </c>
      <c r="E91" s="24"/>
      <c r="F91" s="25"/>
      <c r="G91" s="25"/>
      <c r="H91" s="27">
        <f t="shared" si="6"/>
        <v>0</v>
      </c>
      <c r="I91" s="27">
        <f t="shared" si="4"/>
        <v>4000000</v>
      </c>
      <c r="J91" s="25">
        <f t="shared" si="5"/>
        <v>0</v>
      </c>
    </row>
    <row r="92" s="1" customFormat="1" ht="12.75" customHeight="1" spans="1:12">
      <c r="A92" s="24">
        <v>84</v>
      </c>
      <c r="B92" s="25" t="s">
        <v>121</v>
      </c>
      <c r="C92" s="133" t="s">
        <v>215</v>
      </c>
      <c r="D92" s="27">
        <f>'11-8-26'!I92</f>
        <v>400000</v>
      </c>
      <c r="E92" s="24">
        <v>3</v>
      </c>
      <c r="F92" s="25">
        <v>50000</v>
      </c>
      <c r="G92" s="25">
        <v>10000</v>
      </c>
      <c r="H92" s="27">
        <f t="shared" si="6"/>
        <v>60000</v>
      </c>
      <c r="I92" s="27">
        <f t="shared" si="4"/>
        <v>350000</v>
      </c>
      <c r="J92" s="25">
        <f t="shared" si="5"/>
        <v>1000</v>
      </c>
    </row>
    <row r="93" s="1" customFormat="1" ht="12.75" customHeight="1" spans="1:12">
      <c r="A93" s="24">
        <v>85</v>
      </c>
      <c r="B93" s="25" t="s">
        <v>117</v>
      </c>
      <c r="C93" s="133" t="s">
        <v>215</v>
      </c>
      <c r="D93" s="27">
        <f>'11-8-26'!I93</f>
        <v>0</v>
      </c>
      <c r="E93" s="24"/>
      <c r="F93" s="25"/>
      <c r="G93" s="25"/>
      <c r="H93" s="27">
        <f t="shared" si="6"/>
        <v>0</v>
      </c>
      <c r="I93" s="27">
        <f t="shared" si="4"/>
        <v>0</v>
      </c>
      <c r="J93" s="25">
        <f t="shared" si="5"/>
        <v>0</v>
      </c>
      <c r="L93" s="1">
        <v>2000000</v>
      </c>
    </row>
    <row r="94" s="1" customFormat="1" ht="12.75" customHeight="1" spans="1:12">
      <c r="A94" s="24">
        <v>86</v>
      </c>
      <c r="B94" s="25" t="s">
        <v>163</v>
      </c>
      <c r="C94" s="133" t="s">
        <v>215</v>
      </c>
      <c r="D94" s="27">
        <f>'11-8-26'!I94</f>
        <v>15000000</v>
      </c>
      <c r="E94" s="24"/>
      <c r="F94" s="25"/>
      <c r="G94" s="25"/>
      <c r="H94" s="27">
        <f t="shared" si="6"/>
        <v>0</v>
      </c>
      <c r="I94" s="27">
        <f t="shared" si="4"/>
        <v>15000000</v>
      </c>
      <c r="J94" s="25">
        <f t="shared" si="5"/>
        <v>0</v>
      </c>
      <c r="L94" s="1">
        <v>570000</v>
      </c>
    </row>
    <row r="95" s="1" customFormat="1" ht="12.75" customHeight="1" spans="1:12">
      <c r="A95" s="24">
        <v>87</v>
      </c>
      <c r="B95" s="25" t="s">
        <v>85</v>
      </c>
      <c r="C95" s="133" t="s">
        <v>220</v>
      </c>
      <c r="D95" s="27">
        <f>'11-8-26'!I95</f>
        <v>1750000</v>
      </c>
      <c r="E95" s="24"/>
      <c r="F95" s="25"/>
      <c r="G95" s="25"/>
      <c r="H95" s="27">
        <f t="shared" si="6"/>
        <v>0</v>
      </c>
      <c r="I95" s="27">
        <f t="shared" si="4"/>
        <v>1750000</v>
      </c>
      <c r="J95" s="25">
        <f t="shared" si="5"/>
        <v>0</v>
      </c>
      <c r="L95" s="1">
        <v>60000</v>
      </c>
    </row>
    <row r="96" s="1" customFormat="1" ht="12.75" customHeight="1" spans="1:12">
      <c r="A96" s="24">
        <v>88</v>
      </c>
      <c r="B96" s="25" t="s">
        <v>103</v>
      </c>
      <c r="C96" s="133" t="s">
        <v>223</v>
      </c>
      <c r="D96" s="27">
        <f>'11-8-26'!I96</f>
        <v>2000000</v>
      </c>
      <c r="E96" s="24">
        <v>1</v>
      </c>
      <c r="F96" s="25">
        <v>200000</v>
      </c>
      <c r="G96" s="25">
        <v>40000</v>
      </c>
      <c r="H96" s="27">
        <f t="shared" si="6"/>
        <v>240000</v>
      </c>
      <c r="I96" s="27">
        <f t="shared" si="4"/>
        <v>1800000</v>
      </c>
      <c r="J96" s="25">
        <f t="shared" si="5"/>
        <v>4000</v>
      </c>
      <c r="L96" s="1">
        <f>SUM(L94:L95)</f>
        <v>630000</v>
      </c>
    </row>
    <row r="97" s="1" customFormat="1" ht="12.75" customHeight="1" spans="1:10">
      <c r="A97" s="24">
        <v>89</v>
      </c>
      <c r="B97" s="25" t="s">
        <v>226</v>
      </c>
      <c r="C97" s="26"/>
      <c r="D97" s="27">
        <f>'11-8-26'!I97</f>
        <v>0</v>
      </c>
      <c r="E97" s="24"/>
      <c r="F97" s="25"/>
      <c r="G97" s="25"/>
      <c r="H97" s="27">
        <f t="shared" si="6"/>
        <v>0</v>
      </c>
      <c r="I97" s="27">
        <f t="shared" si="4"/>
        <v>0</v>
      </c>
      <c r="J97" s="25">
        <f t="shared" si="5"/>
        <v>0</v>
      </c>
    </row>
    <row r="98" s="1" customFormat="1" ht="12.75" customHeight="1" spans="1:10">
      <c r="A98" s="24">
        <v>90</v>
      </c>
      <c r="B98" s="25" t="s">
        <v>227</v>
      </c>
      <c r="C98" s="26"/>
      <c r="D98" s="27">
        <f>'11-8-26'!I98</f>
        <v>0</v>
      </c>
      <c r="E98" s="24"/>
      <c r="F98" s="25"/>
      <c r="G98" s="25"/>
      <c r="H98" s="27">
        <f t="shared" si="6"/>
        <v>0</v>
      </c>
      <c r="I98" s="27">
        <f t="shared" si="4"/>
        <v>0</v>
      </c>
      <c r="J98" s="25">
        <f t="shared" si="5"/>
        <v>0</v>
      </c>
    </row>
    <row r="99" s="1" customFormat="1" ht="12.75" customHeight="1" spans="1:10">
      <c r="A99" s="24">
        <v>91</v>
      </c>
      <c r="B99" s="25" t="s">
        <v>227</v>
      </c>
      <c r="C99" s="133" t="s">
        <v>228</v>
      </c>
      <c r="D99" s="27">
        <f>'11-8-26'!I99</f>
        <v>10000000</v>
      </c>
      <c r="E99" s="24"/>
      <c r="F99" s="25"/>
      <c r="G99" s="25"/>
      <c r="H99" s="27">
        <f t="shared" si="6"/>
        <v>0</v>
      </c>
      <c r="I99" s="27">
        <f t="shared" si="4"/>
        <v>10000000</v>
      </c>
      <c r="J99" s="25">
        <f t="shared" si="5"/>
        <v>0</v>
      </c>
    </row>
    <row r="100" s="1" customFormat="1" ht="12.75" customHeight="1" spans="1:10">
      <c r="A100" s="24">
        <v>92</v>
      </c>
      <c r="B100" s="25" t="s">
        <v>90</v>
      </c>
      <c r="C100" s="133" t="s">
        <v>233</v>
      </c>
      <c r="D100" s="27">
        <f>'11-8-26'!I100</f>
        <v>19300000</v>
      </c>
      <c r="E100" s="24"/>
      <c r="F100" s="25"/>
      <c r="G100" s="25"/>
      <c r="H100" s="27">
        <f t="shared" si="6"/>
        <v>0</v>
      </c>
      <c r="I100" s="27">
        <f t="shared" si="4"/>
        <v>19300000</v>
      </c>
      <c r="J100" s="25">
        <f t="shared" si="5"/>
        <v>0</v>
      </c>
    </row>
    <row r="101" s="1" customFormat="1" ht="12.75" customHeight="1" spans="1:10">
      <c r="A101" s="24">
        <v>93</v>
      </c>
      <c r="B101" s="25" t="s">
        <v>236</v>
      </c>
      <c r="C101" s="133" t="s">
        <v>237</v>
      </c>
      <c r="D101" s="27">
        <f>'11-8-26'!I101</f>
        <v>2100000</v>
      </c>
      <c r="E101" s="24"/>
      <c r="F101" s="25"/>
      <c r="G101" s="25"/>
      <c r="H101" s="27">
        <f t="shared" si="6"/>
        <v>0</v>
      </c>
      <c r="I101" s="27">
        <f t="shared" si="4"/>
        <v>2100000</v>
      </c>
      <c r="J101" s="25">
        <f t="shared" si="5"/>
        <v>0</v>
      </c>
    </row>
    <row r="102" s="1" customFormat="1" ht="12.75" customHeight="1" spans="1:10">
      <c r="A102" s="24">
        <v>94</v>
      </c>
      <c r="B102" s="25" t="s">
        <v>107</v>
      </c>
      <c r="C102" s="133" t="s">
        <v>244</v>
      </c>
      <c r="D102" s="27">
        <f>'11-8-26'!I102</f>
        <v>5000000</v>
      </c>
      <c r="E102" s="24"/>
      <c r="F102" s="25"/>
      <c r="G102" s="25"/>
      <c r="H102" s="27">
        <f t="shared" si="6"/>
        <v>0</v>
      </c>
      <c r="I102" s="27">
        <f t="shared" si="4"/>
        <v>5000000</v>
      </c>
      <c r="J102" s="25">
        <f t="shared" si="5"/>
        <v>0</v>
      </c>
    </row>
    <row r="103" s="1" customFormat="1" ht="12.75" customHeight="1" spans="1:10">
      <c r="A103" s="24"/>
      <c r="B103" s="25"/>
      <c r="C103" s="26"/>
      <c r="D103" s="27">
        <f>'11-8-26'!I103</f>
        <v>0</v>
      </c>
      <c r="E103" s="24"/>
      <c r="F103" s="25"/>
      <c r="G103" s="25"/>
      <c r="H103" s="27">
        <f t="shared" si="6"/>
        <v>0</v>
      </c>
      <c r="I103" s="27">
        <f t="shared" si="4"/>
        <v>0</v>
      </c>
      <c r="J103" s="25">
        <f t="shared" si="5"/>
        <v>0</v>
      </c>
    </row>
    <row r="104" s="1" customFormat="1" ht="12.75" customHeight="1" spans="1:10">
      <c r="A104" s="24"/>
      <c r="B104" s="25"/>
      <c r="C104" s="26"/>
      <c r="D104" s="27">
        <f>'11-8-26'!I104</f>
        <v>0</v>
      </c>
      <c r="E104" s="24"/>
      <c r="F104" s="25"/>
      <c r="G104" s="25"/>
      <c r="H104" s="27">
        <f t="shared" si="6"/>
        <v>0</v>
      </c>
      <c r="I104" s="27">
        <f t="shared" si="4"/>
        <v>0</v>
      </c>
      <c r="J104" s="25">
        <f t="shared" si="5"/>
        <v>0</v>
      </c>
    </row>
    <row r="105" s="1" customFormat="1" ht="12.75" customHeight="1" spans="1:10">
      <c r="A105" s="24"/>
      <c r="B105" s="25"/>
      <c r="C105" s="26"/>
      <c r="D105" s="27">
        <f>'4-8-26'!I105</f>
        <v>0</v>
      </c>
      <c r="E105" s="24"/>
      <c r="F105" s="25"/>
      <c r="G105" s="25"/>
      <c r="H105" s="27">
        <f t="shared" si="3"/>
        <v>0</v>
      </c>
      <c r="I105" s="27">
        <f t="shared" si="4"/>
        <v>0</v>
      </c>
      <c r="J105" s="25">
        <f t="shared" si="5"/>
        <v>0</v>
      </c>
    </row>
    <row r="106" s="1" customFormat="1" ht="12.75" customHeight="1" spans="1:10">
      <c r="A106" s="24"/>
      <c r="B106" s="25"/>
      <c r="C106" s="26"/>
      <c r="D106" s="27">
        <f>'4-8-26'!I106</f>
        <v>0</v>
      </c>
      <c r="E106" s="24"/>
      <c r="F106" s="25"/>
      <c r="G106" s="25"/>
      <c r="H106" s="27">
        <f t="shared" si="3"/>
        <v>0</v>
      </c>
      <c r="I106" s="27">
        <f t="shared" si="4"/>
        <v>0</v>
      </c>
      <c r="J106" s="25">
        <f t="shared" si="5"/>
        <v>0</v>
      </c>
    </row>
    <row r="107" s="1" customFormat="1" ht="12.75" customHeight="1" spans="1:10">
      <c r="A107" s="24"/>
      <c r="B107" s="25"/>
      <c r="C107" s="26"/>
      <c r="D107" s="27">
        <f>'4-8-26'!I107</f>
        <v>0</v>
      </c>
      <c r="E107" s="24"/>
      <c r="F107" s="25"/>
      <c r="G107" s="25"/>
      <c r="H107" s="27">
        <f t="shared" si="3"/>
        <v>0</v>
      </c>
      <c r="I107" s="27">
        <f t="shared" si="4"/>
        <v>0</v>
      </c>
      <c r="J107" s="25">
        <f t="shared" si="5"/>
        <v>0</v>
      </c>
    </row>
    <row r="108" s="1" customFormat="1" ht="12.75" customHeight="1" spans="1:10">
      <c r="A108" s="24"/>
      <c r="B108" s="25"/>
      <c r="C108" s="26"/>
      <c r="D108" s="27">
        <f>'4-8-26'!I108</f>
        <v>0</v>
      </c>
      <c r="E108" s="24"/>
      <c r="F108" s="25"/>
      <c r="G108" s="25"/>
      <c r="H108" s="27">
        <f t="shared" si="3"/>
        <v>0</v>
      </c>
      <c r="I108" s="27">
        <f t="shared" si="4"/>
        <v>0</v>
      </c>
      <c r="J108" s="25">
        <f t="shared" si="5"/>
        <v>0</v>
      </c>
    </row>
    <row r="109" s="1" customFormat="1" ht="12.75" customHeight="1" spans="1:10">
      <c r="A109" s="24"/>
      <c r="B109" s="25"/>
      <c r="C109" s="26"/>
      <c r="D109" s="27">
        <f>'4-8-26'!I109</f>
        <v>0</v>
      </c>
      <c r="E109" s="24"/>
      <c r="F109" s="25"/>
      <c r="G109" s="25"/>
      <c r="H109" s="27">
        <f t="shared" si="3"/>
        <v>0</v>
      </c>
      <c r="I109" s="27">
        <f t="shared" si="4"/>
        <v>0</v>
      </c>
      <c r="J109" s="25">
        <f t="shared" si="5"/>
        <v>0</v>
      </c>
    </row>
    <row r="110" s="1" customFormat="1" ht="12.75" customHeight="1" spans="1:10">
      <c r="A110" s="24"/>
      <c r="B110" s="25"/>
      <c r="C110" s="26"/>
      <c r="D110" s="27">
        <f>'4-8-26'!I110</f>
        <v>0</v>
      </c>
      <c r="E110" s="24"/>
      <c r="F110" s="25"/>
      <c r="G110" s="25"/>
      <c r="H110" s="27">
        <f t="shared" si="3"/>
        <v>0</v>
      </c>
      <c r="I110" s="27">
        <f t="shared" si="4"/>
        <v>0</v>
      </c>
      <c r="J110" s="25">
        <f t="shared" si="5"/>
        <v>0</v>
      </c>
    </row>
    <row r="111" s="1" customFormat="1" ht="12.75" customHeight="1" spans="1:10">
      <c r="A111" s="24"/>
      <c r="B111" s="25"/>
      <c r="C111" s="26"/>
      <c r="D111" s="27">
        <f>'16-6-26'!I111</f>
        <v>0</v>
      </c>
      <c r="E111" s="24"/>
      <c r="F111" s="25"/>
      <c r="G111" s="25"/>
      <c r="H111" s="27">
        <f t="shared" si="3"/>
        <v>0</v>
      </c>
      <c r="I111" s="27">
        <f t="shared" si="4"/>
        <v>0</v>
      </c>
      <c r="J111" s="25">
        <f t="shared" si="5"/>
        <v>0</v>
      </c>
    </row>
    <row r="112" s="1" customFormat="1" ht="12.75" customHeight="1" spans="1:10">
      <c r="A112" s="24"/>
      <c r="B112" s="25"/>
      <c r="C112" s="26"/>
      <c r="D112" s="27">
        <f>'16-6-26'!I112</f>
        <v>0</v>
      </c>
      <c r="E112" s="24"/>
      <c r="F112" s="25"/>
      <c r="G112" s="25"/>
      <c r="H112" s="27">
        <f t="shared" si="3"/>
        <v>0</v>
      </c>
      <c r="I112" s="27">
        <f t="shared" si="4"/>
        <v>0</v>
      </c>
      <c r="J112" s="25">
        <f t="shared" si="5"/>
        <v>0</v>
      </c>
    </row>
    <row r="113" s="1" customFormat="1" ht="12.75" customHeight="1" spans="1:10">
      <c r="A113" s="24"/>
      <c r="B113" s="25"/>
      <c r="C113" s="26"/>
      <c r="D113" s="27">
        <f>'16-6-26'!I113</f>
        <v>0</v>
      </c>
      <c r="E113" s="24"/>
      <c r="F113" s="25"/>
      <c r="G113" s="25"/>
      <c r="H113" s="27">
        <f t="shared" si="3"/>
        <v>0</v>
      </c>
      <c r="I113" s="27">
        <f t="shared" si="4"/>
        <v>0</v>
      </c>
      <c r="J113" s="25">
        <f t="shared" si="5"/>
        <v>0</v>
      </c>
    </row>
    <row r="114" s="1" customFormat="1" ht="12.75" customHeight="1" spans="1:10">
      <c r="A114" s="24"/>
      <c r="B114" s="25"/>
      <c r="C114" s="26"/>
      <c r="D114" s="27">
        <f>'16-6-26'!I114</f>
        <v>0</v>
      </c>
      <c r="E114" s="24"/>
      <c r="F114" s="25"/>
      <c r="G114" s="25"/>
      <c r="H114" s="27">
        <f t="shared" si="3"/>
        <v>0</v>
      </c>
      <c r="I114" s="27">
        <f t="shared" si="4"/>
        <v>0</v>
      </c>
      <c r="J114" s="25">
        <f t="shared" si="5"/>
        <v>0</v>
      </c>
    </row>
    <row r="115" s="1" customFormat="1" ht="12.75" customHeight="1" spans="1:10">
      <c r="A115" s="24"/>
      <c r="B115" s="25"/>
      <c r="C115" s="26"/>
      <c r="D115" s="27">
        <f>'16-6-26'!I115</f>
        <v>0</v>
      </c>
      <c r="E115" s="24"/>
      <c r="F115" s="25"/>
      <c r="G115" s="25"/>
      <c r="H115" s="27">
        <f t="shared" si="3"/>
        <v>0</v>
      </c>
      <c r="I115" s="27">
        <f t="shared" si="4"/>
        <v>0</v>
      </c>
      <c r="J115" s="25">
        <f t="shared" si="5"/>
        <v>0</v>
      </c>
    </row>
    <row r="116" s="1" customFormat="1" ht="12.75" customHeight="1" spans="1:10">
      <c r="A116" s="24"/>
      <c r="B116" s="25"/>
      <c r="C116" s="26"/>
      <c r="D116" s="27">
        <f>'16-6-26'!I116</f>
        <v>0</v>
      </c>
      <c r="E116" s="24"/>
      <c r="F116" s="25"/>
      <c r="G116" s="25"/>
      <c r="H116" s="27">
        <f t="shared" si="3"/>
        <v>0</v>
      </c>
      <c r="I116" s="27">
        <f t="shared" si="4"/>
        <v>0</v>
      </c>
      <c r="J116" s="25">
        <f t="shared" si="5"/>
        <v>0</v>
      </c>
    </row>
    <row r="117" s="1" customFormat="1" ht="12.75" customHeight="1" spans="1:10">
      <c r="A117" s="24"/>
      <c r="B117" s="25"/>
      <c r="C117" s="26"/>
      <c r="D117" s="27">
        <f>'16-6-26'!I117</f>
        <v>0</v>
      </c>
      <c r="E117" s="24"/>
      <c r="F117" s="25"/>
      <c r="G117" s="25"/>
      <c r="H117" s="27">
        <f t="shared" si="3"/>
        <v>0</v>
      </c>
      <c r="I117" s="27">
        <f t="shared" si="4"/>
        <v>0</v>
      </c>
      <c r="J117" s="25">
        <f t="shared" si="5"/>
        <v>0</v>
      </c>
    </row>
    <row r="118" s="1" customFormat="1" ht="12.75" customHeight="1" spans="1:10">
      <c r="A118" s="24"/>
      <c r="B118" s="25"/>
      <c r="C118" s="26"/>
      <c r="D118" s="27">
        <f>'16-6-26'!I118</f>
        <v>0</v>
      </c>
      <c r="E118" s="24"/>
      <c r="F118" s="25"/>
      <c r="G118" s="25"/>
      <c r="H118" s="27">
        <f t="shared" si="3"/>
        <v>0</v>
      </c>
      <c r="I118" s="27">
        <f t="shared" si="4"/>
        <v>0</v>
      </c>
      <c r="J118" s="25">
        <f t="shared" si="5"/>
        <v>0</v>
      </c>
    </row>
    <row r="119" s="1" customFormat="1" ht="12.75" customHeight="1" spans="1:10">
      <c r="A119" s="24"/>
      <c r="B119" s="25"/>
      <c r="C119" s="26"/>
      <c r="D119" s="27">
        <f>'16-6-26'!I119</f>
        <v>0</v>
      </c>
      <c r="E119" s="24"/>
      <c r="F119" s="25"/>
      <c r="G119" s="25"/>
      <c r="H119" s="27">
        <f t="shared" si="3"/>
        <v>0</v>
      </c>
      <c r="I119" s="27">
        <f t="shared" si="4"/>
        <v>0</v>
      </c>
      <c r="J119" s="25">
        <f t="shared" si="5"/>
        <v>0</v>
      </c>
    </row>
    <row r="120" s="1" customFormat="1" ht="12.75" customHeight="1" spans="1:10">
      <c r="A120" s="24"/>
      <c r="B120" s="25"/>
      <c r="C120" s="26"/>
      <c r="D120" s="27">
        <f>'16-6-26'!I120</f>
        <v>0</v>
      </c>
      <c r="E120" s="24"/>
      <c r="F120" s="25"/>
      <c r="G120" s="25"/>
      <c r="H120" s="27">
        <f t="shared" si="3"/>
        <v>0</v>
      </c>
      <c r="I120" s="27">
        <f t="shared" si="4"/>
        <v>0</v>
      </c>
      <c r="J120" s="25">
        <f t="shared" si="5"/>
        <v>0</v>
      </c>
    </row>
    <row r="121" s="1" customFormat="1" ht="12.75" customHeight="1" spans="1:10">
      <c r="A121" s="24"/>
      <c r="B121" s="25"/>
      <c r="C121" s="26"/>
      <c r="D121" s="27">
        <f>'16-6-26'!I121</f>
        <v>0</v>
      </c>
      <c r="E121" s="24"/>
      <c r="F121" s="25"/>
      <c r="G121" s="25"/>
      <c r="H121" s="27">
        <f t="shared" si="3"/>
        <v>0</v>
      </c>
      <c r="I121" s="27">
        <f t="shared" si="4"/>
        <v>0</v>
      </c>
      <c r="J121" s="25">
        <f t="shared" si="5"/>
        <v>0</v>
      </c>
    </row>
    <row r="122" s="1" customFormat="1" ht="12.75" customHeight="1" spans="1:10">
      <c r="A122" s="24"/>
      <c r="B122" s="25"/>
      <c r="C122" s="26"/>
      <c r="D122" s="27">
        <f>'16-6-26'!I122</f>
        <v>0</v>
      </c>
      <c r="E122" s="24"/>
      <c r="F122" s="25"/>
      <c r="G122" s="25"/>
      <c r="H122" s="27">
        <f t="shared" si="3"/>
        <v>0</v>
      </c>
      <c r="I122" s="27">
        <f t="shared" si="4"/>
        <v>0</v>
      </c>
      <c r="J122" s="25">
        <f t="shared" si="5"/>
        <v>0</v>
      </c>
    </row>
    <row r="123" s="1" customFormat="1" ht="12.75" customHeight="1" spans="1:10">
      <c r="A123" s="24"/>
      <c r="B123" s="25"/>
      <c r="C123" s="26"/>
      <c r="D123" s="27">
        <f>'16-6-26'!I123</f>
        <v>0</v>
      </c>
      <c r="E123" s="24"/>
      <c r="F123" s="25"/>
      <c r="G123" s="25"/>
      <c r="H123" s="27">
        <f t="shared" si="3"/>
        <v>0</v>
      </c>
      <c r="I123" s="27">
        <f t="shared" si="4"/>
        <v>0</v>
      </c>
      <c r="J123" s="25">
        <f t="shared" si="5"/>
        <v>0</v>
      </c>
    </row>
    <row r="124" s="1" customFormat="1" ht="12.75" customHeight="1" spans="1:10">
      <c r="A124" s="24"/>
      <c r="B124" s="25"/>
      <c r="C124" s="26"/>
      <c r="D124" s="27">
        <f>'16-6-26'!I124</f>
        <v>0</v>
      </c>
      <c r="E124" s="24"/>
      <c r="F124" s="25"/>
      <c r="G124" s="25"/>
      <c r="H124" s="27">
        <f t="shared" si="3"/>
        <v>0</v>
      </c>
      <c r="I124" s="27">
        <f t="shared" si="4"/>
        <v>0</v>
      </c>
      <c r="J124" s="25">
        <f t="shared" si="5"/>
        <v>0</v>
      </c>
    </row>
    <row r="125" s="1" customFormat="1" ht="12.75" customHeight="1" spans="1:10">
      <c r="A125" s="24"/>
      <c r="B125" s="25"/>
      <c r="C125" s="26"/>
      <c r="D125" s="27">
        <f>'16-6-26'!I125</f>
        <v>0</v>
      </c>
      <c r="E125" s="24"/>
      <c r="F125" s="25"/>
      <c r="G125" s="25"/>
      <c r="H125" s="27">
        <f t="shared" si="3"/>
        <v>0</v>
      </c>
      <c r="I125" s="27">
        <f t="shared" si="4"/>
        <v>0</v>
      </c>
      <c r="J125" s="25">
        <f t="shared" si="5"/>
        <v>0</v>
      </c>
    </row>
    <row r="126" s="1" customFormat="1" ht="12.75" customHeight="1" spans="1:10">
      <c r="A126" s="24"/>
      <c r="B126" s="25"/>
      <c r="C126" s="26"/>
      <c r="D126" s="27">
        <f>'16-6-26'!I126</f>
        <v>0</v>
      </c>
      <c r="E126" s="24"/>
      <c r="F126" s="25"/>
      <c r="G126" s="25"/>
      <c r="H126" s="27">
        <f t="shared" si="3"/>
        <v>0</v>
      </c>
      <c r="I126" s="27">
        <f t="shared" si="4"/>
        <v>0</v>
      </c>
      <c r="J126" s="25">
        <f t="shared" si="5"/>
        <v>0</v>
      </c>
    </row>
    <row r="127" s="1" customFormat="1" ht="12.75" customHeight="1" spans="1:10">
      <c r="A127" s="24"/>
      <c r="B127" s="25"/>
      <c r="C127" s="26"/>
      <c r="D127" s="27">
        <f>'16-6-26'!I127</f>
        <v>0</v>
      </c>
      <c r="E127" s="24"/>
      <c r="F127" s="25"/>
      <c r="G127" s="25"/>
      <c r="H127" s="27">
        <f t="shared" si="3"/>
        <v>0</v>
      </c>
      <c r="I127" s="27">
        <f t="shared" si="4"/>
        <v>0</v>
      </c>
      <c r="J127" s="25">
        <f t="shared" si="5"/>
        <v>0</v>
      </c>
    </row>
    <row r="128" s="1" customFormat="1" ht="12.75" customHeight="1" spans="1:10">
      <c r="A128" s="24"/>
      <c r="B128" s="25"/>
      <c r="C128" s="26"/>
      <c r="D128" s="27">
        <f>'16-6-26'!I128</f>
        <v>0</v>
      </c>
      <c r="E128" s="24"/>
      <c r="F128" s="25"/>
      <c r="G128" s="25"/>
      <c r="H128" s="27">
        <f t="shared" si="3"/>
        <v>0</v>
      </c>
      <c r="I128" s="27">
        <f t="shared" si="4"/>
        <v>0</v>
      </c>
      <c r="J128" s="25">
        <f t="shared" si="5"/>
        <v>0</v>
      </c>
    </row>
    <row r="129" s="1" customFormat="1" ht="12.75" customHeight="1" spans="1:10">
      <c r="A129" s="24"/>
      <c r="B129" s="25"/>
      <c r="C129" s="26"/>
      <c r="D129" s="27">
        <f>'16-6-26'!I129</f>
        <v>0</v>
      </c>
      <c r="E129" s="24"/>
      <c r="F129" s="25"/>
      <c r="G129" s="25"/>
      <c r="H129" s="27">
        <f t="shared" si="3"/>
        <v>0</v>
      </c>
      <c r="I129" s="27">
        <f t="shared" si="4"/>
        <v>0</v>
      </c>
      <c r="J129" s="25">
        <f t="shared" si="5"/>
        <v>0</v>
      </c>
    </row>
    <row r="130" s="1" customFormat="1" ht="12.75" customHeight="1" spans="1:10">
      <c r="A130" s="24"/>
      <c r="B130" s="25"/>
      <c r="C130" s="26"/>
      <c r="D130" s="27">
        <f>'16-6-26'!I130</f>
        <v>0</v>
      </c>
      <c r="E130" s="24"/>
      <c r="F130" s="25"/>
      <c r="G130" s="25"/>
      <c r="H130" s="27">
        <f t="shared" si="3"/>
        <v>0</v>
      </c>
      <c r="I130" s="27">
        <f t="shared" si="4"/>
        <v>0</v>
      </c>
      <c r="J130" s="25">
        <f t="shared" si="5"/>
        <v>0</v>
      </c>
    </row>
    <row r="131" s="1" customFormat="1" ht="12.75" customHeight="1" spans="1:10">
      <c r="A131" s="24"/>
      <c r="B131" s="25"/>
      <c r="C131" s="26"/>
      <c r="D131" s="27">
        <f>'16-6-26'!I131</f>
        <v>0</v>
      </c>
      <c r="E131" s="24"/>
      <c r="F131" s="25"/>
      <c r="G131" s="25"/>
      <c r="H131" s="27">
        <f t="shared" si="3"/>
        <v>0</v>
      </c>
      <c r="I131" s="27">
        <f t="shared" si="4"/>
        <v>0</v>
      </c>
      <c r="J131" s="25">
        <f t="shared" si="5"/>
        <v>0</v>
      </c>
    </row>
    <row r="132" s="1" customFormat="1" ht="12.75" customHeight="1" spans="1:10">
      <c r="A132" s="24"/>
      <c r="B132" s="25"/>
      <c r="C132" s="26"/>
      <c r="D132" s="27">
        <f>'16-6-26'!I132</f>
        <v>0</v>
      </c>
      <c r="E132" s="24"/>
      <c r="F132" s="25"/>
      <c r="G132" s="25"/>
      <c r="H132" s="27">
        <f t="shared" si="3"/>
        <v>0</v>
      </c>
      <c r="I132" s="27">
        <f t="shared" si="4"/>
        <v>0</v>
      </c>
      <c r="J132" s="25">
        <f t="shared" si="5"/>
        <v>0</v>
      </c>
    </row>
    <row r="133" s="1" customFormat="1" ht="12.75" customHeight="1" spans="1:10">
      <c r="A133" s="24"/>
      <c r="B133" s="25"/>
      <c r="C133" s="26"/>
      <c r="D133" s="27">
        <f>'16-6-26'!I133</f>
        <v>0</v>
      </c>
      <c r="E133" s="24"/>
      <c r="F133" s="25"/>
      <c r="G133" s="25"/>
      <c r="H133" s="27">
        <f t="shared" si="3"/>
        <v>0</v>
      </c>
      <c r="I133" s="27">
        <f t="shared" si="4"/>
        <v>0</v>
      </c>
      <c r="J133" s="25">
        <f t="shared" si="5"/>
        <v>0</v>
      </c>
    </row>
    <row r="134" s="1" customFormat="1" ht="12.75" customHeight="1" spans="1:10">
      <c r="A134" s="24"/>
      <c r="B134" s="25"/>
      <c r="C134" s="26"/>
      <c r="D134" s="27">
        <f>'16-6-26'!I134</f>
        <v>0</v>
      </c>
      <c r="E134" s="24"/>
      <c r="F134" s="25"/>
      <c r="G134" s="25"/>
      <c r="H134" s="27">
        <f t="shared" si="3"/>
        <v>0</v>
      </c>
      <c r="I134" s="27">
        <f t="shared" si="4"/>
        <v>0</v>
      </c>
      <c r="J134" s="25">
        <f t="shared" si="5"/>
        <v>0</v>
      </c>
    </row>
    <row r="135" s="1" customFormat="1" ht="12.75" customHeight="1" spans="1:10">
      <c r="A135" s="24"/>
      <c r="B135" s="25"/>
      <c r="C135" s="26"/>
      <c r="D135" s="27">
        <f>'16-6-26'!I135</f>
        <v>0</v>
      </c>
      <c r="E135" s="24"/>
      <c r="F135" s="25"/>
      <c r="G135" s="25"/>
      <c r="H135" s="27">
        <f t="shared" si="3"/>
        <v>0</v>
      </c>
      <c r="I135" s="27">
        <f t="shared" si="4"/>
        <v>0</v>
      </c>
      <c r="J135" s="25">
        <f t="shared" si="5"/>
        <v>0</v>
      </c>
    </row>
    <row r="136" s="1" customFormat="1" ht="12.75" customHeight="1" spans="1:10">
      <c r="A136" s="24"/>
      <c r="B136" s="25"/>
      <c r="C136" s="26"/>
      <c r="D136" s="27">
        <f>'16-6-26'!I136</f>
        <v>0</v>
      </c>
      <c r="E136" s="24"/>
      <c r="F136" s="25"/>
      <c r="G136" s="25"/>
      <c r="H136" s="27">
        <f t="shared" si="3"/>
        <v>0</v>
      </c>
      <c r="I136" s="27">
        <f t="shared" si="4"/>
        <v>0</v>
      </c>
      <c r="J136" s="25">
        <f t="shared" si="5"/>
        <v>0</v>
      </c>
    </row>
    <row r="137" s="1" customFormat="1" ht="12.75" customHeight="1" spans="1:10">
      <c r="A137" s="24"/>
      <c r="B137" s="25"/>
      <c r="C137" s="26"/>
      <c r="D137" s="27">
        <f>'16-6-26'!I137</f>
        <v>0</v>
      </c>
      <c r="E137" s="24"/>
      <c r="F137" s="25"/>
      <c r="G137" s="25"/>
      <c r="H137" s="27">
        <f t="shared" ref="H137:H187" si="7">SUM(F137:G137)</f>
        <v>0</v>
      </c>
      <c r="I137" s="27">
        <f t="shared" ref="I137:I187" si="8">D137-F137</f>
        <v>0</v>
      </c>
      <c r="J137" s="25">
        <f t="shared" ref="J137:J187" si="9">1/10*G137</f>
        <v>0</v>
      </c>
    </row>
    <row r="138" s="1" customFormat="1" ht="12.75" customHeight="1" spans="1:10">
      <c r="A138" s="24"/>
      <c r="B138" s="25"/>
      <c r="C138" s="26"/>
      <c r="D138" s="27">
        <f>'16-6-26'!I138</f>
        <v>0</v>
      </c>
      <c r="E138" s="24"/>
      <c r="F138" s="25"/>
      <c r="G138" s="25"/>
      <c r="H138" s="27">
        <f t="shared" si="7"/>
        <v>0</v>
      </c>
      <c r="I138" s="27">
        <f t="shared" si="8"/>
        <v>0</v>
      </c>
      <c r="J138" s="25">
        <f t="shared" si="9"/>
        <v>0</v>
      </c>
    </row>
    <row r="139" s="1" customFormat="1" ht="12.75" customHeight="1" spans="1:10">
      <c r="A139" s="24"/>
      <c r="B139" s="25"/>
      <c r="C139" s="26"/>
      <c r="D139" s="27">
        <f>'16-6-26'!I139</f>
        <v>0</v>
      </c>
      <c r="E139" s="24"/>
      <c r="F139" s="25"/>
      <c r="G139" s="25"/>
      <c r="H139" s="27">
        <f t="shared" si="7"/>
        <v>0</v>
      </c>
      <c r="I139" s="27">
        <f t="shared" si="8"/>
        <v>0</v>
      </c>
      <c r="J139" s="25">
        <f t="shared" si="9"/>
        <v>0</v>
      </c>
    </row>
    <row r="140" s="1" customFormat="1" ht="12.75" customHeight="1" spans="1:10">
      <c r="A140" s="24"/>
      <c r="B140" s="25"/>
      <c r="C140" s="26"/>
      <c r="D140" s="27">
        <f>'16-6-26'!I140</f>
        <v>0</v>
      </c>
      <c r="E140" s="24"/>
      <c r="F140" s="25"/>
      <c r="G140" s="25"/>
      <c r="H140" s="27">
        <f t="shared" si="7"/>
        <v>0</v>
      </c>
      <c r="I140" s="27">
        <f t="shared" si="8"/>
        <v>0</v>
      </c>
      <c r="J140" s="25">
        <f t="shared" si="9"/>
        <v>0</v>
      </c>
    </row>
    <row r="141" s="1" customFormat="1" ht="12.75" customHeight="1" spans="1:10">
      <c r="A141" s="24"/>
      <c r="B141" s="25"/>
      <c r="C141" s="26"/>
      <c r="D141" s="27">
        <f>'16-6-26'!I141</f>
        <v>0</v>
      </c>
      <c r="E141" s="24"/>
      <c r="F141" s="25"/>
      <c r="G141" s="25"/>
      <c r="H141" s="27">
        <f t="shared" si="7"/>
        <v>0</v>
      </c>
      <c r="I141" s="27">
        <f t="shared" si="8"/>
        <v>0</v>
      </c>
      <c r="J141" s="25">
        <f t="shared" si="9"/>
        <v>0</v>
      </c>
    </row>
    <row r="142" s="1" customFormat="1" ht="12.75" customHeight="1" spans="1:10">
      <c r="A142" s="24"/>
      <c r="B142" s="25"/>
      <c r="C142" s="26"/>
      <c r="D142" s="27">
        <f>'16-6-26'!I142</f>
        <v>0</v>
      </c>
      <c r="E142" s="24"/>
      <c r="F142" s="25"/>
      <c r="G142" s="25"/>
      <c r="H142" s="27">
        <f t="shared" si="7"/>
        <v>0</v>
      </c>
      <c r="I142" s="27">
        <f t="shared" si="8"/>
        <v>0</v>
      </c>
      <c r="J142" s="25">
        <f t="shared" si="9"/>
        <v>0</v>
      </c>
    </row>
    <row r="143" s="1" customFormat="1" ht="12.75" customHeight="1" spans="1:10">
      <c r="A143" s="24"/>
      <c r="B143" s="25"/>
      <c r="C143" s="26"/>
      <c r="D143" s="27">
        <f>'16-6-26'!I143</f>
        <v>0</v>
      </c>
      <c r="E143" s="24"/>
      <c r="F143" s="25"/>
      <c r="G143" s="25"/>
      <c r="H143" s="27">
        <f t="shared" si="7"/>
        <v>0</v>
      </c>
      <c r="I143" s="27">
        <f t="shared" si="8"/>
        <v>0</v>
      </c>
      <c r="J143" s="25">
        <f t="shared" si="9"/>
        <v>0</v>
      </c>
    </row>
    <row r="144" s="1" customFormat="1" ht="12.75" customHeight="1" spans="1:10">
      <c r="A144" s="24"/>
      <c r="B144" s="25"/>
      <c r="C144" s="26"/>
      <c r="D144" s="27">
        <f>'16-6-26'!I144</f>
        <v>0</v>
      </c>
      <c r="E144" s="24"/>
      <c r="F144" s="25"/>
      <c r="G144" s="25"/>
      <c r="H144" s="27">
        <f t="shared" si="7"/>
        <v>0</v>
      </c>
      <c r="I144" s="27">
        <f t="shared" si="8"/>
        <v>0</v>
      </c>
      <c r="J144" s="25">
        <f t="shared" si="9"/>
        <v>0</v>
      </c>
    </row>
    <row r="145" s="1" customFormat="1" ht="12.75" customHeight="1" spans="1:10">
      <c r="A145" s="24"/>
      <c r="B145" s="25"/>
      <c r="C145" s="26"/>
      <c r="D145" s="27">
        <f>'16-6-26'!I145</f>
        <v>0</v>
      </c>
      <c r="E145" s="24"/>
      <c r="F145" s="25"/>
      <c r="G145" s="25"/>
      <c r="H145" s="27">
        <f t="shared" si="7"/>
        <v>0</v>
      </c>
      <c r="I145" s="27">
        <f t="shared" si="8"/>
        <v>0</v>
      </c>
      <c r="J145" s="25">
        <f t="shared" si="9"/>
        <v>0</v>
      </c>
    </row>
    <row r="146" s="1" customFormat="1" ht="12.75" customHeight="1" spans="1:10">
      <c r="A146" s="24"/>
      <c r="B146" s="25"/>
      <c r="C146" s="26"/>
      <c r="D146" s="27">
        <f>'16-6-26'!I146</f>
        <v>0</v>
      </c>
      <c r="E146" s="24"/>
      <c r="F146" s="25"/>
      <c r="G146" s="25"/>
      <c r="H146" s="27">
        <f t="shared" si="7"/>
        <v>0</v>
      </c>
      <c r="I146" s="27">
        <f t="shared" si="8"/>
        <v>0</v>
      </c>
      <c r="J146" s="25">
        <f t="shared" si="9"/>
        <v>0</v>
      </c>
    </row>
    <row r="147" s="1" customFormat="1" ht="12.75" customHeight="1" spans="1:10">
      <c r="A147" s="24"/>
      <c r="B147" s="25"/>
      <c r="C147" s="26"/>
      <c r="D147" s="27">
        <f>'16-6-26'!I147</f>
        <v>0</v>
      </c>
      <c r="E147" s="24"/>
      <c r="F147" s="25"/>
      <c r="G147" s="25"/>
      <c r="H147" s="27">
        <f t="shared" si="7"/>
        <v>0</v>
      </c>
      <c r="I147" s="27">
        <f t="shared" si="8"/>
        <v>0</v>
      </c>
      <c r="J147" s="25">
        <f t="shared" si="9"/>
        <v>0</v>
      </c>
    </row>
    <row r="148" s="1" customFormat="1" ht="12.75" customHeight="1" spans="1:10">
      <c r="A148" s="24"/>
      <c r="B148" s="25"/>
      <c r="C148" s="26"/>
      <c r="D148" s="27">
        <f>'16-6-26'!I148</f>
        <v>0</v>
      </c>
      <c r="E148" s="24"/>
      <c r="F148" s="25"/>
      <c r="G148" s="25"/>
      <c r="H148" s="27">
        <f t="shared" si="7"/>
        <v>0</v>
      </c>
      <c r="I148" s="27">
        <f t="shared" si="8"/>
        <v>0</v>
      </c>
      <c r="J148" s="25">
        <f t="shared" si="9"/>
        <v>0</v>
      </c>
    </row>
    <row r="149" s="1" customFormat="1" ht="12.75" customHeight="1" spans="1:10">
      <c r="A149" s="24"/>
      <c r="B149" s="25"/>
      <c r="C149" s="26"/>
      <c r="D149" s="27">
        <f>'16-6-26'!I149</f>
        <v>0</v>
      </c>
      <c r="E149" s="24"/>
      <c r="F149" s="25"/>
      <c r="G149" s="25"/>
      <c r="H149" s="27">
        <f t="shared" si="7"/>
        <v>0</v>
      </c>
      <c r="I149" s="27">
        <f t="shared" si="8"/>
        <v>0</v>
      </c>
      <c r="J149" s="25">
        <f t="shared" si="9"/>
        <v>0</v>
      </c>
    </row>
    <row r="150" s="1" customFormat="1" ht="12.75" customHeight="1" spans="1:10">
      <c r="A150" s="24"/>
      <c r="B150" s="25"/>
      <c r="C150" s="26"/>
      <c r="D150" s="27">
        <f>'16-6-26'!I150</f>
        <v>0</v>
      </c>
      <c r="E150" s="24"/>
      <c r="F150" s="25"/>
      <c r="G150" s="25"/>
      <c r="H150" s="27">
        <f t="shared" si="7"/>
        <v>0</v>
      </c>
      <c r="I150" s="27">
        <f t="shared" si="8"/>
        <v>0</v>
      </c>
      <c r="J150" s="25">
        <f t="shared" si="9"/>
        <v>0</v>
      </c>
    </row>
    <row r="151" s="1" customFormat="1" ht="12.75" customHeight="1" spans="1:10">
      <c r="A151" s="24"/>
      <c r="B151" s="25"/>
      <c r="C151" s="26"/>
      <c r="D151" s="27">
        <f>'16-6-26'!I151</f>
        <v>0</v>
      </c>
      <c r="E151" s="24"/>
      <c r="F151" s="25"/>
      <c r="G151" s="25"/>
      <c r="H151" s="27">
        <f t="shared" si="7"/>
        <v>0</v>
      </c>
      <c r="I151" s="27">
        <f t="shared" si="8"/>
        <v>0</v>
      </c>
      <c r="J151" s="25">
        <f t="shared" si="9"/>
        <v>0</v>
      </c>
    </row>
    <row r="152" s="1" customFormat="1" ht="12.75" customHeight="1" spans="1:10">
      <c r="A152" s="24"/>
      <c r="B152" s="25"/>
      <c r="C152" s="26"/>
      <c r="D152" s="27">
        <f>'16-6-26'!I152</f>
        <v>0</v>
      </c>
      <c r="E152" s="24"/>
      <c r="F152" s="25"/>
      <c r="G152" s="25"/>
      <c r="H152" s="27">
        <f t="shared" si="7"/>
        <v>0</v>
      </c>
      <c r="I152" s="27">
        <f t="shared" si="8"/>
        <v>0</v>
      </c>
      <c r="J152" s="25">
        <f t="shared" si="9"/>
        <v>0</v>
      </c>
    </row>
    <row r="153" s="1" customFormat="1" ht="12.75" customHeight="1" spans="1:10">
      <c r="A153" s="24"/>
      <c r="B153" s="25"/>
      <c r="C153" s="26"/>
      <c r="D153" s="27">
        <f>'16-6-26'!I153</f>
        <v>0</v>
      </c>
      <c r="E153" s="24"/>
      <c r="F153" s="25"/>
      <c r="G153" s="25"/>
      <c r="H153" s="27">
        <f t="shared" si="7"/>
        <v>0</v>
      </c>
      <c r="I153" s="27">
        <f t="shared" si="8"/>
        <v>0</v>
      </c>
      <c r="J153" s="25">
        <f t="shared" si="9"/>
        <v>0</v>
      </c>
    </row>
    <row r="154" s="1" customFormat="1" ht="12.75" customHeight="1" spans="1:10">
      <c r="A154" s="24"/>
      <c r="B154" s="25"/>
      <c r="C154" s="26"/>
      <c r="D154" s="27">
        <f>'16-6-26'!I154</f>
        <v>0</v>
      </c>
      <c r="E154" s="24"/>
      <c r="F154" s="25"/>
      <c r="G154" s="25"/>
      <c r="H154" s="27">
        <f t="shared" si="7"/>
        <v>0</v>
      </c>
      <c r="I154" s="27">
        <f t="shared" si="8"/>
        <v>0</v>
      </c>
      <c r="J154" s="25">
        <f t="shared" si="9"/>
        <v>0</v>
      </c>
    </row>
    <row r="155" s="1" customFormat="1" ht="12.75" customHeight="1" spans="1:10">
      <c r="A155" s="24"/>
      <c r="B155" s="25"/>
      <c r="C155" s="26"/>
      <c r="D155" s="27">
        <f>'16-6-26'!I155</f>
        <v>0</v>
      </c>
      <c r="E155" s="24"/>
      <c r="F155" s="25"/>
      <c r="G155" s="25"/>
      <c r="H155" s="27">
        <f t="shared" si="7"/>
        <v>0</v>
      </c>
      <c r="I155" s="27">
        <f t="shared" si="8"/>
        <v>0</v>
      </c>
      <c r="J155" s="25">
        <f t="shared" si="9"/>
        <v>0</v>
      </c>
    </row>
    <row r="156" s="1" customFormat="1" ht="12.75" customHeight="1" spans="1:10">
      <c r="A156" s="24"/>
      <c r="B156" s="25"/>
      <c r="C156" s="26"/>
      <c r="D156" s="27">
        <f>'16-6-26'!I156</f>
        <v>0</v>
      </c>
      <c r="E156" s="24"/>
      <c r="F156" s="25"/>
      <c r="G156" s="25"/>
      <c r="H156" s="27">
        <f t="shared" si="7"/>
        <v>0</v>
      </c>
      <c r="I156" s="27">
        <f t="shared" si="8"/>
        <v>0</v>
      </c>
      <c r="J156" s="25">
        <f t="shared" si="9"/>
        <v>0</v>
      </c>
    </row>
    <row r="157" s="1" customFormat="1" ht="12.75" customHeight="1" spans="1:10">
      <c r="A157" s="24"/>
      <c r="B157" s="25"/>
      <c r="C157" s="26"/>
      <c r="D157" s="27">
        <f>'16-6-26'!I157</f>
        <v>0</v>
      </c>
      <c r="E157" s="24"/>
      <c r="F157" s="25"/>
      <c r="G157" s="25"/>
      <c r="H157" s="27">
        <f t="shared" si="7"/>
        <v>0</v>
      </c>
      <c r="I157" s="27">
        <f t="shared" si="8"/>
        <v>0</v>
      </c>
      <c r="J157" s="25">
        <f t="shared" si="9"/>
        <v>0</v>
      </c>
    </row>
    <row r="158" s="1" customFormat="1" ht="12.75" customHeight="1" spans="1:10">
      <c r="A158" s="24"/>
      <c r="B158" s="25"/>
      <c r="C158" s="26"/>
      <c r="D158" s="27">
        <f>'16-6-26'!I158</f>
        <v>0</v>
      </c>
      <c r="E158" s="24"/>
      <c r="F158" s="25"/>
      <c r="G158" s="25"/>
      <c r="H158" s="27">
        <f t="shared" si="7"/>
        <v>0</v>
      </c>
      <c r="I158" s="27">
        <f t="shared" si="8"/>
        <v>0</v>
      </c>
      <c r="J158" s="25">
        <f t="shared" si="9"/>
        <v>0</v>
      </c>
    </row>
    <row r="159" s="1" customFormat="1" ht="12.75" customHeight="1" spans="1:10">
      <c r="A159" s="24"/>
      <c r="B159" s="25"/>
      <c r="C159" s="26"/>
      <c r="D159" s="27">
        <f>'16-6-26'!I159</f>
        <v>0</v>
      </c>
      <c r="E159" s="24"/>
      <c r="F159" s="25"/>
      <c r="G159" s="25"/>
      <c r="H159" s="27">
        <f t="shared" si="7"/>
        <v>0</v>
      </c>
      <c r="I159" s="27">
        <f t="shared" si="8"/>
        <v>0</v>
      </c>
      <c r="J159" s="25">
        <f t="shared" si="9"/>
        <v>0</v>
      </c>
    </row>
    <row r="160" s="1" customFormat="1" ht="12.75" customHeight="1" spans="1:10">
      <c r="A160" s="24"/>
      <c r="B160" s="25"/>
      <c r="C160" s="26"/>
      <c r="D160" s="27">
        <f>'16-6-26'!I160</f>
        <v>0</v>
      </c>
      <c r="E160" s="24"/>
      <c r="F160" s="25"/>
      <c r="G160" s="25"/>
      <c r="H160" s="27">
        <f t="shared" si="7"/>
        <v>0</v>
      </c>
      <c r="I160" s="27">
        <f t="shared" si="8"/>
        <v>0</v>
      </c>
      <c r="J160" s="25">
        <f t="shared" si="9"/>
        <v>0</v>
      </c>
    </row>
    <row r="161" s="1" customFormat="1" ht="12.75" customHeight="1" spans="1:10">
      <c r="A161" s="24"/>
      <c r="B161" s="25"/>
      <c r="C161" s="26"/>
      <c r="D161" s="27">
        <f>'16-6-26'!I161</f>
        <v>0</v>
      </c>
      <c r="E161" s="24"/>
      <c r="F161" s="25"/>
      <c r="G161" s="25"/>
      <c r="H161" s="27">
        <f t="shared" si="7"/>
        <v>0</v>
      </c>
      <c r="I161" s="27">
        <f t="shared" si="8"/>
        <v>0</v>
      </c>
      <c r="J161" s="25">
        <f t="shared" si="9"/>
        <v>0</v>
      </c>
    </row>
    <row r="162" s="1" customFormat="1" ht="12.75" customHeight="1" spans="1:10">
      <c r="A162" s="24"/>
      <c r="B162" s="25"/>
      <c r="C162" s="26"/>
      <c r="D162" s="27">
        <f>'16-6-26'!I162</f>
        <v>0</v>
      </c>
      <c r="E162" s="24"/>
      <c r="F162" s="25"/>
      <c r="G162" s="25"/>
      <c r="H162" s="27">
        <f t="shared" si="7"/>
        <v>0</v>
      </c>
      <c r="I162" s="27">
        <f t="shared" si="8"/>
        <v>0</v>
      </c>
      <c r="J162" s="25">
        <f t="shared" si="9"/>
        <v>0</v>
      </c>
    </row>
    <row r="163" s="1" customFormat="1" ht="12.75" customHeight="1" spans="1:10">
      <c r="A163" s="24"/>
      <c r="B163" s="25"/>
      <c r="C163" s="26"/>
      <c r="D163" s="27">
        <f>'16-6-26'!I163</f>
        <v>0</v>
      </c>
      <c r="E163" s="24"/>
      <c r="F163" s="25"/>
      <c r="G163" s="25"/>
      <c r="H163" s="27">
        <f t="shared" si="7"/>
        <v>0</v>
      </c>
      <c r="I163" s="27">
        <f t="shared" si="8"/>
        <v>0</v>
      </c>
      <c r="J163" s="25">
        <f t="shared" si="9"/>
        <v>0</v>
      </c>
    </row>
    <row r="164" s="1" customFormat="1" ht="12.75" customHeight="1" spans="1:10">
      <c r="A164" s="24"/>
      <c r="B164" s="25"/>
      <c r="C164" s="26"/>
      <c r="D164" s="27">
        <f>'16-6-26'!I164</f>
        <v>0</v>
      </c>
      <c r="E164" s="24"/>
      <c r="F164" s="25"/>
      <c r="G164" s="25"/>
      <c r="H164" s="27">
        <f t="shared" si="7"/>
        <v>0</v>
      </c>
      <c r="I164" s="27">
        <f t="shared" si="8"/>
        <v>0</v>
      </c>
      <c r="J164" s="25">
        <f t="shared" si="9"/>
        <v>0</v>
      </c>
    </row>
    <row r="165" s="1" customFormat="1" ht="12.75" customHeight="1" spans="1:10">
      <c r="A165" s="24"/>
      <c r="B165" s="25"/>
      <c r="C165" s="26"/>
      <c r="D165" s="27">
        <f>'16-6-26'!I165</f>
        <v>0</v>
      </c>
      <c r="E165" s="24"/>
      <c r="F165" s="25"/>
      <c r="G165" s="25"/>
      <c r="H165" s="27">
        <f t="shared" si="7"/>
        <v>0</v>
      </c>
      <c r="I165" s="27">
        <f t="shared" si="8"/>
        <v>0</v>
      </c>
      <c r="J165" s="25">
        <f t="shared" si="9"/>
        <v>0</v>
      </c>
    </row>
    <row r="166" s="1" customFormat="1" ht="12.75" customHeight="1" spans="1:10">
      <c r="A166" s="24"/>
      <c r="B166" s="25"/>
      <c r="C166" s="26"/>
      <c r="D166" s="27">
        <f>'16-6-26'!I166</f>
        <v>0</v>
      </c>
      <c r="E166" s="24"/>
      <c r="F166" s="25"/>
      <c r="G166" s="25"/>
      <c r="H166" s="27">
        <f t="shared" si="7"/>
        <v>0</v>
      </c>
      <c r="I166" s="27">
        <f t="shared" si="8"/>
        <v>0</v>
      </c>
      <c r="J166" s="25">
        <f t="shared" si="9"/>
        <v>0</v>
      </c>
    </row>
    <row r="167" s="1" customFormat="1" ht="12.75" customHeight="1" spans="1:10">
      <c r="A167" s="24"/>
      <c r="B167" s="25"/>
      <c r="C167" s="26"/>
      <c r="D167" s="27">
        <f>'16-6-26'!I167</f>
        <v>0</v>
      </c>
      <c r="E167" s="24"/>
      <c r="F167" s="25"/>
      <c r="G167" s="25"/>
      <c r="H167" s="27">
        <f t="shared" si="7"/>
        <v>0</v>
      </c>
      <c r="I167" s="27">
        <f t="shared" si="8"/>
        <v>0</v>
      </c>
      <c r="J167" s="25">
        <f t="shared" si="9"/>
        <v>0</v>
      </c>
    </row>
    <row r="168" s="1" customFormat="1" ht="12.75" customHeight="1" spans="1:10">
      <c r="A168" s="24"/>
      <c r="B168" s="25"/>
      <c r="C168" s="26"/>
      <c r="D168" s="27">
        <f>'16-6-26'!I168</f>
        <v>0</v>
      </c>
      <c r="E168" s="24"/>
      <c r="F168" s="25"/>
      <c r="G168" s="25"/>
      <c r="H168" s="27">
        <f t="shared" si="7"/>
        <v>0</v>
      </c>
      <c r="I168" s="27">
        <f t="shared" si="8"/>
        <v>0</v>
      </c>
      <c r="J168" s="25">
        <f t="shared" si="9"/>
        <v>0</v>
      </c>
    </row>
    <row r="169" s="1" customFormat="1" ht="12.75" customHeight="1" spans="1:10">
      <c r="A169" s="24"/>
      <c r="B169" s="25"/>
      <c r="C169" s="26"/>
      <c r="D169" s="27">
        <f>'16-6-26'!I169</f>
        <v>0</v>
      </c>
      <c r="E169" s="24"/>
      <c r="F169" s="25"/>
      <c r="G169" s="25"/>
      <c r="H169" s="27">
        <f t="shared" si="7"/>
        <v>0</v>
      </c>
      <c r="I169" s="27">
        <f t="shared" si="8"/>
        <v>0</v>
      </c>
      <c r="J169" s="25">
        <f t="shared" si="9"/>
        <v>0</v>
      </c>
    </row>
    <row r="170" s="1" customFormat="1" ht="12.75" customHeight="1" spans="1:10">
      <c r="A170" s="24"/>
      <c r="B170" s="25"/>
      <c r="C170" s="26"/>
      <c r="D170" s="27">
        <f>'16-6-26'!I170</f>
        <v>0</v>
      </c>
      <c r="E170" s="24"/>
      <c r="F170" s="25"/>
      <c r="G170" s="25"/>
      <c r="H170" s="27">
        <f t="shared" si="7"/>
        <v>0</v>
      </c>
      <c r="I170" s="27">
        <f t="shared" si="8"/>
        <v>0</v>
      </c>
      <c r="J170" s="25">
        <f t="shared" si="9"/>
        <v>0</v>
      </c>
    </row>
    <row r="171" s="1" customFormat="1" ht="12.75" customHeight="1" spans="1:10">
      <c r="A171" s="24"/>
      <c r="B171" s="25"/>
      <c r="C171" s="26"/>
      <c r="D171" s="27">
        <f>'16-6-26'!I171</f>
        <v>0</v>
      </c>
      <c r="E171" s="24"/>
      <c r="F171" s="25"/>
      <c r="G171" s="25"/>
      <c r="H171" s="27">
        <f t="shared" si="7"/>
        <v>0</v>
      </c>
      <c r="I171" s="27">
        <f t="shared" si="8"/>
        <v>0</v>
      </c>
      <c r="J171" s="25">
        <f t="shared" si="9"/>
        <v>0</v>
      </c>
    </row>
    <row r="172" s="1" customFormat="1" ht="12.75" customHeight="1" spans="1:10">
      <c r="A172" s="24"/>
      <c r="B172" s="25"/>
      <c r="C172" s="26"/>
      <c r="D172" s="27">
        <f>'16-6-26'!I172</f>
        <v>0</v>
      </c>
      <c r="E172" s="24"/>
      <c r="F172" s="25"/>
      <c r="G172" s="25"/>
      <c r="H172" s="27">
        <f t="shared" si="7"/>
        <v>0</v>
      </c>
      <c r="I172" s="27">
        <f t="shared" si="8"/>
        <v>0</v>
      </c>
      <c r="J172" s="25">
        <f t="shared" si="9"/>
        <v>0</v>
      </c>
    </row>
    <row r="173" s="1" customFormat="1" ht="12.75" customHeight="1" spans="1:10">
      <c r="A173" s="24"/>
      <c r="B173" s="25"/>
      <c r="C173" s="26"/>
      <c r="D173" s="27">
        <f>'16-6-26'!I173</f>
        <v>0</v>
      </c>
      <c r="E173" s="24"/>
      <c r="F173" s="25"/>
      <c r="G173" s="25"/>
      <c r="H173" s="27">
        <f t="shared" si="7"/>
        <v>0</v>
      </c>
      <c r="I173" s="27">
        <f t="shared" si="8"/>
        <v>0</v>
      </c>
      <c r="J173" s="25">
        <f t="shared" si="9"/>
        <v>0</v>
      </c>
    </row>
    <row r="174" s="1" customFormat="1" ht="12.75" customHeight="1" spans="1:10">
      <c r="A174" s="24"/>
      <c r="B174" s="25"/>
      <c r="C174" s="26"/>
      <c r="D174" s="27">
        <f>'16-6-26'!I174</f>
        <v>0</v>
      </c>
      <c r="E174" s="24"/>
      <c r="F174" s="25"/>
      <c r="G174" s="25"/>
      <c r="H174" s="27">
        <f t="shared" si="7"/>
        <v>0</v>
      </c>
      <c r="I174" s="27">
        <f t="shared" si="8"/>
        <v>0</v>
      </c>
      <c r="J174" s="25">
        <f t="shared" si="9"/>
        <v>0</v>
      </c>
    </row>
    <row r="175" s="1" customFormat="1" ht="12.75" customHeight="1" spans="1:10">
      <c r="A175" s="24"/>
      <c r="B175" s="25"/>
      <c r="C175" s="26"/>
      <c r="D175" s="27">
        <f>'16-6-26'!I175</f>
        <v>0</v>
      </c>
      <c r="E175" s="24"/>
      <c r="F175" s="25"/>
      <c r="G175" s="25"/>
      <c r="H175" s="27">
        <f t="shared" si="7"/>
        <v>0</v>
      </c>
      <c r="I175" s="27">
        <f t="shared" si="8"/>
        <v>0</v>
      </c>
      <c r="J175" s="25">
        <f t="shared" si="9"/>
        <v>0</v>
      </c>
    </row>
    <row r="176" s="1" customFormat="1" ht="12.75" customHeight="1" spans="1:10">
      <c r="A176" s="24"/>
      <c r="B176" s="25"/>
      <c r="C176" s="26"/>
      <c r="D176" s="27">
        <f>'16-6-26'!I176</f>
        <v>0</v>
      </c>
      <c r="E176" s="24"/>
      <c r="F176" s="25"/>
      <c r="G176" s="25"/>
      <c r="H176" s="27">
        <f t="shared" si="7"/>
        <v>0</v>
      </c>
      <c r="I176" s="27">
        <f t="shared" si="8"/>
        <v>0</v>
      </c>
      <c r="J176" s="25">
        <f t="shared" si="9"/>
        <v>0</v>
      </c>
    </row>
    <row r="177" s="1" customFormat="1" ht="12.75" customHeight="1" spans="1:11">
      <c r="A177" s="24"/>
      <c r="B177" s="25"/>
      <c r="C177" s="26"/>
      <c r="D177" s="27">
        <f>'16-6-26'!I177</f>
        <v>0</v>
      </c>
      <c r="E177" s="24"/>
      <c r="F177" s="25"/>
      <c r="G177" s="25"/>
      <c r="H177" s="27">
        <f t="shared" si="7"/>
        <v>0</v>
      </c>
      <c r="I177" s="27">
        <f t="shared" si="8"/>
        <v>0</v>
      </c>
      <c r="J177" s="25">
        <f t="shared" si="9"/>
        <v>0</v>
      </c>
    </row>
    <row r="178" s="1" customFormat="1" ht="12.75" customHeight="1" spans="1:11">
      <c r="A178" s="24"/>
      <c r="B178" s="25"/>
      <c r="C178" s="26"/>
      <c r="D178" s="27">
        <f>'16-6-26'!I178</f>
        <v>0</v>
      </c>
      <c r="E178" s="24"/>
      <c r="F178" s="25"/>
      <c r="G178" s="25"/>
      <c r="H178" s="27">
        <f t="shared" si="7"/>
        <v>0</v>
      </c>
      <c r="I178" s="27">
        <f t="shared" si="8"/>
        <v>0</v>
      </c>
      <c r="J178" s="25">
        <f t="shared" si="9"/>
        <v>0</v>
      </c>
    </row>
    <row r="179" s="1" customFormat="1" ht="12.75" customHeight="1" spans="1:11">
      <c r="A179" s="24"/>
      <c r="B179" s="25"/>
      <c r="C179" s="26"/>
      <c r="D179" s="27">
        <f>'16-6-26'!I179</f>
        <v>0</v>
      </c>
      <c r="E179" s="24"/>
      <c r="F179" s="25"/>
      <c r="G179" s="25"/>
      <c r="H179" s="27">
        <f t="shared" si="7"/>
        <v>0</v>
      </c>
      <c r="I179" s="27">
        <f t="shared" si="8"/>
        <v>0</v>
      </c>
      <c r="J179" s="25">
        <f t="shared" si="9"/>
        <v>0</v>
      </c>
    </row>
    <row r="180" s="1" customFormat="1" ht="12.75" customHeight="1" spans="1:11">
      <c r="A180" s="24"/>
      <c r="B180" s="25"/>
      <c r="C180" s="26"/>
      <c r="D180" s="27">
        <f>'16-6-26'!I180</f>
        <v>0</v>
      </c>
      <c r="E180" s="24"/>
      <c r="F180" s="25"/>
      <c r="G180" s="25"/>
      <c r="H180" s="27">
        <f t="shared" si="7"/>
        <v>0</v>
      </c>
      <c r="I180" s="27">
        <f t="shared" si="8"/>
        <v>0</v>
      </c>
      <c r="J180" s="25">
        <f t="shared" si="9"/>
        <v>0</v>
      </c>
    </row>
    <row r="181" s="1" customFormat="1" ht="12.75" customHeight="1" spans="1:11">
      <c r="A181" s="24"/>
      <c r="B181" s="25"/>
      <c r="C181" s="26"/>
      <c r="D181" s="27">
        <f>'16-6-26'!I181</f>
        <v>0</v>
      </c>
      <c r="E181" s="24"/>
      <c r="F181" s="25"/>
      <c r="G181" s="25"/>
      <c r="H181" s="27">
        <f t="shared" si="7"/>
        <v>0</v>
      </c>
      <c r="I181" s="27">
        <f t="shared" si="8"/>
        <v>0</v>
      </c>
      <c r="J181" s="25">
        <f t="shared" si="9"/>
        <v>0</v>
      </c>
    </row>
    <row r="182" s="1" customFormat="1" ht="12.75" customHeight="1" spans="1:11">
      <c r="A182" s="24"/>
      <c r="B182" s="25"/>
      <c r="C182" s="26"/>
      <c r="D182" s="27">
        <f>'16-6-26'!I182</f>
        <v>0</v>
      </c>
      <c r="E182" s="24"/>
      <c r="F182" s="25"/>
      <c r="G182" s="25"/>
      <c r="H182" s="27">
        <f t="shared" si="7"/>
        <v>0</v>
      </c>
      <c r="I182" s="27">
        <f t="shared" si="8"/>
        <v>0</v>
      </c>
      <c r="J182" s="25">
        <f t="shared" si="9"/>
        <v>0</v>
      </c>
    </row>
    <row r="183" s="1" customFormat="1" ht="12.75" customHeight="1" spans="1:11">
      <c r="A183" s="24"/>
      <c r="B183" s="25"/>
      <c r="C183" s="26"/>
      <c r="D183" s="27">
        <f>'16-6-26'!I183</f>
        <v>0</v>
      </c>
      <c r="E183" s="24"/>
      <c r="F183" s="25"/>
      <c r="G183" s="25"/>
      <c r="H183" s="27">
        <f t="shared" si="7"/>
        <v>0</v>
      </c>
      <c r="I183" s="27">
        <f t="shared" si="8"/>
        <v>0</v>
      </c>
      <c r="J183" s="25">
        <f t="shared" si="9"/>
        <v>0</v>
      </c>
    </row>
    <row r="184" s="1" customFormat="1" ht="12.75" customHeight="1" spans="1:11">
      <c r="A184" s="24"/>
      <c r="B184" s="25"/>
      <c r="C184" s="26"/>
      <c r="D184" s="27">
        <f>'16-6-26'!I184</f>
        <v>0</v>
      </c>
      <c r="E184" s="24"/>
      <c r="F184" s="25"/>
      <c r="G184" s="25"/>
      <c r="H184" s="27">
        <f t="shared" si="7"/>
        <v>0</v>
      </c>
      <c r="I184" s="27">
        <f t="shared" si="8"/>
        <v>0</v>
      </c>
      <c r="J184" s="25">
        <f t="shared" si="9"/>
        <v>0</v>
      </c>
    </row>
    <row r="185" s="1" customFormat="1" ht="12.75" customHeight="1" spans="1:11">
      <c r="A185" s="24"/>
      <c r="B185" s="25"/>
      <c r="C185" s="26"/>
      <c r="D185" s="27">
        <f>'16-6-26'!I185</f>
        <v>0</v>
      </c>
      <c r="E185" s="24"/>
      <c r="F185" s="25"/>
      <c r="G185" s="25"/>
      <c r="H185" s="27">
        <f t="shared" si="7"/>
        <v>0</v>
      </c>
      <c r="I185" s="27">
        <f t="shared" si="8"/>
        <v>0</v>
      </c>
      <c r="J185" s="25">
        <f t="shared" si="9"/>
        <v>0</v>
      </c>
    </row>
    <row r="186" s="1" customFormat="1" ht="12.75" customHeight="1" spans="1:11">
      <c r="A186" s="24"/>
      <c r="B186" s="25"/>
      <c r="C186" s="26"/>
      <c r="D186" s="27">
        <f>'16-6-26'!I186</f>
        <v>0</v>
      </c>
      <c r="E186" s="24"/>
      <c r="F186" s="25"/>
      <c r="G186" s="25"/>
      <c r="H186" s="27">
        <f t="shared" si="7"/>
        <v>0</v>
      </c>
      <c r="I186" s="27">
        <f t="shared" si="8"/>
        <v>0</v>
      </c>
      <c r="J186" s="25">
        <f t="shared" si="9"/>
        <v>0</v>
      </c>
    </row>
    <row r="187" s="1" customFormat="1" ht="12.75" spans="1:11">
      <c r="A187" s="24"/>
      <c r="B187" s="25"/>
      <c r="C187" s="29"/>
      <c r="D187" s="27">
        <f>'16-6-26'!I187</f>
        <v>0</v>
      </c>
      <c r="E187" s="24"/>
      <c r="F187" s="25"/>
      <c r="G187" s="25"/>
      <c r="H187" s="27">
        <f t="shared" si="7"/>
        <v>0</v>
      </c>
      <c r="I187" s="27">
        <f t="shared" si="8"/>
        <v>0</v>
      </c>
      <c r="J187" s="25">
        <f t="shared" si="9"/>
        <v>0</v>
      </c>
    </row>
    <row r="188" s="1" customFormat="1" ht="12.75" spans="1:11">
      <c r="A188" s="30"/>
      <c r="B188" s="31" t="s">
        <v>124</v>
      </c>
      <c r="C188" s="32"/>
      <c r="D188" s="33">
        <f t="shared" ref="D188:J188" si="10">SUM(D9:D187)</f>
        <v>472167000</v>
      </c>
      <c r="E188" s="34">
        <f t="shared" si="10"/>
        <v>106</v>
      </c>
      <c r="F188" s="33">
        <f t="shared" si="10"/>
        <v>4100000</v>
      </c>
      <c r="G188" s="33">
        <f t="shared" si="10"/>
        <v>1850000</v>
      </c>
      <c r="H188" s="33">
        <f t="shared" si="10"/>
        <v>5950000</v>
      </c>
      <c r="I188" s="33">
        <f t="shared" si="10"/>
        <v>468067000</v>
      </c>
      <c r="J188" s="33">
        <f t="shared" si="10"/>
        <v>185000</v>
      </c>
    </row>
    <row r="189" s="1" customFormat="1" ht="12.75" spans="1:11">
      <c r="A189" s="35"/>
      <c r="B189" s="35"/>
      <c r="C189" s="36"/>
      <c r="E189" s="3"/>
    </row>
    <row r="190" s="1" customFormat="1" customHeight="1" spans="1:11">
      <c r="A190" s="37"/>
      <c r="B190" s="35" t="s">
        <v>125</v>
      </c>
      <c r="C190" s="38" t="s">
        <v>126</v>
      </c>
      <c r="D190" s="39"/>
      <c r="E190" s="3"/>
      <c r="K190" s="37"/>
    </row>
    <row r="191" s="1" customFormat="1" customHeight="1" spans="1:11">
      <c r="A191" s="37"/>
      <c r="B191" s="35" t="s">
        <v>127</v>
      </c>
      <c r="C191" s="38" t="s">
        <v>128</v>
      </c>
      <c r="D191" s="35">
        <f>G188</f>
        <v>1850000</v>
      </c>
      <c r="E191" s="3"/>
      <c r="F191" s="135" t="s">
        <v>247</v>
      </c>
      <c r="G191" s="35"/>
      <c r="H191" s="35"/>
      <c r="I191" s="35"/>
      <c r="K191" s="37"/>
    </row>
    <row r="192" s="1" customFormat="1" customHeight="1" spans="1:11">
      <c r="A192" s="37"/>
      <c r="B192" s="35" t="s">
        <v>130</v>
      </c>
      <c r="C192" s="38" t="s">
        <v>128</v>
      </c>
      <c r="D192" s="35">
        <f>D191/20</f>
        <v>92500</v>
      </c>
      <c r="E192" s="3"/>
      <c r="F192" s="35" t="s">
        <v>131</v>
      </c>
      <c r="G192" s="35"/>
      <c r="H192" s="35"/>
      <c r="I192" s="35"/>
      <c r="K192" s="37" t="s">
        <v>197</v>
      </c>
    </row>
    <row r="193" s="1" customFormat="1" customHeight="1" spans="1:11">
      <c r="A193" s="37"/>
      <c r="B193" s="35" t="s">
        <v>132</v>
      </c>
      <c r="C193" s="38" t="s">
        <v>133</v>
      </c>
      <c r="D193" s="35"/>
      <c r="E193" s="3"/>
      <c r="F193" s="35" t="s">
        <v>134</v>
      </c>
      <c r="G193" s="41"/>
      <c r="H193" s="35" t="s">
        <v>135</v>
      </c>
      <c r="K193" s="37"/>
    </row>
    <row r="194" s="1" customFormat="1" customHeight="1" spans="1:11">
      <c r="A194" s="37"/>
      <c r="B194" s="35" t="s">
        <v>136</v>
      </c>
      <c r="C194" s="38" t="s">
        <v>128</v>
      </c>
      <c r="D194" s="35">
        <f>11*D192</f>
        <v>1017500</v>
      </c>
      <c r="E194" s="3"/>
      <c r="F194" s="35"/>
      <c r="G194" s="41"/>
      <c r="H194" s="35"/>
      <c r="K194" s="37"/>
    </row>
    <row r="195" s="1" customFormat="1" customHeight="1" spans="1:11">
      <c r="A195" s="37"/>
      <c r="B195" s="35" t="s">
        <v>137</v>
      </c>
      <c r="C195" s="38" t="s">
        <v>128</v>
      </c>
      <c r="D195" s="35">
        <f>1/2*D192</f>
        <v>46250</v>
      </c>
      <c r="E195" s="3"/>
      <c r="F195" s="35"/>
      <c r="G195" s="41"/>
      <c r="H195" s="35"/>
      <c r="K195" s="37"/>
    </row>
    <row r="196" s="1" customFormat="1" customHeight="1" spans="1:11">
      <c r="A196" s="37"/>
      <c r="B196" s="35" t="s">
        <v>138</v>
      </c>
      <c r="C196" s="38" t="s">
        <v>128</v>
      </c>
      <c r="D196" s="35">
        <f>1/2*D192</f>
        <v>46250</v>
      </c>
      <c r="E196" s="3"/>
      <c r="F196" s="35"/>
      <c r="G196" s="41"/>
      <c r="H196" s="35"/>
      <c r="K196" s="37"/>
    </row>
    <row r="197" s="1" customFormat="1" customHeight="1" spans="1:11">
      <c r="B197" s="35" t="s">
        <v>139</v>
      </c>
      <c r="C197" s="38" t="s">
        <v>128</v>
      </c>
      <c r="D197" s="35">
        <f>1/2*D192</f>
        <v>46250</v>
      </c>
      <c r="E197" s="3"/>
      <c r="F197" s="35"/>
      <c r="G197" s="41"/>
      <c r="H197" s="35"/>
    </row>
    <row r="198" s="1" customFormat="1" customHeight="1" spans="1:11">
      <c r="B198" s="35" t="s">
        <v>140</v>
      </c>
      <c r="C198" s="38" t="s">
        <v>128</v>
      </c>
      <c r="D198" s="35">
        <f>1/2*D192</f>
        <v>46250</v>
      </c>
      <c r="E198" s="3"/>
      <c r="F198" s="35" t="s">
        <v>141</v>
      </c>
      <c r="G198" s="41"/>
      <c r="H198" s="35" t="s">
        <v>142</v>
      </c>
    </row>
    <row r="199" s="1" customFormat="1" customHeight="1" spans="1:11">
      <c r="B199" s="35" t="s">
        <v>10</v>
      </c>
      <c r="C199" s="38" t="s">
        <v>128</v>
      </c>
      <c r="D199" s="35">
        <f>2*D192</f>
        <v>185000</v>
      </c>
      <c r="E199" s="3"/>
      <c r="G199" s="35"/>
      <c r="H199" s="35"/>
      <c r="I199" s="35"/>
    </row>
    <row r="200" s="1" customFormat="1" customHeight="1" spans="1:11">
      <c r="B200" s="35" t="s">
        <v>143</v>
      </c>
      <c r="C200" s="38" t="s">
        <v>128</v>
      </c>
      <c r="D200" s="35">
        <f>5*D192</f>
        <v>462500</v>
      </c>
      <c r="E200" s="3"/>
    </row>
    <row r="201" s="1" customFormat="1" customHeight="1" spans="1:11">
      <c r="B201" s="42" t="s">
        <v>124</v>
      </c>
      <c r="C201" s="43" t="s">
        <v>128</v>
      </c>
      <c r="D201" s="42">
        <f>SUM(D194:D200)</f>
        <v>1850000</v>
      </c>
      <c r="E201" s="3"/>
    </row>
    <row r="206" s="1" customFormat="1" ht="12.75" spans="1:11">
      <c r="C206" s="2"/>
      <c r="D206" s="44"/>
      <c r="E206" s="3"/>
      <c r="F206" s="44"/>
    </row>
  </sheetData>
  <mergeCells count="13">
    <mergeCell ref="A1:J1"/>
    <mergeCell ref="A2:J2"/>
    <mergeCell ref="A3:J3"/>
    <mergeCell ref="A5:J5"/>
    <mergeCell ref="A6:J6"/>
    <mergeCell ref="E7:H7"/>
    <mergeCell ref="B188:C188"/>
    <mergeCell ref="A7:A8"/>
    <mergeCell ref="B7:B8"/>
    <mergeCell ref="C7:C8"/>
    <mergeCell ref="D7:D8"/>
    <mergeCell ref="I7:I8"/>
    <mergeCell ref="J7:J8"/>
  </mergeCells>
  <pageMargins left="0.75" right="0.75" top="1" bottom="1" header="0.5" footer="0.5"/>
  <headerFooter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6-1-26</vt:lpstr>
      <vt:lpstr>13-1-26</vt:lpstr>
      <vt:lpstr>20-1-26</vt:lpstr>
      <vt:lpstr>27-1-26</vt:lpstr>
      <vt:lpstr>3-2-26</vt:lpstr>
      <vt:lpstr>10-2-26</vt:lpstr>
      <vt:lpstr>13-2-26</vt:lpstr>
      <vt:lpstr>17-2-26</vt:lpstr>
      <vt:lpstr>24-2-26</vt:lpstr>
      <vt:lpstr>4-3-26</vt:lpstr>
      <vt:lpstr>10-3-26</vt:lpstr>
      <vt:lpstr>17-3-26</vt:lpstr>
      <vt:lpstr>24-3-26</vt:lpstr>
      <vt:lpstr>31-3-26</vt:lpstr>
      <vt:lpstr>7-4-26</vt:lpstr>
      <vt:lpstr>14-4-26</vt:lpstr>
      <vt:lpstr>21-4-26</vt:lpstr>
      <vt:lpstr>28-4-26</vt:lpstr>
      <vt:lpstr>5-5-26</vt:lpstr>
      <vt:lpstr>12-5-26</vt:lpstr>
      <vt:lpstr>19-5-26</vt:lpstr>
      <vt:lpstr>26-5-26</vt:lpstr>
      <vt:lpstr>2-6-26</vt:lpstr>
      <vt:lpstr>9-6-26</vt:lpstr>
      <vt:lpstr>16-6-26</vt:lpstr>
      <vt:lpstr>23-6-26</vt:lpstr>
      <vt:lpstr>30-6-26</vt:lpstr>
      <vt:lpstr>7-7-2026</vt:lpstr>
      <vt:lpstr>14-7-26</vt:lpstr>
      <vt:lpstr>21-7-26</vt:lpstr>
      <vt:lpstr>28-7-26</vt:lpstr>
      <vt:lpstr>4-8-26</vt:lpstr>
      <vt:lpstr>11-8-26</vt:lpstr>
      <vt:lpstr>18-8-26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Waridi Waridi</cp:lastModifiedBy>
  <dcterms:created xsi:type="dcterms:W3CDTF">2026-02-03T12:17:00Z</dcterms:created>
  <cp:lastPrinted>2026-03-08T13:13:00Z</cp:lastPrinted>
  <dcterms:modified xsi:type="dcterms:W3CDTF">2026-08-18T12:25:29Z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B051611F73874A37AD5859F0DB79D9DF_12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